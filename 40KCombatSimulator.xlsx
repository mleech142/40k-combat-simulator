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F:\Warhammer\"/>
    </mc:Choice>
  </mc:AlternateContent>
  <xr:revisionPtr revIDLastSave="0" documentId="13_ncr:1_{6D000324-14D4-46FB-8C9F-A6AED44CCEF2}" xr6:coauthVersionLast="47" xr6:coauthVersionMax="47" xr10:uidLastSave="{00000000-0000-0000-0000-000000000000}"/>
  <bookViews>
    <workbookView xWindow="-96" yWindow="0" windowWidth="30912" windowHeight="25296" tabRatio="870" xr2:uid="{E206C2F3-1A6A-4CFB-96BF-FF438DAD64ED}"/>
  </bookViews>
  <sheets>
    <sheet name="How To Use" sheetId="16" r:id="rId1"/>
    <sheet name="Sim-Shooting" sheetId="1" r:id="rId2"/>
    <sheet name="Sim-Fighting" sheetId="6" r:id="rId3"/>
    <sheet name="DeathGuard" sheetId="4" r:id="rId4"/>
    <sheet name="Space Marines" sheetId="8" r:id="rId5"/>
    <sheet name="Drukhari" sheetId="10" r:id="rId6"/>
    <sheet name="Daemons" sheetId="11" r:id="rId7"/>
    <sheet name="T'Au" sheetId="12" r:id="rId8"/>
    <sheet name="Imperial Guard" sheetId="13" r:id="rId9"/>
    <sheet name="Sisters of Battle" sheetId="14" r:id="rId10"/>
    <sheet name="Thousand Sons" sheetId="15" r:id="rId11"/>
    <sheet name="Keywords" sheetId="9" r:id="rId12"/>
  </sheets>
  <definedNames>
    <definedName name="_xlnm._FilterDatabase" localSheetId="6" hidden="1">Daemons!$M$3:$S$3</definedName>
    <definedName name="_xlnm._FilterDatabase" localSheetId="3" hidden="1">DeathGuard!$M$3:$S$3</definedName>
    <definedName name="_xlnm._FilterDatabase" localSheetId="5" hidden="1">Drukhari!$M$3:$S$3</definedName>
    <definedName name="_xlnm._FilterDatabase" localSheetId="8" hidden="1">'Imperial Guard'!$M$3:$S$3</definedName>
    <definedName name="_xlnm._FilterDatabase" localSheetId="9" hidden="1">'Sisters of Battle'!$M$3:$S$3</definedName>
    <definedName name="_xlnm._FilterDatabase" localSheetId="4" hidden="1">'Space Marines'!$M$3:$S$3</definedName>
    <definedName name="_xlnm._FilterDatabase" localSheetId="7" hidden="1">'T''Au'!$M$3:$S$3</definedName>
    <definedName name="_xlnm._FilterDatabase" localSheetId="10" hidden="1">'Thousand Sons'!$M$3:$S$3</definedName>
    <definedName name="AllTargets" comment="Target stats: unit table (Name + stats) on every faction sheet">_xlfn.DROP(_xlfn.REDUCE("",_xlfn.SEQUENCE(ROWS(Factions[Faction])),_xlfn.LAMBDA(_xlpm.acc,_xlpm.k,_xlfn.VSTACK(_xlpm.acc,_xlfn.LET(_xlpm.b,_xlfn.CHOOSECOLS(FACTIONBLOCK(_xlpm.k),_xlfn.SEQUENCE(1,7)),_xlpm.n,_xlfn.CHOOSECOLS(_xlpm.b,1),_xlfn.HSTACK(IF(_xlpm.n="","",_xlpm.n&amp;" ("&amp;INDEX(Factions[Faction],_xlpm.k)&amp;")"),_xlfn.DROP(_xlpm.b,,1)))))),1)</definedName>
    <definedName name="FACTIONBLOCK" comment="Returns columns B:AO, rows 4-100 of the k-th faction tab (order = Factions table). Add a new faction tab's range here when adding a faction.">_xlfn.LAMBDA(_xlpm.k,CHOOSE(_xlpm.k,DeathGuard!$B$4:$AO$100,'Space Marines'!$B$4:$AO$100,Drukhari!$B$4:$AO$100,Daemons!$B$4:$AO$100,'T''Au'!$B$4:$AO$100,'Imperial Guard'!$B$4:$AO$100,'Sisters of Battle'!$B$4:$AO$100,'Thousand Sons'!$B$4:$AO$100))</definedName>
    <definedName name="FactionList" comment="Faction names for dropdowns">Factions[Faction]</definedName>
    <definedName name="KW" comment="Reads a keyword from a Modifier string. Returns its number, TRUE if it has no number, or FALSE if absent. e.g. KW(&quot;Melta 2, Lethal Hits&quot;,&quot;Melta&quot;) = 2">_xlfn.LAMBDA(_xlpm.txt,_xlpm.key,IF(TRIM(_xlpm.txt&amp;"")="",FALSE,_xlfn.LET(_xlpm.parts,TRIM(_xlfn.TEXTSPLIT(_xlpm.txt&amp;"",",")),_xlpm.hit,_xlfn._xlws.FILTER(_xlpm.parts,LEFT(_xlpm.parts,LEN(_xlpm.key))=_xlpm.key,""),IF(INDEX(_xlpm.hit,1)="",FALSE,_xlfn.LET(_xlpm.rest,TRIM(MID(_xlpm.hit,LEN(_xlpm.key)+1,99)),_xlpm.num,IFERROR(VALUE(SUBSTITUTE(_xlpm.rest,"+","")),""),_xlpm.nums,_xlfn._xlws.FILTER(_xlpm.num,ISNUMBER(_xlpm.num),""),IF(ISNUMBER(INDEX(_xlpm.nums,1)),MAX(_xlpm.nums),IF(SUM(--(_xlpm.rest=""))&gt;0,TRUE,INDEX(_xlpm.rest,1))))))))</definedName>
    <definedName name="KWANTI" comment="Returns the unmodified wound roll that scores a Critical Wound: the best Anti-X Y+ value whose keyword X is in the target's Modifiers, otherwise 6.">_xlfn.LAMBDA(_xlpm.txt,_xlpm.target,IF(TRIM(_xlpm.txt&amp;"")="",6,_xlfn.LET(_xlpm.parts,TRIM(_xlfn.TEXTSPLIT(_xlpm.txt&amp;"",",")),_xlpm.anti,_xlfn._xlws.FILTER(_xlpm.parts,LEFT(_xlpm.parts,5)="Anti-",""),IF(INDEX(_xlpm.anti,1)="",6,_xlfn.LET(_xlpm.body,MID(_xlpm.anti,6,99),_xlpm.antiKey,_xlfn.TEXTBEFORE(_xlpm.body," "),_xlpm.y,VALUE(SUBSTITUTE(_xlfn.TEXTAFTER(_xlpm.body," "),"+","")),_xlpm.hasKey,_xlfn.MAP(_xlpm.antiKey,_xlfn.LAMBDA(_xlpm.k,KW(_xlpm.target,_xlpm.k)=TRUE)),MIN(6,IFERROR(_xlfn._xlws.FILTER(_xlpm.y,_xlpm.hasKey),6)))))))</definedName>
    <definedName name="KWMIN" comment="Like KW but returns the lowest number when a keyword appears more than once (used for Feel No Pain, where lower is better).">_xlfn.LAMBDA(_xlpm.txt,_xlpm.key,IF(TRIM(_xlpm.txt&amp;"")="",FALSE,_xlfn.LET(_xlpm.parts,TRIM(_xlfn.TEXTSPLIT(_xlpm.txt&amp;"",",")),_xlpm.hit,_xlfn._xlws.FILTER(_xlpm.parts,LEFT(_xlpm.parts,LEN(_xlpm.key))=_xlpm.key,""),IF(INDEX(_xlpm.hit,1)="",FALSE,_xlfn.LET(_xlpm.rest,TRIM(MID(_xlpm.hit,LEN(_xlpm.key)+1,99)),_xlpm.num,IFERROR(VALUE(SUBSTITUTE(_xlpm.rest,"+","")),""),_xlpm.nums,_xlfn._xlws.FILTER(_xlpm.num,ISNUMBER(_xlpm.num),""),IF(ISNUMBER(INDEX(_xlpm.nums,1)),MIN(_xlpm.nums),IF(SUM(--(_xlpm.rest=""))&gt;0,TRUE,INDEX(_xlpm.rest,1))))))))</definedName>
    <definedName name="KWSUM" comment="Adds up every value of a stackable keyword, e.g. KWSUM(&quot;Hit Modifier +1, Hit Modifier -1&quot;,&quot;Hit Modifier&quot;) = 0">_xlfn.LAMBDA(_xlpm.txt,_xlpm.key,_xlfn.LET(_xlpm.parts,TRIM(_xlfn.TEXTSPLIT(_xlpm.txt&amp;"",",")),_xlpm.hit,_xlfn._xlws.FILTER(_xlpm.parts,LEFT(_xlpm.parts,LEN(_xlpm.key))=_xlpm.key,""),_xlpm.v,IFERROR(VALUE(SUBSTITUTE(TRIM(MID(_xlpm.hit,LEN(_xlpm.key)+1,99)),"+","")),0),SUM(_xlpm.v)))</definedName>
    <definedName name="OPTIONS" comment="All faction rules, faction stratagems and core stratagems for a faction, side (Attacker/Target) and phase (Shooting/Fighting), max 15">_xlfn.LAMBDA(_xlpm.fac,_xlpm.side,_xlpm.ph,_xlfn.LET(_xlpm.r,RULESOF(_xlpm.fac),_xlpm.s,STRATSOF(_xlpm.fac),_xlpm.g,CoreStratagems[[Stratagem]:[Modifier]],_xlpm.v,_xlfn.VSTACK(PICK(_xlpm.r,_xlpm.side,_xlpm.ph,"Rule"),PICK(_xlfn.CHOOSECOLS(_xlpm.s,1,3,4,5),_xlpm.side,_xlpm.ph,"Strat"),PICK(_xlfn.CHOOSECOLS(_xlpm.g,1,3,4,5),_xlpm.side,_xlpm.ph,"Core Strat")),_xlpm.f,_xlfn._xlws.FILTER(_xlpm.v,_xlfn.CHOOSECOLS(_xlpm.v,1)&lt;&gt;"",""),_xlpm.f))</definedName>
    <definedName name="PICK" comment="Filters a Name|Applies To|Phase|Modifier block by side and phase, returns Name|Type|Effect">_xlfn.LAMBDA(_xlpm.b,_xlpm.side,_xlpm.ph,_xlpm.label,_xlfn.LET(_xlpm.n,_xlfn.CHOOSECOLS(_xlpm.b,1),_xlpm.a,_xlfn.CHOOSECOLS(_xlpm.b,2),_xlpm.p,_xlfn.CHOOSECOLS(_xlpm.b,3),_xlpm.m,_xlfn.CHOOSECOLS(_xlpm.b,4),_xlpm.keep,(_xlpm.n&lt;&gt;"")*(_xlpm.a=_xlpm.side)*((_xlpm.p=_xlpm.ph)+(_xlpm.p="Both")),IF(SUM(_xlpm.keep)=0,{"","",""},_xlfn._xlws.FILTER(_xlfn.HSTACK(_xlpm.n,IF(_xlpm.n=_xlpm.n,_xlpm.label),_xlpm.m&amp;""),_xlpm.keep))))</definedName>
    <definedName name="RULESOF" comment="Faction Rules table (AE4:AH30) for a faction name">_xlfn.LAMBDA(_xlpm.fac,_xlfn.LET(_xlpm.k,_xlfn.XMATCH(TRIM(_xlpm.fac),Factions[Faction]),IFERROR(_xlfn.TAKE(_xlfn.CHOOSECOLS(FACTIONBLOCK(_xlpm.k),_xlfn.SEQUENCE(1,4,30)),27),{"","","",""})))</definedName>
    <definedName name="STRATSOF" comment="Faction Stratagems table (AJ4:AO30) for a faction name">_xlfn.LAMBDA(_xlpm.fac,_xlfn.LET(_xlpm.k,_xlfn.XMATCH(TRIM(_xlpm.fac),Factions[Faction]),IFERROR(_xlfn.TAKE(_xlfn.CHOOSECOLS(FACTIONBLOCK(_xlpm.k),_xlfn.SEQUENCE(1,6,35)),27),{"","","","","",""})))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52" i="6" l="1" a="1"/>
  <c r="B52" i="6" s="1"/>
  <c r="AC3" i="6" s="1" a="1"/>
  <c r="AC3" i="6" s="1"/>
  <c r="I3" i="6" s="1"/>
  <c r="B34" i="6" a="1"/>
  <c r="B34" i="6" s="1"/>
  <c r="AB3" i="6" s="1" a="1"/>
  <c r="AB3" i="6" s="1"/>
  <c r="G3" i="6" s="1"/>
  <c r="B52" i="1" a="1"/>
  <c r="B52" i="1" s="1"/>
  <c r="B34" i="1" a="1"/>
  <c r="B34" i="1" s="1"/>
  <c r="AB3" i="1" s="1" a="1"/>
  <c r="AB3" i="1" s="1"/>
  <c r="I3" i="1" s="1"/>
  <c r="AD3" i="6"/>
  <c r="BG6" i="6" a="1"/>
  <c r="BG6" i="6" s="1"/>
  <c r="BE6" i="6" a="1"/>
  <c r="BE6" i="6" s="1"/>
  <c r="B6" i="6" a="1"/>
  <c r="B6" i="6" s="1"/>
  <c r="Q3" i="6" s="1" a="1"/>
  <c r="Q3" i="6" s="1"/>
  <c r="AD3" i="1"/>
  <c r="BG6" i="1" a="1"/>
  <c r="BG6" i="1" s="1"/>
  <c r="BE6" i="1" a="1"/>
  <c r="BE6" i="1" s="1"/>
  <c r="B6" i="1" a="1"/>
  <c r="B6" i="1" s="1"/>
  <c r="Q3" i="1" s="1" a="1"/>
  <c r="Q3" i="1" s="1"/>
  <c r="AM30" i="6" a="1"/>
  <c r="AM30" i="6" s="1"/>
  <c r="AM29" i="6" a="1"/>
  <c r="AM29" i="6" s="1"/>
  <c r="AM28" i="6" a="1"/>
  <c r="AM28" i="6" s="1"/>
  <c r="AM27" i="6" a="1"/>
  <c r="AM27" i="6" s="1"/>
  <c r="AM26" i="6" a="1"/>
  <c r="AM26" i="6" s="1"/>
  <c r="AM25" i="6" a="1"/>
  <c r="AM25" i="6" s="1"/>
  <c r="AM24" i="6" a="1"/>
  <c r="AM24" i="6" s="1"/>
  <c r="AM23" i="6" a="1"/>
  <c r="AM23" i="6" s="1"/>
  <c r="AM22" i="6" a="1"/>
  <c r="AM22" i="6" s="1"/>
  <c r="AM21" i="6" a="1"/>
  <c r="AM21" i="6" s="1"/>
  <c r="AM20" i="6" a="1"/>
  <c r="AM20" i="6" s="1"/>
  <c r="AM19" i="6" a="1"/>
  <c r="AM19" i="6" s="1"/>
  <c r="AM18" i="6" a="1"/>
  <c r="AM18" i="6" s="1"/>
  <c r="AM17" i="6" a="1"/>
  <c r="AM17" i="6" s="1"/>
  <c r="AM16" i="6" a="1"/>
  <c r="AM16" i="6" s="1"/>
  <c r="AM15" i="6" a="1"/>
  <c r="AM15" i="6" s="1"/>
  <c r="AM14" i="6" a="1"/>
  <c r="AM14" i="6" s="1"/>
  <c r="AM13" i="6" a="1"/>
  <c r="AM13" i="6" s="1"/>
  <c r="AM12" i="6" a="1"/>
  <c r="AM12" i="6" s="1"/>
  <c r="AM11" i="6" a="1"/>
  <c r="AM11" i="6" s="1"/>
  <c r="AM10" i="6" a="1"/>
  <c r="AM10" i="6" s="1"/>
  <c r="AM9" i="6" a="1"/>
  <c r="AM9" i="6" s="1"/>
  <c r="AM8" i="6" a="1"/>
  <c r="AM8" i="6" s="1"/>
  <c r="AM7" i="6" a="1"/>
  <c r="AM7" i="6" s="1"/>
  <c r="AP30" i="6"/>
  <c r="AP29" i="6"/>
  <c r="AP28" i="6"/>
  <c r="AP27" i="6"/>
  <c r="AP26" i="6"/>
  <c r="AP25" i="6"/>
  <c r="AP24" i="6"/>
  <c r="AP23" i="6"/>
  <c r="AP22" i="6"/>
  <c r="AP21" i="6"/>
  <c r="AP20" i="6"/>
  <c r="AP19" i="6"/>
  <c r="AP18" i="6"/>
  <c r="AP17" i="6"/>
  <c r="AP16" i="6"/>
  <c r="AP15" i="6"/>
  <c r="AP14" i="6"/>
  <c r="AP13" i="6"/>
  <c r="AP12" i="6"/>
  <c r="AP11" i="6"/>
  <c r="AP10" i="6"/>
  <c r="AP9" i="6"/>
  <c r="AP8" i="6"/>
  <c r="AP7" i="6"/>
  <c r="AO30" i="6"/>
  <c r="AO29" i="6"/>
  <c r="AO28" i="6"/>
  <c r="AO27" i="6"/>
  <c r="AO26" i="6"/>
  <c r="AO25" i="6"/>
  <c r="AO24" i="6"/>
  <c r="AO23" i="6"/>
  <c r="AO22" i="6"/>
  <c r="AO21" i="6"/>
  <c r="AO20" i="6"/>
  <c r="AO19" i="6"/>
  <c r="AO18" i="6"/>
  <c r="AO17" i="6"/>
  <c r="AO16" i="6"/>
  <c r="AO15" i="6"/>
  <c r="AO14" i="6"/>
  <c r="AO13" i="6"/>
  <c r="AO12" i="6"/>
  <c r="AO11" i="6"/>
  <c r="AO10" i="6"/>
  <c r="AO9" i="6"/>
  <c r="AO8" i="6"/>
  <c r="AO7" i="6"/>
  <c r="AN30" i="6"/>
  <c r="AN29" i="6"/>
  <c r="AN28" i="6"/>
  <c r="AN27" i="6"/>
  <c r="AN26" i="6"/>
  <c r="AN25" i="6"/>
  <c r="AN24" i="6"/>
  <c r="AN23" i="6"/>
  <c r="AN22" i="6"/>
  <c r="AN21" i="6"/>
  <c r="AN20" i="6"/>
  <c r="AN19" i="6"/>
  <c r="AN18" i="6"/>
  <c r="AN17" i="6"/>
  <c r="AN16" i="6"/>
  <c r="AN15" i="6"/>
  <c r="AN14" i="6"/>
  <c r="AN13" i="6"/>
  <c r="AN12" i="6"/>
  <c r="AN11" i="6"/>
  <c r="AN10" i="6"/>
  <c r="AN9" i="6"/>
  <c r="AN8" i="6"/>
  <c r="AN7" i="6"/>
  <c r="AX30" i="6"/>
  <c r="AX29" i="6"/>
  <c r="AX28" i="6"/>
  <c r="AX27" i="6"/>
  <c r="AX26" i="6"/>
  <c r="AX25" i="6"/>
  <c r="AX24" i="6"/>
  <c r="AX23" i="6"/>
  <c r="AX22" i="6"/>
  <c r="AX21" i="6"/>
  <c r="AX20" i="6"/>
  <c r="AX19" i="6"/>
  <c r="AX18" i="6"/>
  <c r="AX17" i="6"/>
  <c r="AX16" i="6"/>
  <c r="AX15" i="6"/>
  <c r="AX14" i="6"/>
  <c r="AX13" i="6"/>
  <c r="AX12" i="6"/>
  <c r="AX11" i="6"/>
  <c r="AX10" i="6"/>
  <c r="AX9" i="6"/>
  <c r="AX8" i="6"/>
  <c r="AX7" i="6"/>
  <c r="P30" i="6"/>
  <c r="P29" i="6"/>
  <c r="P28" i="6"/>
  <c r="P27" i="6"/>
  <c r="P26" i="6"/>
  <c r="P25" i="6"/>
  <c r="P24" i="6"/>
  <c r="P23" i="6"/>
  <c r="P22" i="6"/>
  <c r="P21" i="6"/>
  <c r="P20" i="6"/>
  <c r="P19" i="6"/>
  <c r="P18" i="6"/>
  <c r="P17" i="6"/>
  <c r="P16" i="6"/>
  <c r="P15" i="6"/>
  <c r="P14" i="6"/>
  <c r="P13" i="6"/>
  <c r="P12" i="6"/>
  <c r="P11" i="6"/>
  <c r="P10" i="6"/>
  <c r="P9" i="6"/>
  <c r="P8" i="6"/>
  <c r="P7" i="6"/>
  <c r="O30" i="6"/>
  <c r="O29" i="6"/>
  <c r="O28" i="6"/>
  <c r="O27" i="6"/>
  <c r="O26" i="6"/>
  <c r="O25" i="6"/>
  <c r="O24" i="6"/>
  <c r="O23" i="6"/>
  <c r="O22" i="6"/>
  <c r="O21" i="6"/>
  <c r="O20" i="6"/>
  <c r="O19" i="6"/>
  <c r="O18" i="6"/>
  <c r="O17" i="6"/>
  <c r="O16" i="6"/>
  <c r="O15" i="6"/>
  <c r="O14" i="6"/>
  <c r="O13" i="6"/>
  <c r="O12" i="6"/>
  <c r="O11" i="6"/>
  <c r="O10" i="6"/>
  <c r="O9" i="6"/>
  <c r="O8" i="6"/>
  <c r="O7" i="6"/>
  <c r="BC30" i="6" a="1"/>
  <c r="BC30" i="6" s="1"/>
  <c r="BC29" i="6" a="1"/>
  <c r="BC29" i="6" s="1"/>
  <c r="BC28" i="6" a="1"/>
  <c r="BC28" i="6" s="1"/>
  <c r="BC27" i="6" a="1"/>
  <c r="BC27" i="6" s="1"/>
  <c r="BC26" i="6" a="1"/>
  <c r="BC26" i="6" s="1"/>
  <c r="BC25" i="6" a="1"/>
  <c r="BC25" i="6" s="1"/>
  <c r="BC24" i="6" a="1"/>
  <c r="BC24" i="6" s="1"/>
  <c r="BC23" i="6" a="1"/>
  <c r="BC23" i="6" s="1"/>
  <c r="BC22" i="6" a="1"/>
  <c r="BC22" i="6" s="1"/>
  <c r="BC21" i="6" a="1"/>
  <c r="BC21" i="6" s="1"/>
  <c r="BC20" i="6" a="1"/>
  <c r="BC20" i="6" s="1"/>
  <c r="BC19" i="6" a="1"/>
  <c r="BC19" i="6" s="1"/>
  <c r="BC18" i="6" a="1"/>
  <c r="BC18" i="6" s="1"/>
  <c r="BC17" i="6" a="1"/>
  <c r="BC17" i="6" s="1"/>
  <c r="BC16" i="6" a="1"/>
  <c r="BC16" i="6" s="1"/>
  <c r="BC15" i="6" a="1"/>
  <c r="BC15" i="6" s="1"/>
  <c r="BC14" i="6" a="1"/>
  <c r="BC14" i="6" s="1"/>
  <c r="BC13" i="6" a="1"/>
  <c r="BC13" i="6" s="1"/>
  <c r="BC12" i="6" a="1"/>
  <c r="BC12" i="6" s="1"/>
  <c r="BC11" i="6" a="1"/>
  <c r="BC11" i="6" s="1"/>
  <c r="BC10" i="6" a="1"/>
  <c r="BC10" i="6" s="1"/>
  <c r="BC9" i="6" a="1"/>
  <c r="BC9" i="6" s="1"/>
  <c r="BC8" i="6" a="1"/>
  <c r="BC8" i="6" s="1"/>
  <c r="BC7" i="6" a="1"/>
  <c r="BC7" i="6" s="1"/>
  <c r="BB30" i="6" a="1"/>
  <c r="BB30" i="6" s="1"/>
  <c r="BB29" i="6" a="1"/>
  <c r="BB29" i="6" s="1"/>
  <c r="BB28" i="6" a="1"/>
  <c r="BB28" i="6" s="1"/>
  <c r="BB27" i="6" a="1"/>
  <c r="BB27" i="6" s="1"/>
  <c r="BB26" i="6" a="1"/>
  <c r="BB26" i="6" s="1"/>
  <c r="BB25" i="6" a="1"/>
  <c r="BB25" i="6" s="1"/>
  <c r="BB24" i="6" a="1"/>
  <c r="BB24" i="6" s="1"/>
  <c r="BB23" i="6" a="1"/>
  <c r="BB23" i="6" s="1"/>
  <c r="BB22" i="6" a="1"/>
  <c r="BB22" i="6" s="1"/>
  <c r="BB21" i="6" a="1"/>
  <c r="BB21" i="6" s="1"/>
  <c r="BB20" i="6" a="1"/>
  <c r="BB20" i="6" s="1"/>
  <c r="BB19" i="6" a="1"/>
  <c r="BB19" i="6" s="1"/>
  <c r="BB18" i="6" a="1"/>
  <c r="BB18" i="6" s="1"/>
  <c r="BB17" i="6" a="1"/>
  <c r="BB17" i="6" s="1"/>
  <c r="BB16" i="6" a="1"/>
  <c r="BB16" i="6" s="1"/>
  <c r="BB15" i="6" a="1"/>
  <c r="BB15" i="6" s="1"/>
  <c r="BB14" i="6" a="1"/>
  <c r="BB14" i="6" s="1"/>
  <c r="BB13" i="6" a="1"/>
  <c r="BB13" i="6" s="1"/>
  <c r="BB12" i="6" a="1"/>
  <c r="BB12" i="6" s="1"/>
  <c r="BB11" i="6" a="1"/>
  <c r="BB11" i="6" s="1"/>
  <c r="BB10" i="6" a="1"/>
  <c r="BB10" i="6" s="1"/>
  <c r="BB9" i="6" a="1"/>
  <c r="BB9" i="6" s="1"/>
  <c r="BB8" i="6" a="1"/>
  <c r="BB8" i="6" s="1"/>
  <c r="BB7" i="6" a="1"/>
  <c r="BB7" i="6" s="1"/>
  <c r="BA30" i="6" a="1"/>
  <c r="BA30" i="6" s="1"/>
  <c r="BA29" i="6" a="1"/>
  <c r="BA29" i="6" s="1"/>
  <c r="BA28" i="6" a="1"/>
  <c r="BA28" i="6" s="1"/>
  <c r="BA27" i="6" a="1"/>
  <c r="BA27" i="6" s="1"/>
  <c r="BA26" i="6" a="1"/>
  <c r="BA26" i="6" s="1"/>
  <c r="BA25" i="6" a="1"/>
  <c r="BA25" i="6" s="1"/>
  <c r="BA24" i="6" a="1"/>
  <c r="BA24" i="6" s="1"/>
  <c r="BA23" i="6" a="1"/>
  <c r="BA23" i="6" s="1"/>
  <c r="BA22" i="6" a="1"/>
  <c r="BA22" i="6" s="1"/>
  <c r="BA21" i="6" a="1"/>
  <c r="BA21" i="6" s="1"/>
  <c r="BA20" i="6" a="1"/>
  <c r="BA20" i="6" s="1"/>
  <c r="BA19" i="6" a="1"/>
  <c r="BA19" i="6" s="1"/>
  <c r="BA18" i="6" a="1"/>
  <c r="BA18" i="6" s="1"/>
  <c r="BA17" i="6" a="1"/>
  <c r="BA17" i="6" s="1"/>
  <c r="BA16" i="6" a="1"/>
  <c r="BA16" i="6" s="1"/>
  <c r="BA15" i="6" a="1"/>
  <c r="BA15" i="6" s="1"/>
  <c r="BA14" i="6" a="1"/>
  <c r="BA14" i="6" s="1"/>
  <c r="BA13" i="6" a="1"/>
  <c r="BA13" i="6" s="1"/>
  <c r="BA12" i="6" a="1"/>
  <c r="BA12" i="6" s="1"/>
  <c r="BA11" i="6" a="1"/>
  <c r="BA11" i="6" s="1"/>
  <c r="BA10" i="6" a="1"/>
  <c r="BA10" i="6" s="1"/>
  <c r="BA9" i="6" a="1"/>
  <c r="BA9" i="6" s="1"/>
  <c r="BA8" i="6" a="1"/>
  <c r="BA8" i="6" s="1"/>
  <c r="BA7" i="6" a="1"/>
  <c r="BA7" i="6" s="1"/>
  <c r="AZ30" i="6" a="1"/>
  <c r="AZ30" i="6" s="1"/>
  <c r="AZ29" i="6" a="1"/>
  <c r="AZ29" i="6" s="1"/>
  <c r="AZ28" i="6" a="1"/>
  <c r="AZ28" i="6" s="1"/>
  <c r="AZ27" i="6" a="1"/>
  <c r="AZ27" i="6" s="1"/>
  <c r="AZ26" i="6" a="1"/>
  <c r="AZ26" i="6" s="1"/>
  <c r="AZ25" i="6" a="1"/>
  <c r="AZ25" i="6" s="1"/>
  <c r="AZ24" i="6" a="1"/>
  <c r="AZ24" i="6" s="1"/>
  <c r="AZ23" i="6" a="1"/>
  <c r="AZ23" i="6" s="1"/>
  <c r="AZ22" i="6" a="1"/>
  <c r="AZ22" i="6" s="1"/>
  <c r="AZ21" i="6" a="1"/>
  <c r="AZ21" i="6" s="1"/>
  <c r="AZ20" i="6" a="1"/>
  <c r="AZ20" i="6" s="1"/>
  <c r="AZ19" i="6" a="1"/>
  <c r="AZ19" i="6" s="1"/>
  <c r="AZ18" i="6" a="1"/>
  <c r="AZ18" i="6" s="1"/>
  <c r="AZ17" i="6" a="1"/>
  <c r="AZ17" i="6" s="1"/>
  <c r="AZ16" i="6" a="1"/>
  <c r="AZ16" i="6" s="1"/>
  <c r="AZ15" i="6" a="1"/>
  <c r="AZ15" i="6" s="1"/>
  <c r="AZ14" i="6" a="1"/>
  <c r="AZ14" i="6" s="1"/>
  <c r="AZ13" i="6" a="1"/>
  <c r="AZ13" i="6" s="1"/>
  <c r="AZ12" i="6" a="1"/>
  <c r="AZ12" i="6" s="1"/>
  <c r="AZ11" i="6" a="1"/>
  <c r="AZ11" i="6" s="1"/>
  <c r="AZ10" i="6" a="1"/>
  <c r="AZ10" i="6" s="1"/>
  <c r="AZ9" i="6" a="1"/>
  <c r="AZ9" i="6" s="1"/>
  <c r="AZ8" i="6" a="1"/>
  <c r="AZ8" i="6" s="1"/>
  <c r="AZ7" i="6" a="1"/>
  <c r="AZ7" i="6" s="1"/>
  <c r="AY30" i="6" a="1"/>
  <c r="AY30" i="6" s="1"/>
  <c r="AY29" i="6" a="1"/>
  <c r="AY29" i="6" s="1"/>
  <c r="AY28" i="6" a="1"/>
  <c r="AY28" i="6" s="1"/>
  <c r="AY27" i="6" a="1"/>
  <c r="AY27" i="6" s="1"/>
  <c r="AY26" i="6" a="1"/>
  <c r="AY26" i="6" s="1"/>
  <c r="AY25" i="6" a="1"/>
  <c r="AY25" i="6" s="1"/>
  <c r="AY24" i="6" a="1"/>
  <c r="AY24" i="6" s="1"/>
  <c r="AY23" i="6" a="1"/>
  <c r="AY23" i="6" s="1"/>
  <c r="AY22" i="6" a="1"/>
  <c r="AY22" i="6" s="1"/>
  <c r="AY21" i="6" a="1"/>
  <c r="AY21" i="6" s="1"/>
  <c r="AY20" i="6" a="1"/>
  <c r="AY20" i="6" s="1"/>
  <c r="AY19" i="6" a="1"/>
  <c r="AY19" i="6" s="1"/>
  <c r="AY18" i="6" a="1"/>
  <c r="AY18" i="6" s="1"/>
  <c r="AY17" i="6" a="1"/>
  <c r="AY17" i="6" s="1"/>
  <c r="AY16" i="6" a="1"/>
  <c r="AY16" i="6" s="1"/>
  <c r="AY15" i="6" a="1"/>
  <c r="AY15" i="6" s="1"/>
  <c r="AY14" i="6" a="1"/>
  <c r="AY14" i="6" s="1"/>
  <c r="AY13" i="6" a="1"/>
  <c r="AY13" i="6" s="1"/>
  <c r="AY12" i="6" a="1"/>
  <c r="AY12" i="6" s="1"/>
  <c r="AY11" i="6" a="1"/>
  <c r="AY11" i="6" s="1"/>
  <c r="AY10" i="6" a="1"/>
  <c r="AY10" i="6" s="1"/>
  <c r="AY9" i="6" a="1"/>
  <c r="AY9" i="6" s="1"/>
  <c r="AY8" i="6" a="1"/>
  <c r="AY8" i="6" s="1"/>
  <c r="AY7" i="6" a="1"/>
  <c r="AY7" i="6" s="1"/>
  <c r="AM30" i="1" a="1"/>
  <c r="AM30" i="1" s="1"/>
  <c r="AM29" i="1" a="1"/>
  <c r="AM29" i="1" s="1"/>
  <c r="AM28" i="1" a="1"/>
  <c r="AM28" i="1" s="1"/>
  <c r="AM27" i="1" a="1"/>
  <c r="AM27" i="1" s="1"/>
  <c r="AM26" i="1" a="1"/>
  <c r="AM26" i="1" s="1"/>
  <c r="AM25" i="1" a="1"/>
  <c r="AM25" i="1" s="1"/>
  <c r="AM24" i="1" a="1"/>
  <c r="AM24" i="1" s="1"/>
  <c r="AM23" i="1" a="1"/>
  <c r="AM23" i="1" s="1"/>
  <c r="AM22" i="1" a="1"/>
  <c r="AM22" i="1" s="1"/>
  <c r="AM21" i="1" a="1"/>
  <c r="AM21" i="1" s="1"/>
  <c r="AM20" i="1" a="1"/>
  <c r="AM20" i="1" s="1"/>
  <c r="AM19" i="1" a="1"/>
  <c r="AM19" i="1" s="1"/>
  <c r="AM18" i="1" a="1"/>
  <c r="AM18" i="1" s="1"/>
  <c r="AM17" i="1" a="1"/>
  <c r="AM17" i="1" s="1"/>
  <c r="AM16" i="1" a="1"/>
  <c r="AM16" i="1" s="1"/>
  <c r="AM15" i="1" a="1"/>
  <c r="AM15" i="1" s="1"/>
  <c r="AM14" i="1" a="1"/>
  <c r="AM14" i="1" s="1"/>
  <c r="AM13" i="1" a="1"/>
  <c r="AM13" i="1" s="1"/>
  <c r="AP30" i="1"/>
  <c r="AP29" i="1"/>
  <c r="AP28" i="1"/>
  <c r="AP27" i="1"/>
  <c r="AP26" i="1"/>
  <c r="AP25" i="1"/>
  <c r="AP24" i="1"/>
  <c r="AP23" i="1"/>
  <c r="AP22" i="1"/>
  <c r="AP21" i="1"/>
  <c r="AP20" i="1"/>
  <c r="AP19" i="1"/>
  <c r="AP18" i="1"/>
  <c r="AP17" i="1"/>
  <c r="AP16" i="1"/>
  <c r="AP15" i="1"/>
  <c r="AP14" i="1"/>
  <c r="AP13" i="1"/>
  <c r="AO30" i="1"/>
  <c r="AO29" i="1"/>
  <c r="AO28" i="1"/>
  <c r="AO27" i="1"/>
  <c r="AO26" i="1"/>
  <c r="AO25" i="1"/>
  <c r="AO24" i="1"/>
  <c r="AO23" i="1"/>
  <c r="AO22" i="1"/>
  <c r="AO21" i="1"/>
  <c r="AO20" i="1"/>
  <c r="AO19" i="1"/>
  <c r="AO18" i="1"/>
  <c r="AO17" i="1"/>
  <c r="AO16" i="1"/>
  <c r="AO15" i="1"/>
  <c r="AO14" i="1"/>
  <c r="AO13" i="1"/>
  <c r="AN30" i="1" a="1"/>
  <c r="AN30" i="1" s="1"/>
  <c r="AN29" i="1" a="1"/>
  <c r="AN29" i="1" s="1"/>
  <c r="AN28" i="1" a="1"/>
  <c r="AN28" i="1" s="1"/>
  <c r="AN27" i="1" a="1"/>
  <c r="AN27" i="1" s="1"/>
  <c r="AN26" i="1" a="1"/>
  <c r="AN26" i="1" s="1"/>
  <c r="AN25" i="1" a="1"/>
  <c r="AN25" i="1" s="1"/>
  <c r="AN24" i="1" a="1"/>
  <c r="AN24" i="1" s="1"/>
  <c r="AN23" i="1" a="1"/>
  <c r="AN23" i="1" s="1"/>
  <c r="AN22" i="1" a="1"/>
  <c r="AN22" i="1" s="1"/>
  <c r="AN21" i="1" a="1"/>
  <c r="AN21" i="1" s="1"/>
  <c r="AN20" i="1" a="1"/>
  <c r="AN20" i="1" s="1"/>
  <c r="AN19" i="1" a="1"/>
  <c r="AN19" i="1" s="1"/>
  <c r="AN18" i="1" a="1"/>
  <c r="AN18" i="1" s="1"/>
  <c r="AN17" i="1" a="1"/>
  <c r="AN17" i="1" s="1"/>
  <c r="AN16" i="1" a="1"/>
  <c r="AN16" i="1" s="1"/>
  <c r="AN15" i="1" a="1"/>
  <c r="AN15" i="1" s="1"/>
  <c r="AN14" i="1" a="1"/>
  <c r="AN14" i="1" s="1"/>
  <c r="AN13" i="1" a="1"/>
  <c r="AN13" i="1" s="1"/>
  <c r="AX30" i="1"/>
  <c r="AX29" i="1"/>
  <c r="AX28" i="1"/>
  <c r="AX27" i="1"/>
  <c r="AX26" i="1"/>
  <c r="AX25" i="1"/>
  <c r="AX24" i="1"/>
  <c r="AX23" i="1"/>
  <c r="AX22" i="1"/>
  <c r="AX21" i="1"/>
  <c r="AX20" i="1"/>
  <c r="AX19" i="1"/>
  <c r="AX18" i="1"/>
  <c r="AX17" i="1"/>
  <c r="AX16" i="1"/>
  <c r="AX15" i="1"/>
  <c r="AX14" i="1"/>
  <c r="AX13" i="1"/>
  <c r="P30" i="1"/>
  <c r="P29" i="1"/>
  <c r="P28" i="1"/>
  <c r="P27" i="1"/>
  <c r="P26" i="1"/>
  <c r="P25" i="1"/>
  <c r="P24" i="1"/>
  <c r="P23" i="1"/>
  <c r="P22" i="1"/>
  <c r="P21" i="1"/>
  <c r="P20" i="1"/>
  <c r="P19" i="1"/>
  <c r="P18" i="1"/>
  <c r="P17" i="1"/>
  <c r="P16" i="1"/>
  <c r="P15" i="1"/>
  <c r="P14" i="1"/>
  <c r="P13" i="1"/>
  <c r="O30" i="1"/>
  <c r="O29" i="1"/>
  <c r="O28" i="1"/>
  <c r="O27" i="1"/>
  <c r="O26" i="1"/>
  <c r="O25" i="1"/>
  <c r="O24" i="1"/>
  <c r="O23" i="1"/>
  <c r="O22" i="1"/>
  <c r="O21" i="1"/>
  <c r="O20" i="1"/>
  <c r="O19" i="1"/>
  <c r="O18" i="1"/>
  <c r="O17" i="1"/>
  <c r="O16" i="1"/>
  <c r="O15" i="1"/>
  <c r="O14" i="1"/>
  <c r="O13" i="1"/>
  <c r="BC30" i="1" a="1"/>
  <c r="BC30" i="1" s="1"/>
  <c r="BC29" i="1" a="1"/>
  <c r="BC29" i="1" s="1"/>
  <c r="BC28" i="1" a="1"/>
  <c r="BC28" i="1" s="1"/>
  <c r="BC27" i="1" a="1"/>
  <c r="BC27" i="1" s="1"/>
  <c r="BC26" i="1" a="1"/>
  <c r="BC26" i="1" s="1"/>
  <c r="BC25" i="1" a="1"/>
  <c r="BC25" i="1" s="1"/>
  <c r="BC24" i="1" a="1"/>
  <c r="BC24" i="1" s="1"/>
  <c r="BC23" i="1" a="1"/>
  <c r="BC23" i="1" s="1"/>
  <c r="BC22" i="1" a="1"/>
  <c r="BC22" i="1" s="1"/>
  <c r="BC21" i="1" a="1"/>
  <c r="BC21" i="1" s="1"/>
  <c r="BC20" i="1" a="1"/>
  <c r="BC20" i="1" s="1"/>
  <c r="BC19" i="1" a="1"/>
  <c r="BC19" i="1" s="1"/>
  <c r="BC18" i="1" a="1"/>
  <c r="BC18" i="1" s="1"/>
  <c r="BC17" i="1" a="1"/>
  <c r="BC17" i="1" s="1"/>
  <c r="BC16" i="1" a="1"/>
  <c r="BC16" i="1" s="1"/>
  <c r="BC15" i="1" a="1"/>
  <c r="BC15" i="1" s="1"/>
  <c r="BC14" i="1" a="1"/>
  <c r="BC14" i="1" s="1"/>
  <c r="BC13" i="1" a="1"/>
  <c r="BC13" i="1" s="1"/>
  <c r="BB30" i="1" a="1"/>
  <c r="BB30" i="1" s="1"/>
  <c r="BB29" i="1" a="1"/>
  <c r="BB29" i="1" s="1"/>
  <c r="BB28" i="1" a="1"/>
  <c r="BB28" i="1" s="1"/>
  <c r="BB27" i="1" a="1"/>
  <c r="BB27" i="1" s="1"/>
  <c r="BB26" i="1" a="1"/>
  <c r="BB26" i="1" s="1"/>
  <c r="BB25" i="1" a="1"/>
  <c r="BB25" i="1" s="1"/>
  <c r="BB24" i="1" a="1"/>
  <c r="BB24" i="1" s="1"/>
  <c r="BB23" i="1" a="1"/>
  <c r="BB23" i="1" s="1"/>
  <c r="BB22" i="1" a="1"/>
  <c r="BB22" i="1" s="1"/>
  <c r="BB21" i="1" a="1"/>
  <c r="BB21" i="1" s="1"/>
  <c r="BB20" i="1" a="1"/>
  <c r="BB20" i="1" s="1"/>
  <c r="BB19" i="1" a="1"/>
  <c r="BB19" i="1" s="1"/>
  <c r="BB18" i="1" a="1"/>
  <c r="BB18" i="1" s="1"/>
  <c r="BB17" i="1" a="1"/>
  <c r="BB17" i="1" s="1"/>
  <c r="BB16" i="1" a="1"/>
  <c r="BB16" i="1" s="1"/>
  <c r="BB15" i="1" a="1"/>
  <c r="BB15" i="1" s="1"/>
  <c r="BB14" i="1" a="1"/>
  <c r="BB14" i="1" s="1"/>
  <c r="BB13" i="1" a="1"/>
  <c r="BB13" i="1" s="1"/>
  <c r="BA30" i="1" a="1"/>
  <c r="BA30" i="1" s="1"/>
  <c r="BA29" i="1" a="1"/>
  <c r="BA29" i="1" s="1"/>
  <c r="BA28" i="1" a="1"/>
  <c r="BA28" i="1" s="1"/>
  <c r="BA27" i="1" a="1"/>
  <c r="BA27" i="1" s="1"/>
  <c r="BA26" i="1" a="1"/>
  <c r="BA26" i="1" s="1"/>
  <c r="BA25" i="1" a="1"/>
  <c r="BA25" i="1" s="1"/>
  <c r="BA24" i="1" a="1"/>
  <c r="BA24" i="1" s="1"/>
  <c r="BA23" i="1" a="1"/>
  <c r="BA23" i="1" s="1"/>
  <c r="BA22" i="1" a="1"/>
  <c r="BA22" i="1" s="1"/>
  <c r="BA21" i="1" a="1"/>
  <c r="BA21" i="1" s="1"/>
  <c r="BA20" i="1" a="1"/>
  <c r="BA20" i="1" s="1"/>
  <c r="BA19" i="1" a="1"/>
  <c r="BA19" i="1" s="1"/>
  <c r="BA18" i="1" a="1"/>
  <c r="BA18" i="1" s="1"/>
  <c r="BA17" i="1" a="1"/>
  <c r="BA17" i="1" s="1"/>
  <c r="BA16" i="1" a="1"/>
  <c r="BA16" i="1" s="1"/>
  <c r="BA15" i="1" a="1"/>
  <c r="BA15" i="1" s="1"/>
  <c r="BA14" i="1" a="1"/>
  <c r="BA14" i="1" s="1"/>
  <c r="BA13" i="1" a="1"/>
  <c r="BA13" i="1" s="1"/>
  <c r="AZ30" i="1" a="1"/>
  <c r="AZ30" i="1" s="1"/>
  <c r="AZ29" i="1" a="1"/>
  <c r="AZ29" i="1" s="1"/>
  <c r="AZ28" i="1" a="1"/>
  <c r="AZ28" i="1" s="1"/>
  <c r="AZ27" i="1" a="1"/>
  <c r="AZ27" i="1" s="1"/>
  <c r="AZ26" i="1" a="1"/>
  <c r="AZ26" i="1" s="1"/>
  <c r="AZ25" i="1" a="1"/>
  <c r="AZ25" i="1" s="1"/>
  <c r="AZ24" i="1" a="1"/>
  <c r="AZ24" i="1" s="1"/>
  <c r="AZ23" i="1" a="1"/>
  <c r="AZ23" i="1" s="1"/>
  <c r="AZ22" i="1" a="1"/>
  <c r="AZ22" i="1" s="1"/>
  <c r="AZ21" i="1" a="1"/>
  <c r="AZ21" i="1" s="1"/>
  <c r="AZ20" i="1" a="1"/>
  <c r="AZ20" i="1" s="1"/>
  <c r="AZ19" i="1" a="1"/>
  <c r="AZ19" i="1" s="1"/>
  <c r="AZ18" i="1" a="1"/>
  <c r="AZ18" i="1" s="1"/>
  <c r="AZ17" i="1" a="1"/>
  <c r="AZ17" i="1" s="1"/>
  <c r="AZ16" i="1" a="1"/>
  <c r="AZ16" i="1" s="1"/>
  <c r="AZ15" i="1" a="1"/>
  <c r="AZ15" i="1" s="1"/>
  <c r="AZ14" i="1" a="1"/>
  <c r="AZ14" i="1" s="1"/>
  <c r="AZ13" i="1" a="1"/>
  <c r="AZ13" i="1" s="1"/>
  <c r="AY30" i="1" a="1"/>
  <c r="AY30" i="1" s="1"/>
  <c r="AY29" i="1" a="1"/>
  <c r="AY29" i="1" s="1"/>
  <c r="AY28" i="1" a="1"/>
  <c r="AY28" i="1" s="1"/>
  <c r="AY27" i="1" a="1"/>
  <c r="AY27" i="1" s="1"/>
  <c r="AY26" i="1" a="1"/>
  <c r="AY26" i="1" s="1"/>
  <c r="AY25" i="1" a="1"/>
  <c r="AY25" i="1" s="1"/>
  <c r="AY24" i="1" a="1"/>
  <c r="AY24" i="1" s="1"/>
  <c r="AY23" i="1" a="1"/>
  <c r="AY23" i="1" s="1"/>
  <c r="AY22" i="1" a="1"/>
  <c r="AY22" i="1" s="1"/>
  <c r="AY21" i="1" a="1"/>
  <c r="AY21" i="1" s="1"/>
  <c r="AY20" i="1" a="1"/>
  <c r="AY20" i="1" s="1"/>
  <c r="AY19" i="1" a="1"/>
  <c r="AY19" i="1" s="1"/>
  <c r="AY18" i="1" a="1"/>
  <c r="AY18" i="1" s="1"/>
  <c r="AY17" i="1" a="1"/>
  <c r="AY17" i="1" s="1"/>
  <c r="AY16" i="1" a="1"/>
  <c r="AY16" i="1" s="1"/>
  <c r="AY15" i="1" a="1"/>
  <c r="AY15" i="1" s="1"/>
  <c r="AY14" i="1" a="1"/>
  <c r="AY14" i="1" s="1"/>
  <c r="AY13" i="1" a="1"/>
  <c r="AY13" i="1" s="1"/>
  <c r="AW30" i="6" a="1"/>
  <c r="AW30" i="6" s="1"/>
  <c r="AW29" i="6" a="1"/>
  <c r="AW29" i="6" s="1"/>
  <c r="AW28" i="6" a="1"/>
  <c r="AW28" i="6" s="1"/>
  <c r="AW27" i="6" a="1"/>
  <c r="AW27" i="6" s="1"/>
  <c r="AW26" i="6" a="1"/>
  <c r="AW26" i="6" s="1"/>
  <c r="AW25" i="6" a="1"/>
  <c r="AW25" i="6" s="1"/>
  <c r="AW24" i="6" a="1"/>
  <c r="AW24" i="6" s="1"/>
  <c r="AW23" i="6" a="1"/>
  <c r="AW23" i="6" s="1"/>
  <c r="AW22" i="6" a="1"/>
  <c r="AW22" i="6" s="1"/>
  <c r="AW21" i="6" a="1"/>
  <c r="AW21" i="6" s="1"/>
  <c r="AW20" i="6" a="1"/>
  <c r="AW20" i="6" s="1"/>
  <c r="AW19" i="6" a="1"/>
  <c r="AW19" i="6" s="1"/>
  <c r="AW18" i="6" a="1"/>
  <c r="AW18" i="6" s="1"/>
  <c r="AW17" i="6" a="1"/>
  <c r="AW17" i="6" s="1"/>
  <c r="AW16" i="6" a="1"/>
  <c r="AW16" i="6" s="1"/>
  <c r="AW15" i="6" a="1"/>
  <c r="AW15" i="6" s="1"/>
  <c r="AW14" i="6" a="1"/>
  <c r="AW14" i="6" s="1"/>
  <c r="AW13" i="6" a="1"/>
  <c r="AW13" i="6" s="1"/>
  <c r="AW12" i="6" a="1"/>
  <c r="AW12" i="6" s="1"/>
  <c r="AW11" i="6" a="1"/>
  <c r="AW11" i="6" s="1"/>
  <c r="AW10" i="6" a="1"/>
  <c r="AW10" i="6" s="1"/>
  <c r="AW9" i="6" a="1"/>
  <c r="AW9" i="6" s="1"/>
  <c r="AW8" i="6" a="1"/>
  <c r="AW8" i="6" s="1"/>
  <c r="AW7" i="6" a="1"/>
  <c r="AW7" i="6" s="1"/>
  <c r="AV30" i="6" a="1"/>
  <c r="AV30" i="6" s="1"/>
  <c r="AV29" i="6" a="1"/>
  <c r="AV29" i="6" s="1"/>
  <c r="AV28" i="6" a="1"/>
  <c r="AV28" i="6" s="1"/>
  <c r="AV27" i="6" a="1"/>
  <c r="AV27" i="6" s="1"/>
  <c r="AV26" i="6" a="1"/>
  <c r="AV26" i="6" s="1"/>
  <c r="AV25" i="6" a="1"/>
  <c r="AV25" i="6" s="1"/>
  <c r="AV24" i="6" a="1"/>
  <c r="AV24" i="6" s="1"/>
  <c r="AV23" i="6" a="1"/>
  <c r="AV23" i="6" s="1"/>
  <c r="AV22" i="6" a="1"/>
  <c r="AV22" i="6" s="1"/>
  <c r="AV21" i="6" a="1"/>
  <c r="AV21" i="6" s="1"/>
  <c r="AV20" i="6" a="1"/>
  <c r="AV20" i="6" s="1"/>
  <c r="AV19" i="6" a="1"/>
  <c r="AV19" i="6" s="1"/>
  <c r="AV18" i="6" a="1"/>
  <c r="AV18" i="6" s="1"/>
  <c r="AV17" i="6" a="1"/>
  <c r="AV17" i="6" s="1"/>
  <c r="AV16" i="6" a="1"/>
  <c r="AV16" i="6" s="1"/>
  <c r="AV15" i="6" a="1"/>
  <c r="AV15" i="6" s="1"/>
  <c r="AV14" i="6" a="1"/>
  <c r="AV14" i="6" s="1"/>
  <c r="AV13" i="6" a="1"/>
  <c r="AV13" i="6" s="1"/>
  <c r="AV12" i="6" a="1"/>
  <c r="AV12" i="6" s="1"/>
  <c r="AV11" i="6" a="1"/>
  <c r="AV11" i="6" s="1"/>
  <c r="AV10" i="6" a="1"/>
  <c r="AV10" i="6" s="1"/>
  <c r="AV9" i="6" a="1"/>
  <c r="AV9" i="6" s="1"/>
  <c r="AV8" i="6" a="1"/>
  <c r="AV8" i="6" s="1"/>
  <c r="AV7" i="6" a="1"/>
  <c r="AV7" i="6" s="1"/>
  <c r="AW30" i="1" a="1"/>
  <c r="AW30" i="1" s="1"/>
  <c r="AW29" i="1" a="1"/>
  <c r="AW29" i="1" s="1"/>
  <c r="AW28" i="1" a="1"/>
  <c r="AW28" i="1" s="1"/>
  <c r="AW27" i="1" a="1"/>
  <c r="AW27" i="1" s="1"/>
  <c r="AW26" i="1" a="1"/>
  <c r="AW26" i="1" s="1"/>
  <c r="AW25" i="1" a="1"/>
  <c r="AW25" i="1" s="1"/>
  <c r="AW24" i="1" a="1"/>
  <c r="AW24" i="1" s="1"/>
  <c r="AW23" i="1" a="1"/>
  <c r="AW23" i="1" s="1"/>
  <c r="AW22" i="1" a="1"/>
  <c r="AW22" i="1" s="1"/>
  <c r="AW21" i="1" a="1"/>
  <c r="AW21" i="1" s="1"/>
  <c r="AW20" i="1" a="1"/>
  <c r="AW20" i="1" s="1"/>
  <c r="AW19" i="1" a="1"/>
  <c r="AW19" i="1" s="1"/>
  <c r="AW18" i="1" a="1"/>
  <c r="AW18" i="1" s="1"/>
  <c r="AW17" i="1" a="1"/>
  <c r="AW17" i="1" s="1"/>
  <c r="AW16" i="1" a="1"/>
  <c r="AW16" i="1" s="1"/>
  <c r="AW15" i="1" a="1"/>
  <c r="AW15" i="1" s="1"/>
  <c r="AW14" i="1" a="1"/>
  <c r="AW14" i="1" s="1"/>
  <c r="AW13" i="1" a="1"/>
  <c r="AW13" i="1" s="1"/>
  <c r="AV30" i="1" a="1"/>
  <c r="AV30" i="1" s="1"/>
  <c r="AV29" i="1" a="1"/>
  <c r="AV29" i="1" s="1"/>
  <c r="AV28" i="1" a="1"/>
  <c r="AV28" i="1" s="1"/>
  <c r="AV27" i="1" a="1"/>
  <c r="AV27" i="1" s="1"/>
  <c r="AV26" i="1" a="1"/>
  <c r="AV26" i="1" s="1"/>
  <c r="AV25" i="1" a="1"/>
  <c r="AV25" i="1" s="1"/>
  <c r="AV24" i="1" a="1"/>
  <c r="AV24" i="1" s="1"/>
  <c r="AV23" i="1" a="1"/>
  <c r="AV23" i="1" s="1"/>
  <c r="AV22" i="1" a="1"/>
  <c r="AV22" i="1" s="1"/>
  <c r="AV21" i="1" a="1"/>
  <c r="AV21" i="1" s="1"/>
  <c r="AV20" i="1" a="1"/>
  <c r="AV20" i="1" s="1"/>
  <c r="AV19" i="1" a="1"/>
  <c r="AV19" i="1" s="1"/>
  <c r="AV18" i="1" a="1"/>
  <c r="AV18" i="1" s="1"/>
  <c r="AV17" i="1" a="1"/>
  <c r="AV17" i="1" s="1"/>
  <c r="AV16" i="1" a="1"/>
  <c r="AV16" i="1" s="1"/>
  <c r="AV15" i="1" a="1"/>
  <c r="AV15" i="1" s="1"/>
  <c r="AV14" i="1" a="1"/>
  <c r="AV14" i="1" s="1"/>
  <c r="AV13" i="1" a="1"/>
  <c r="AV13" i="1" s="1"/>
  <c r="Q7" i="6"/>
  <c r="R7" i="6"/>
  <c r="S7" i="6"/>
  <c r="T7" i="6"/>
  <c r="U7" i="6"/>
  <c r="V7" i="6"/>
  <c r="X7" i="6"/>
  <c r="Q8" i="6"/>
  <c r="R8" i="6"/>
  <c r="S8" i="6"/>
  <c r="T8" i="6"/>
  <c r="U8" i="6"/>
  <c r="V8" i="6"/>
  <c r="X8" i="6"/>
  <c r="Q9" i="6"/>
  <c r="R9" i="6"/>
  <c r="S9" i="6"/>
  <c r="T9" i="6"/>
  <c r="U9" i="6"/>
  <c r="V9" i="6"/>
  <c r="X9" i="6"/>
  <c r="Q10" i="6"/>
  <c r="R10" i="6"/>
  <c r="S10" i="6"/>
  <c r="T10" i="6"/>
  <c r="U10" i="6"/>
  <c r="V10" i="6"/>
  <c r="X10" i="6"/>
  <c r="Q11" i="6"/>
  <c r="R11" i="6"/>
  <c r="S11" i="6"/>
  <c r="T11" i="6"/>
  <c r="U11" i="6"/>
  <c r="V11" i="6"/>
  <c r="X11" i="6"/>
  <c r="Q12" i="6"/>
  <c r="R12" i="6"/>
  <c r="S12" i="6"/>
  <c r="T12" i="6"/>
  <c r="U12" i="6"/>
  <c r="V12" i="6"/>
  <c r="X12" i="6"/>
  <c r="Q13" i="6"/>
  <c r="R13" i="6"/>
  <c r="S13" i="6"/>
  <c r="T13" i="6"/>
  <c r="U13" i="6"/>
  <c r="V13" i="6"/>
  <c r="X13" i="6"/>
  <c r="Q14" i="6"/>
  <c r="R14" i="6"/>
  <c r="S14" i="6"/>
  <c r="T14" i="6"/>
  <c r="U14" i="6"/>
  <c r="V14" i="6"/>
  <c r="X14" i="6"/>
  <c r="Q15" i="6"/>
  <c r="R15" i="6"/>
  <c r="S15" i="6"/>
  <c r="T15" i="6"/>
  <c r="U15" i="6"/>
  <c r="V15" i="6"/>
  <c r="X15" i="6"/>
  <c r="Q16" i="6"/>
  <c r="R16" i="6"/>
  <c r="S16" i="6"/>
  <c r="T16" i="6"/>
  <c r="U16" i="6"/>
  <c r="V16" i="6"/>
  <c r="X16" i="6"/>
  <c r="Q17" i="6"/>
  <c r="R17" i="6"/>
  <c r="S17" i="6"/>
  <c r="T17" i="6"/>
  <c r="U17" i="6"/>
  <c r="V17" i="6"/>
  <c r="X17" i="6"/>
  <c r="Q18" i="6"/>
  <c r="R18" i="6"/>
  <c r="S18" i="6"/>
  <c r="T18" i="6"/>
  <c r="U18" i="6"/>
  <c r="V18" i="6"/>
  <c r="X18" i="6"/>
  <c r="Q19" i="6"/>
  <c r="R19" i="6"/>
  <c r="S19" i="6"/>
  <c r="T19" i="6"/>
  <c r="U19" i="6"/>
  <c r="V19" i="6"/>
  <c r="X19" i="6"/>
  <c r="Q20" i="6"/>
  <c r="R20" i="6"/>
  <c r="S20" i="6"/>
  <c r="T20" i="6"/>
  <c r="U20" i="6"/>
  <c r="V20" i="6"/>
  <c r="X20" i="6"/>
  <c r="Q21" i="6"/>
  <c r="R21" i="6"/>
  <c r="S21" i="6"/>
  <c r="T21" i="6"/>
  <c r="U21" i="6"/>
  <c r="V21" i="6"/>
  <c r="X21" i="6"/>
  <c r="Q22" i="6"/>
  <c r="R22" i="6"/>
  <c r="S22" i="6"/>
  <c r="T22" i="6"/>
  <c r="U22" i="6"/>
  <c r="V22" i="6"/>
  <c r="X22" i="6"/>
  <c r="Q23" i="6"/>
  <c r="R23" i="6"/>
  <c r="S23" i="6"/>
  <c r="T23" i="6"/>
  <c r="U23" i="6"/>
  <c r="V23" i="6"/>
  <c r="X23" i="6"/>
  <c r="Q24" i="6"/>
  <c r="R24" i="6"/>
  <c r="S24" i="6"/>
  <c r="T24" i="6"/>
  <c r="U24" i="6"/>
  <c r="V24" i="6"/>
  <c r="X24" i="6"/>
  <c r="Q25" i="6"/>
  <c r="R25" i="6"/>
  <c r="S25" i="6"/>
  <c r="T25" i="6"/>
  <c r="U25" i="6"/>
  <c r="V25" i="6"/>
  <c r="X25" i="6"/>
  <c r="Q26" i="6"/>
  <c r="R26" i="6"/>
  <c r="S26" i="6"/>
  <c r="T26" i="6"/>
  <c r="U26" i="6"/>
  <c r="V26" i="6"/>
  <c r="X26" i="6"/>
  <c r="Q27" i="6"/>
  <c r="R27" i="6"/>
  <c r="S27" i="6"/>
  <c r="T27" i="6"/>
  <c r="U27" i="6"/>
  <c r="V27" i="6"/>
  <c r="X27" i="6"/>
  <c r="Q28" i="6"/>
  <c r="R28" i="6"/>
  <c r="S28" i="6"/>
  <c r="T28" i="6"/>
  <c r="U28" i="6"/>
  <c r="V28" i="6"/>
  <c r="X28" i="6"/>
  <c r="Q29" i="6"/>
  <c r="R29" i="6"/>
  <c r="S29" i="6"/>
  <c r="T29" i="6"/>
  <c r="U29" i="6"/>
  <c r="V29" i="6"/>
  <c r="X29" i="6"/>
  <c r="Q30" i="6"/>
  <c r="R30" i="6"/>
  <c r="S30" i="6"/>
  <c r="T30" i="6"/>
  <c r="U30" i="6"/>
  <c r="V30" i="6"/>
  <c r="X30" i="6"/>
  <c r="AR7" i="6" a="1"/>
  <c r="AR7" i="6" s="1"/>
  <c r="AS7" i="6" a="1"/>
  <c r="AS7" i="6" s="1"/>
  <c r="AT7" i="6" a="1"/>
  <c r="AT7" i="6" s="1"/>
  <c r="AU7" i="6" a="1"/>
  <c r="AU7" i="6" s="1"/>
  <c r="AR8" i="6" a="1"/>
  <c r="AR8" i="6" s="1"/>
  <c r="AS8" i="6" a="1"/>
  <c r="AS8" i="6" s="1"/>
  <c r="AT8" i="6" a="1"/>
  <c r="AT8" i="6" s="1"/>
  <c r="AU8" i="6" a="1"/>
  <c r="AU8" i="6" s="1"/>
  <c r="AR9" i="6" a="1"/>
  <c r="AR9" i="6" s="1"/>
  <c r="AS9" i="6" a="1"/>
  <c r="AS9" i="6" s="1"/>
  <c r="AT9" i="6" a="1"/>
  <c r="AT9" i="6" s="1"/>
  <c r="AU9" i="6" a="1"/>
  <c r="AU9" i="6" s="1"/>
  <c r="AR10" i="6" a="1"/>
  <c r="AR10" i="6" s="1"/>
  <c r="AS10" i="6" a="1"/>
  <c r="AS10" i="6" s="1"/>
  <c r="AT10" i="6" a="1"/>
  <c r="AT10" i="6" s="1"/>
  <c r="AU10" i="6" a="1"/>
  <c r="AU10" i="6" s="1"/>
  <c r="AR11" i="6" a="1"/>
  <c r="AR11" i="6" s="1"/>
  <c r="AS11" i="6" a="1"/>
  <c r="AS11" i="6" s="1"/>
  <c r="AT11" i="6" a="1"/>
  <c r="AT11" i="6" s="1"/>
  <c r="AU11" i="6" a="1"/>
  <c r="AU11" i="6" s="1"/>
  <c r="AR12" i="6" a="1"/>
  <c r="AR12" i="6" s="1"/>
  <c r="AS12" i="6" a="1"/>
  <c r="AS12" i="6" s="1"/>
  <c r="AT12" i="6" a="1"/>
  <c r="AT12" i="6" s="1"/>
  <c r="AU12" i="6" a="1"/>
  <c r="AU12" i="6" s="1"/>
  <c r="AR13" i="6" a="1"/>
  <c r="AR13" i="6" s="1"/>
  <c r="AS13" i="6" a="1"/>
  <c r="AS13" i="6" s="1"/>
  <c r="AT13" i="6" a="1"/>
  <c r="AT13" i="6" s="1"/>
  <c r="AU13" i="6" a="1"/>
  <c r="AU13" i="6" s="1"/>
  <c r="AR14" i="6" a="1"/>
  <c r="AR14" i="6" s="1"/>
  <c r="AS14" i="6" a="1"/>
  <c r="AS14" i="6" s="1"/>
  <c r="AT14" i="6" a="1"/>
  <c r="AT14" i="6" s="1"/>
  <c r="AU14" i="6" a="1"/>
  <c r="AU14" i="6" s="1"/>
  <c r="AR15" i="6" a="1"/>
  <c r="AR15" i="6" s="1"/>
  <c r="AS15" i="6" a="1"/>
  <c r="AS15" i="6" s="1"/>
  <c r="AT15" i="6" a="1"/>
  <c r="AT15" i="6" s="1"/>
  <c r="AU15" i="6" a="1"/>
  <c r="AU15" i="6" s="1"/>
  <c r="AR16" i="6" a="1"/>
  <c r="AR16" i="6" s="1"/>
  <c r="AS16" i="6" a="1"/>
  <c r="AS16" i="6" s="1"/>
  <c r="AT16" i="6" a="1"/>
  <c r="AT16" i="6" s="1"/>
  <c r="AU16" i="6" a="1"/>
  <c r="AU16" i="6" s="1"/>
  <c r="AR17" i="6" a="1"/>
  <c r="AR17" i="6" s="1"/>
  <c r="AS17" i="6" a="1"/>
  <c r="AS17" i="6" s="1"/>
  <c r="AT17" i="6" a="1"/>
  <c r="AT17" i="6" s="1"/>
  <c r="AU17" i="6" a="1"/>
  <c r="AU17" i="6" s="1"/>
  <c r="AR18" i="6" a="1"/>
  <c r="AR18" i="6" s="1"/>
  <c r="AS18" i="6" a="1"/>
  <c r="AS18" i="6" s="1"/>
  <c r="AT18" i="6" a="1"/>
  <c r="AT18" i="6" s="1"/>
  <c r="AU18" i="6" a="1"/>
  <c r="AU18" i="6" s="1"/>
  <c r="AR19" i="6" a="1"/>
  <c r="AR19" i="6" s="1"/>
  <c r="AS19" i="6" a="1"/>
  <c r="AS19" i="6" s="1"/>
  <c r="AT19" i="6" a="1"/>
  <c r="AT19" i="6" s="1"/>
  <c r="AU19" i="6" a="1"/>
  <c r="AU19" i="6" s="1"/>
  <c r="AR20" i="6" a="1"/>
  <c r="AR20" i="6" s="1"/>
  <c r="AS20" i="6" a="1"/>
  <c r="AS20" i="6" s="1"/>
  <c r="AT20" i="6" a="1"/>
  <c r="AT20" i="6" s="1"/>
  <c r="AU20" i="6" a="1"/>
  <c r="AU20" i="6" s="1"/>
  <c r="AR21" i="6" a="1"/>
  <c r="AR21" i="6" s="1"/>
  <c r="AS21" i="6" a="1"/>
  <c r="AS21" i="6" s="1"/>
  <c r="AT21" i="6" a="1"/>
  <c r="AT21" i="6" s="1"/>
  <c r="AU21" i="6" a="1"/>
  <c r="AU21" i="6" s="1"/>
  <c r="AR22" i="6" a="1"/>
  <c r="AR22" i="6" s="1"/>
  <c r="AS22" i="6" a="1"/>
  <c r="AS22" i="6" s="1"/>
  <c r="AT22" i="6" a="1"/>
  <c r="AT22" i="6" s="1"/>
  <c r="AU22" i="6" a="1"/>
  <c r="AU22" i="6" s="1"/>
  <c r="AR23" i="6" a="1"/>
  <c r="AR23" i="6" s="1"/>
  <c r="AS23" i="6" a="1"/>
  <c r="AS23" i="6" s="1"/>
  <c r="AT23" i="6" a="1"/>
  <c r="AT23" i="6" s="1"/>
  <c r="AU23" i="6" a="1"/>
  <c r="AU23" i="6" s="1"/>
  <c r="AR24" i="6" a="1"/>
  <c r="AR24" i="6" s="1"/>
  <c r="AS24" i="6" a="1"/>
  <c r="AS24" i="6" s="1"/>
  <c r="AT24" i="6" a="1"/>
  <c r="AT24" i="6" s="1"/>
  <c r="AU24" i="6" a="1"/>
  <c r="AU24" i="6" s="1"/>
  <c r="AR25" i="6" a="1"/>
  <c r="AR25" i="6" s="1"/>
  <c r="AS25" i="6" a="1"/>
  <c r="AS25" i="6" s="1"/>
  <c r="AT25" i="6" a="1"/>
  <c r="AT25" i="6" s="1"/>
  <c r="AU25" i="6" a="1"/>
  <c r="AU25" i="6" s="1"/>
  <c r="AR26" i="6" a="1"/>
  <c r="AR26" i="6" s="1"/>
  <c r="AS26" i="6" a="1"/>
  <c r="AS26" i="6" s="1"/>
  <c r="AT26" i="6" a="1"/>
  <c r="AT26" i="6" s="1"/>
  <c r="AU26" i="6" a="1"/>
  <c r="AU26" i="6" s="1"/>
  <c r="AR27" i="6" a="1"/>
  <c r="AR27" i="6" s="1"/>
  <c r="AS27" i="6" a="1"/>
  <c r="AS27" i="6" s="1"/>
  <c r="AT27" i="6" a="1"/>
  <c r="AT27" i="6" s="1"/>
  <c r="AU27" i="6" a="1"/>
  <c r="AU27" i="6" s="1"/>
  <c r="AR28" i="6" a="1"/>
  <c r="AR28" i="6" s="1"/>
  <c r="AS28" i="6" a="1"/>
  <c r="AS28" i="6" s="1"/>
  <c r="AT28" i="6" a="1"/>
  <c r="AT28" i="6" s="1"/>
  <c r="AU28" i="6" a="1"/>
  <c r="AU28" i="6" s="1"/>
  <c r="AR29" i="6" a="1"/>
  <c r="AR29" i="6" s="1"/>
  <c r="AS29" i="6" a="1"/>
  <c r="AS29" i="6" s="1"/>
  <c r="AT29" i="6" a="1"/>
  <c r="AT29" i="6" s="1"/>
  <c r="AU29" i="6" a="1"/>
  <c r="AU29" i="6" s="1"/>
  <c r="AR30" i="6" a="1"/>
  <c r="AR30" i="6" s="1"/>
  <c r="AS30" i="6" a="1"/>
  <c r="AS30" i="6" s="1"/>
  <c r="AT30" i="6" a="1"/>
  <c r="AT30" i="6" s="1"/>
  <c r="AU30" i="6" a="1"/>
  <c r="AU30" i="6" s="1"/>
  <c r="Z7" i="6" a="1"/>
  <c r="Z7" i="6" s="1"/>
  <c r="AA7" i="6" a="1"/>
  <c r="AA7" i="6" s="1"/>
  <c r="AB7" i="6" a="1"/>
  <c r="AB7" i="6" s="1"/>
  <c r="AC7" i="6" a="1"/>
  <c r="AC7" i="6" s="1"/>
  <c r="AD7" i="6" a="1"/>
  <c r="AD7" i="6" s="1"/>
  <c r="AE7" i="6" a="1"/>
  <c r="AE7" i="6" s="1"/>
  <c r="AF7" i="6" a="1"/>
  <c r="AF7" i="6" s="1"/>
  <c r="AG7" i="6" a="1"/>
  <c r="AG7" i="6" s="1"/>
  <c r="AH7" i="6" a="1"/>
  <c r="AH7" i="6" s="1"/>
  <c r="AI7" i="6" a="1"/>
  <c r="AI7" i="6" s="1"/>
  <c r="AJ7" i="6" a="1"/>
  <c r="AJ7" i="6" s="1"/>
  <c r="AK7" i="6" a="1"/>
  <c r="AK7" i="6" s="1"/>
  <c r="AL7" i="6" a="1"/>
  <c r="AL7" i="6" s="1"/>
  <c r="Z8" i="6" a="1"/>
  <c r="Z8" i="6" s="1"/>
  <c r="AA8" i="6" a="1"/>
  <c r="AA8" i="6" s="1"/>
  <c r="AB8" i="6" a="1"/>
  <c r="AB8" i="6" s="1"/>
  <c r="AC8" i="6" a="1"/>
  <c r="AC8" i="6" s="1"/>
  <c r="AD8" i="6" a="1"/>
  <c r="AD8" i="6" s="1"/>
  <c r="AE8" i="6" a="1"/>
  <c r="AE8" i="6" s="1"/>
  <c r="AF8" i="6" a="1"/>
  <c r="AF8" i="6" s="1"/>
  <c r="AG8" i="6" a="1"/>
  <c r="AG8" i="6" s="1"/>
  <c r="AH8" i="6" a="1"/>
  <c r="AH8" i="6" s="1"/>
  <c r="AI8" i="6" a="1"/>
  <c r="AI8" i="6" s="1"/>
  <c r="AJ8" i="6" a="1"/>
  <c r="AJ8" i="6" s="1"/>
  <c r="AK8" i="6" a="1"/>
  <c r="AK8" i="6" s="1"/>
  <c r="AL8" i="6" a="1"/>
  <c r="AL8" i="6" s="1"/>
  <c r="Z9" i="6" a="1"/>
  <c r="Z9" i="6" s="1"/>
  <c r="AA9" i="6" a="1"/>
  <c r="AA9" i="6" s="1"/>
  <c r="AB9" i="6" a="1"/>
  <c r="AB9" i="6" s="1"/>
  <c r="AC9" i="6" a="1"/>
  <c r="AC9" i="6" s="1"/>
  <c r="AD9" i="6" a="1"/>
  <c r="AD9" i="6" s="1"/>
  <c r="AE9" i="6" a="1"/>
  <c r="AE9" i="6" s="1"/>
  <c r="AF9" i="6" a="1"/>
  <c r="AF9" i="6" s="1"/>
  <c r="AG9" i="6" a="1"/>
  <c r="AG9" i="6" s="1"/>
  <c r="AH9" i="6" a="1"/>
  <c r="AH9" i="6" s="1"/>
  <c r="AI9" i="6" a="1"/>
  <c r="AI9" i="6" s="1"/>
  <c r="AJ9" i="6" a="1"/>
  <c r="AJ9" i="6" s="1"/>
  <c r="AK9" i="6" a="1"/>
  <c r="AK9" i="6" s="1"/>
  <c r="AL9" i="6" a="1"/>
  <c r="AL9" i="6" s="1"/>
  <c r="Z10" i="6" a="1"/>
  <c r="Z10" i="6" s="1"/>
  <c r="AA10" i="6" a="1"/>
  <c r="AA10" i="6" s="1"/>
  <c r="AB10" i="6" a="1"/>
  <c r="AB10" i="6" s="1"/>
  <c r="AC10" i="6" a="1"/>
  <c r="AC10" i="6" s="1"/>
  <c r="AD10" i="6" a="1"/>
  <c r="AD10" i="6" s="1"/>
  <c r="AE10" i="6" a="1"/>
  <c r="AE10" i="6" s="1"/>
  <c r="AF10" i="6" a="1"/>
  <c r="AF10" i="6" s="1"/>
  <c r="AG10" i="6" a="1"/>
  <c r="AG10" i="6" s="1"/>
  <c r="AH10" i="6" a="1"/>
  <c r="AH10" i="6" s="1"/>
  <c r="AI10" i="6" a="1"/>
  <c r="AI10" i="6" s="1"/>
  <c r="AJ10" i="6" a="1"/>
  <c r="AJ10" i="6" s="1"/>
  <c r="AK10" i="6" a="1"/>
  <c r="AK10" i="6" s="1"/>
  <c r="AL10" i="6" a="1"/>
  <c r="AL10" i="6" s="1"/>
  <c r="Z11" i="6" a="1"/>
  <c r="Z11" i="6" s="1"/>
  <c r="AA11" i="6" a="1"/>
  <c r="AA11" i="6" s="1"/>
  <c r="AB11" i="6" a="1"/>
  <c r="AB11" i="6" s="1"/>
  <c r="AC11" i="6" a="1"/>
  <c r="AC11" i="6" s="1"/>
  <c r="AD11" i="6" a="1"/>
  <c r="AD11" i="6" s="1"/>
  <c r="AE11" i="6" a="1"/>
  <c r="AE11" i="6" s="1"/>
  <c r="AF11" i="6" a="1"/>
  <c r="AF11" i="6" s="1"/>
  <c r="AG11" i="6" a="1"/>
  <c r="AG11" i="6" s="1"/>
  <c r="AH11" i="6" a="1"/>
  <c r="AH11" i="6" s="1"/>
  <c r="AI11" i="6" a="1"/>
  <c r="AI11" i="6" s="1"/>
  <c r="AJ11" i="6" a="1"/>
  <c r="AJ11" i="6" s="1"/>
  <c r="AK11" i="6" a="1"/>
  <c r="AK11" i="6" s="1"/>
  <c r="AL11" i="6" a="1"/>
  <c r="AL11" i="6" s="1"/>
  <c r="Z12" i="6" a="1"/>
  <c r="Z12" i="6" s="1"/>
  <c r="AA12" i="6" a="1"/>
  <c r="AA12" i="6" s="1"/>
  <c r="AB12" i="6" a="1"/>
  <c r="AB12" i="6" s="1"/>
  <c r="AC12" i="6" a="1"/>
  <c r="AC12" i="6" s="1"/>
  <c r="AD12" i="6" a="1"/>
  <c r="AD12" i="6" s="1"/>
  <c r="AE12" i="6" a="1"/>
  <c r="AE12" i="6" s="1"/>
  <c r="AF12" i="6" a="1"/>
  <c r="AF12" i="6" s="1"/>
  <c r="AG12" i="6" a="1"/>
  <c r="AG12" i="6" s="1"/>
  <c r="AH12" i="6" a="1"/>
  <c r="AH12" i="6" s="1"/>
  <c r="AI12" i="6" a="1"/>
  <c r="AI12" i="6" s="1"/>
  <c r="AJ12" i="6" a="1"/>
  <c r="AJ12" i="6" s="1"/>
  <c r="AK12" i="6" a="1"/>
  <c r="AK12" i="6" s="1"/>
  <c r="AL12" i="6" a="1"/>
  <c r="AL12" i="6" s="1"/>
  <c r="Z13" i="6" a="1"/>
  <c r="Z13" i="6" s="1"/>
  <c r="AA13" i="6" a="1"/>
  <c r="AA13" i="6" s="1"/>
  <c r="AB13" i="6" a="1"/>
  <c r="AB13" i="6" s="1"/>
  <c r="AC13" i="6" a="1"/>
  <c r="AC13" i="6" s="1"/>
  <c r="AD13" i="6" a="1"/>
  <c r="AD13" i="6" s="1"/>
  <c r="AE13" i="6" a="1"/>
  <c r="AE13" i="6" s="1"/>
  <c r="AF13" i="6" a="1"/>
  <c r="AF13" i="6" s="1"/>
  <c r="AG13" i="6" a="1"/>
  <c r="AG13" i="6" s="1"/>
  <c r="AH13" i="6" a="1"/>
  <c r="AH13" i="6" s="1"/>
  <c r="AI13" i="6" a="1"/>
  <c r="AI13" i="6" s="1"/>
  <c r="AJ13" i="6" a="1"/>
  <c r="AJ13" i="6" s="1"/>
  <c r="AK13" i="6" a="1"/>
  <c r="AK13" i="6" s="1"/>
  <c r="AL13" i="6" a="1"/>
  <c r="AL13" i="6" s="1"/>
  <c r="Z14" i="6" a="1"/>
  <c r="Z14" i="6" s="1"/>
  <c r="AA14" i="6" a="1"/>
  <c r="AA14" i="6" s="1"/>
  <c r="AB14" i="6" a="1"/>
  <c r="AB14" i="6" s="1"/>
  <c r="AC14" i="6" a="1"/>
  <c r="AC14" i="6" s="1"/>
  <c r="AD14" i="6" a="1"/>
  <c r="AD14" i="6" s="1"/>
  <c r="AE14" i="6" a="1"/>
  <c r="AE14" i="6" s="1"/>
  <c r="AF14" i="6" a="1"/>
  <c r="AF14" i="6" s="1"/>
  <c r="AG14" i="6" a="1"/>
  <c r="AG14" i="6" s="1"/>
  <c r="AH14" i="6" a="1"/>
  <c r="AH14" i="6" s="1"/>
  <c r="AI14" i="6" a="1"/>
  <c r="AI14" i="6" s="1"/>
  <c r="AJ14" i="6" a="1"/>
  <c r="AJ14" i="6" s="1"/>
  <c r="AK14" i="6" a="1"/>
  <c r="AK14" i="6" s="1"/>
  <c r="AL14" i="6" a="1"/>
  <c r="AL14" i="6" s="1"/>
  <c r="Z15" i="6" a="1"/>
  <c r="Z15" i="6" s="1"/>
  <c r="AA15" i="6" a="1"/>
  <c r="AA15" i="6" s="1"/>
  <c r="AB15" i="6" a="1"/>
  <c r="AB15" i="6" s="1"/>
  <c r="AC15" i="6" a="1"/>
  <c r="AC15" i="6" s="1"/>
  <c r="AD15" i="6" a="1"/>
  <c r="AD15" i="6" s="1"/>
  <c r="AE15" i="6" a="1"/>
  <c r="AE15" i="6" s="1"/>
  <c r="AF15" i="6" a="1"/>
  <c r="AF15" i="6" s="1"/>
  <c r="AG15" i="6" a="1"/>
  <c r="AG15" i="6" s="1"/>
  <c r="AH15" i="6" a="1"/>
  <c r="AH15" i="6" s="1"/>
  <c r="AI15" i="6" a="1"/>
  <c r="AI15" i="6" s="1"/>
  <c r="AJ15" i="6" a="1"/>
  <c r="AJ15" i="6" s="1"/>
  <c r="AK15" i="6" a="1"/>
  <c r="AK15" i="6" s="1"/>
  <c r="AL15" i="6" a="1"/>
  <c r="AL15" i="6" s="1"/>
  <c r="Z16" i="6" a="1"/>
  <c r="Z16" i="6" s="1"/>
  <c r="AA16" i="6" a="1"/>
  <c r="AA16" i="6" s="1"/>
  <c r="AB16" i="6" a="1"/>
  <c r="AB16" i="6" s="1"/>
  <c r="AC16" i="6" a="1"/>
  <c r="AC16" i="6" s="1"/>
  <c r="AD16" i="6" a="1"/>
  <c r="AD16" i="6" s="1"/>
  <c r="AE16" i="6" a="1"/>
  <c r="AE16" i="6" s="1"/>
  <c r="AF16" i="6" a="1"/>
  <c r="AF16" i="6" s="1"/>
  <c r="AG16" i="6" a="1"/>
  <c r="AG16" i="6" s="1"/>
  <c r="AH16" i="6" a="1"/>
  <c r="AH16" i="6" s="1"/>
  <c r="AI16" i="6" a="1"/>
  <c r="AI16" i="6" s="1"/>
  <c r="AJ16" i="6" a="1"/>
  <c r="AJ16" i="6" s="1"/>
  <c r="AK16" i="6" a="1"/>
  <c r="AK16" i="6" s="1"/>
  <c r="AL16" i="6" a="1"/>
  <c r="AL16" i="6" s="1"/>
  <c r="Z17" i="6" a="1"/>
  <c r="Z17" i="6" s="1"/>
  <c r="AA17" i="6" a="1"/>
  <c r="AA17" i="6" s="1"/>
  <c r="AB17" i="6" a="1"/>
  <c r="AB17" i="6" s="1"/>
  <c r="AC17" i="6" a="1"/>
  <c r="AC17" i="6" s="1"/>
  <c r="AD17" i="6" a="1"/>
  <c r="AD17" i="6" s="1"/>
  <c r="AE17" i="6" a="1"/>
  <c r="AE17" i="6" s="1"/>
  <c r="AF17" i="6" a="1"/>
  <c r="AF17" i="6" s="1"/>
  <c r="AG17" i="6" a="1"/>
  <c r="AG17" i="6" s="1"/>
  <c r="AH17" i="6" a="1"/>
  <c r="AH17" i="6" s="1"/>
  <c r="AI17" i="6" a="1"/>
  <c r="AI17" i="6" s="1"/>
  <c r="AJ17" i="6" a="1"/>
  <c r="AJ17" i="6" s="1"/>
  <c r="AK17" i="6" a="1"/>
  <c r="AK17" i="6" s="1"/>
  <c r="AL17" i="6" a="1"/>
  <c r="AL17" i="6" s="1"/>
  <c r="Z18" i="6" a="1"/>
  <c r="Z18" i="6" s="1"/>
  <c r="AA18" i="6" a="1"/>
  <c r="AA18" i="6" s="1"/>
  <c r="AB18" i="6" a="1"/>
  <c r="AB18" i="6" s="1"/>
  <c r="AC18" i="6" a="1"/>
  <c r="AC18" i="6" s="1"/>
  <c r="AD18" i="6" a="1"/>
  <c r="AD18" i="6" s="1"/>
  <c r="AE18" i="6" a="1"/>
  <c r="AE18" i="6" s="1"/>
  <c r="AF18" i="6" a="1"/>
  <c r="AF18" i="6" s="1"/>
  <c r="AG18" i="6" a="1"/>
  <c r="AG18" i="6" s="1"/>
  <c r="AH18" i="6" a="1"/>
  <c r="AH18" i="6" s="1"/>
  <c r="AI18" i="6" a="1"/>
  <c r="AI18" i="6" s="1"/>
  <c r="AJ18" i="6" a="1"/>
  <c r="AJ18" i="6" s="1"/>
  <c r="AK18" i="6" a="1"/>
  <c r="AK18" i="6" s="1"/>
  <c r="AL18" i="6" a="1"/>
  <c r="AL18" i="6" s="1"/>
  <c r="Z19" i="6" a="1"/>
  <c r="Z19" i="6" s="1"/>
  <c r="AA19" i="6" a="1"/>
  <c r="AA19" i="6" s="1"/>
  <c r="AB19" i="6" a="1"/>
  <c r="AB19" i="6" s="1"/>
  <c r="AC19" i="6" a="1"/>
  <c r="AC19" i="6" s="1"/>
  <c r="AD19" i="6" a="1"/>
  <c r="AD19" i="6" s="1"/>
  <c r="AE19" i="6" a="1"/>
  <c r="AE19" i="6" s="1"/>
  <c r="AF19" i="6" a="1"/>
  <c r="AF19" i="6" s="1"/>
  <c r="AG19" i="6" a="1"/>
  <c r="AG19" i="6" s="1"/>
  <c r="AH19" i="6" a="1"/>
  <c r="AH19" i="6" s="1"/>
  <c r="AI19" i="6" a="1"/>
  <c r="AI19" i="6" s="1"/>
  <c r="AJ19" i="6" a="1"/>
  <c r="AJ19" i="6" s="1"/>
  <c r="AK19" i="6" a="1"/>
  <c r="AK19" i="6" s="1"/>
  <c r="AL19" i="6" a="1"/>
  <c r="AL19" i="6" s="1"/>
  <c r="Z20" i="6" a="1"/>
  <c r="Z20" i="6" s="1"/>
  <c r="AA20" i="6" a="1"/>
  <c r="AA20" i="6" s="1"/>
  <c r="AB20" i="6" a="1"/>
  <c r="AB20" i="6" s="1"/>
  <c r="AC20" i="6" a="1"/>
  <c r="AC20" i="6" s="1"/>
  <c r="AD20" i="6" a="1"/>
  <c r="AD20" i="6" s="1"/>
  <c r="AE20" i="6" a="1"/>
  <c r="AE20" i="6" s="1"/>
  <c r="AF20" i="6" a="1"/>
  <c r="AF20" i="6" s="1"/>
  <c r="AG20" i="6" a="1"/>
  <c r="AG20" i="6" s="1"/>
  <c r="AH20" i="6" a="1"/>
  <c r="AH20" i="6" s="1"/>
  <c r="AI20" i="6" a="1"/>
  <c r="AI20" i="6" s="1"/>
  <c r="AJ20" i="6" a="1"/>
  <c r="AJ20" i="6" s="1"/>
  <c r="AK20" i="6" a="1"/>
  <c r="AK20" i="6" s="1"/>
  <c r="AL20" i="6" a="1"/>
  <c r="AL20" i="6" s="1"/>
  <c r="Z21" i="6" a="1"/>
  <c r="Z21" i="6" s="1"/>
  <c r="AA21" i="6" a="1"/>
  <c r="AA21" i="6" s="1"/>
  <c r="AB21" i="6" a="1"/>
  <c r="AB21" i="6" s="1"/>
  <c r="AC21" i="6" a="1"/>
  <c r="AC21" i="6" s="1"/>
  <c r="AD21" i="6" a="1"/>
  <c r="AD21" i="6" s="1"/>
  <c r="AE21" i="6" a="1"/>
  <c r="AE21" i="6" s="1"/>
  <c r="AF21" i="6" a="1"/>
  <c r="AF21" i="6" s="1"/>
  <c r="AG21" i="6" a="1"/>
  <c r="AG21" i="6" s="1"/>
  <c r="AH21" i="6" a="1"/>
  <c r="AH21" i="6" s="1"/>
  <c r="AI21" i="6" a="1"/>
  <c r="AI21" i="6" s="1"/>
  <c r="AJ21" i="6" a="1"/>
  <c r="AJ21" i="6" s="1"/>
  <c r="AK21" i="6" a="1"/>
  <c r="AK21" i="6" s="1"/>
  <c r="AL21" i="6" a="1"/>
  <c r="AL21" i="6" s="1"/>
  <c r="Z22" i="6" a="1"/>
  <c r="Z22" i="6" s="1"/>
  <c r="AA22" i="6" a="1"/>
  <c r="AA22" i="6" s="1"/>
  <c r="AB22" i="6" a="1"/>
  <c r="AB22" i="6" s="1"/>
  <c r="AC22" i="6" a="1"/>
  <c r="AC22" i="6" s="1"/>
  <c r="AD22" i="6" a="1"/>
  <c r="AD22" i="6" s="1"/>
  <c r="AE22" i="6" a="1"/>
  <c r="AE22" i="6" s="1"/>
  <c r="AF22" i="6" a="1"/>
  <c r="AF22" i="6" s="1"/>
  <c r="AG22" i="6" a="1"/>
  <c r="AG22" i="6" s="1"/>
  <c r="AH22" i="6" a="1"/>
  <c r="AH22" i="6" s="1"/>
  <c r="AI22" i="6" a="1"/>
  <c r="AI22" i="6" s="1"/>
  <c r="AJ22" i="6" a="1"/>
  <c r="AJ22" i="6" s="1"/>
  <c r="AK22" i="6" a="1"/>
  <c r="AK22" i="6" s="1"/>
  <c r="AL22" i="6" a="1"/>
  <c r="AL22" i="6" s="1"/>
  <c r="Z23" i="6" a="1"/>
  <c r="Z23" i="6" s="1"/>
  <c r="AA23" i="6" a="1"/>
  <c r="AA23" i="6" s="1"/>
  <c r="AB23" i="6" a="1"/>
  <c r="AB23" i="6" s="1"/>
  <c r="AC23" i="6" a="1"/>
  <c r="AC23" i="6" s="1"/>
  <c r="AD23" i="6" a="1"/>
  <c r="AD23" i="6" s="1"/>
  <c r="AE23" i="6" a="1"/>
  <c r="AE23" i="6" s="1"/>
  <c r="AF23" i="6" a="1"/>
  <c r="AF23" i="6" s="1"/>
  <c r="AG23" i="6" a="1"/>
  <c r="AG23" i="6" s="1"/>
  <c r="AH23" i="6" a="1"/>
  <c r="AH23" i="6" s="1"/>
  <c r="AI23" i="6" a="1"/>
  <c r="AI23" i="6" s="1"/>
  <c r="AJ23" i="6" a="1"/>
  <c r="AJ23" i="6" s="1"/>
  <c r="AK23" i="6" a="1"/>
  <c r="AK23" i="6" s="1"/>
  <c r="AL23" i="6" a="1"/>
  <c r="AL23" i="6" s="1"/>
  <c r="Z24" i="6" a="1"/>
  <c r="Z24" i="6" s="1"/>
  <c r="AA24" i="6" a="1"/>
  <c r="AA24" i="6" s="1"/>
  <c r="AB24" i="6" a="1"/>
  <c r="AB24" i="6" s="1"/>
  <c r="AC24" i="6" a="1"/>
  <c r="AC24" i="6" s="1"/>
  <c r="AD24" i="6" a="1"/>
  <c r="AD24" i="6" s="1"/>
  <c r="AE24" i="6" a="1"/>
  <c r="AE24" i="6" s="1"/>
  <c r="AF24" i="6" a="1"/>
  <c r="AF24" i="6" s="1"/>
  <c r="AG24" i="6" a="1"/>
  <c r="AG24" i="6" s="1"/>
  <c r="AH24" i="6" a="1"/>
  <c r="AH24" i="6" s="1"/>
  <c r="AI24" i="6" a="1"/>
  <c r="AI24" i="6" s="1"/>
  <c r="AJ24" i="6" a="1"/>
  <c r="AJ24" i="6" s="1"/>
  <c r="AK24" i="6" a="1"/>
  <c r="AK24" i="6" s="1"/>
  <c r="AL24" i="6" a="1"/>
  <c r="AL24" i="6" s="1"/>
  <c r="Z25" i="6" a="1"/>
  <c r="Z25" i="6" s="1"/>
  <c r="AA25" i="6" a="1"/>
  <c r="AA25" i="6" s="1"/>
  <c r="AB25" i="6" a="1"/>
  <c r="AB25" i="6" s="1"/>
  <c r="AC25" i="6" a="1"/>
  <c r="AC25" i="6" s="1"/>
  <c r="AD25" i="6" a="1"/>
  <c r="AD25" i="6" s="1"/>
  <c r="AE25" i="6" a="1"/>
  <c r="AE25" i="6" s="1"/>
  <c r="AF25" i="6" a="1"/>
  <c r="AF25" i="6" s="1"/>
  <c r="AG25" i="6" a="1"/>
  <c r="AG25" i="6" s="1"/>
  <c r="AH25" i="6" a="1"/>
  <c r="AH25" i="6" s="1"/>
  <c r="AI25" i="6" a="1"/>
  <c r="AI25" i="6" s="1"/>
  <c r="AJ25" i="6" a="1"/>
  <c r="AJ25" i="6" s="1"/>
  <c r="AK25" i="6" a="1"/>
  <c r="AK25" i="6" s="1"/>
  <c r="AL25" i="6" a="1"/>
  <c r="AL25" i="6" s="1"/>
  <c r="Z26" i="6" a="1"/>
  <c r="Z26" i="6" s="1"/>
  <c r="AA26" i="6" a="1"/>
  <c r="AA26" i="6" s="1"/>
  <c r="AB26" i="6" a="1"/>
  <c r="AB26" i="6" s="1"/>
  <c r="AC26" i="6" a="1"/>
  <c r="AC26" i="6" s="1"/>
  <c r="AD26" i="6" a="1"/>
  <c r="AD26" i="6" s="1"/>
  <c r="AE26" i="6" a="1"/>
  <c r="AE26" i="6" s="1"/>
  <c r="AF26" i="6" a="1"/>
  <c r="AF26" i="6" s="1"/>
  <c r="AG26" i="6" a="1"/>
  <c r="AG26" i="6" s="1"/>
  <c r="AH26" i="6" a="1"/>
  <c r="AH26" i="6" s="1"/>
  <c r="AI26" i="6" a="1"/>
  <c r="AI26" i="6" s="1"/>
  <c r="AJ26" i="6" a="1"/>
  <c r="AJ26" i="6" s="1"/>
  <c r="AK26" i="6" a="1"/>
  <c r="AK26" i="6" s="1"/>
  <c r="AL26" i="6" a="1"/>
  <c r="AL26" i="6" s="1"/>
  <c r="Z27" i="6" a="1"/>
  <c r="Z27" i="6" s="1"/>
  <c r="AA27" i="6" a="1"/>
  <c r="AA27" i="6" s="1"/>
  <c r="AB27" i="6" a="1"/>
  <c r="AB27" i="6" s="1"/>
  <c r="AC27" i="6" a="1"/>
  <c r="AC27" i="6" s="1"/>
  <c r="AD27" i="6" a="1"/>
  <c r="AD27" i="6" s="1"/>
  <c r="AE27" i="6" a="1"/>
  <c r="AE27" i="6" s="1"/>
  <c r="AF27" i="6" a="1"/>
  <c r="AF27" i="6" s="1"/>
  <c r="AG27" i="6" a="1"/>
  <c r="AG27" i="6" s="1"/>
  <c r="AH27" i="6" a="1"/>
  <c r="AH27" i="6" s="1"/>
  <c r="AI27" i="6" a="1"/>
  <c r="AI27" i="6" s="1"/>
  <c r="AJ27" i="6" a="1"/>
  <c r="AJ27" i="6" s="1"/>
  <c r="AK27" i="6" a="1"/>
  <c r="AK27" i="6" s="1"/>
  <c r="AL27" i="6" a="1"/>
  <c r="AL27" i="6" s="1"/>
  <c r="Z28" i="6" a="1"/>
  <c r="Z28" i="6" s="1"/>
  <c r="AA28" i="6" a="1"/>
  <c r="AA28" i="6" s="1"/>
  <c r="AB28" i="6" a="1"/>
  <c r="AB28" i="6" s="1"/>
  <c r="AC28" i="6" a="1"/>
  <c r="AC28" i="6" s="1"/>
  <c r="AD28" i="6" a="1"/>
  <c r="AD28" i="6" s="1"/>
  <c r="AE28" i="6" a="1"/>
  <c r="AE28" i="6" s="1"/>
  <c r="AF28" i="6" a="1"/>
  <c r="AF28" i="6" s="1"/>
  <c r="AG28" i="6" a="1"/>
  <c r="AG28" i="6" s="1"/>
  <c r="AH28" i="6" a="1"/>
  <c r="AH28" i="6" s="1"/>
  <c r="AI28" i="6" a="1"/>
  <c r="AI28" i="6" s="1"/>
  <c r="AJ28" i="6" a="1"/>
  <c r="AJ28" i="6" s="1"/>
  <c r="AK28" i="6" a="1"/>
  <c r="AK28" i="6" s="1"/>
  <c r="AL28" i="6" a="1"/>
  <c r="AL28" i="6" s="1"/>
  <c r="Z29" i="6" a="1"/>
  <c r="Z29" i="6" s="1"/>
  <c r="AA29" i="6" a="1"/>
  <c r="AA29" i="6" s="1"/>
  <c r="AB29" i="6" a="1"/>
  <c r="AB29" i="6" s="1"/>
  <c r="AC29" i="6" a="1"/>
  <c r="AC29" i="6" s="1"/>
  <c r="AD29" i="6" a="1"/>
  <c r="AD29" i="6" s="1"/>
  <c r="AE29" i="6" a="1"/>
  <c r="AE29" i="6" s="1"/>
  <c r="AF29" i="6" a="1"/>
  <c r="AF29" i="6" s="1"/>
  <c r="AG29" i="6" a="1"/>
  <c r="AG29" i="6" s="1"/>
  <c r="AH29" i="6" a="1"/>
  <c r="AH29" i="6" s="1"/>
  <c r="AI29" i="6" a="1"/>
  <c r="AI29" i="6" s="1"/>
  <c r="AJ29" i="6" a="1"/>
  <c r="AJ29" i="6" s="1"/>
  <c r="AK29" i="6" a="1"/>
  <c r="AK29" i="6" s="1"/>
  <c r="AL29" i="6" a="1"/>
  <c r="AL29" i="6" s="1"/>
  <c r="Z30" i="6" a="1"/>
  <c r="Z30" i="6" s="1"/>
  <c r="AA30" i="6" a="1"/>
  <c r="AA30" i="6" s="1"/>
  <c r="AB30" i="6" a="1"/>
  <c r="AB30" i="6" s="1"/>
  <c r="AC30" i="6" a="1"/>
  <c r="AC30" i="6" s="1"/>
  <c r="AD30" i="6" a="1"/>
  <c r="AD30" i="6" s="1"/>
  <c r="AE30" i="6" a="1"/>
  <c r="AE30" i="6" s="1"/>
  <c r="AF30" i="6" a="1"/>
  <c r="AF30" i="6" s="1"/>
  <c r="AG30" i="6" a="1"/>
  <c r="AG30" i="6" s="1"/>
  <c r="AH30" i="6" a="1"/>
  <c r="AH30" i="6" s="1"/>
  <c r="AI30" i="6" a="1"/>
  <c r="AI30" i="6" s="1"/>
  <c r="AJ30" i="6" a="1"/>
  <c r="AJ30" i="6" s="1"/>
  <c r="AK30" i="6" a="1"/>
  <c r="AK30" i="6" s="1"/>
  <c r="AL30" i="6" a="1"/>
  <c r="AL30" i="6" s="1"/>
  <c r="Q13" i="1"/>
  <c r="R13" i="1"/>
  <c r="S13" i="1"/>
  <c r="T13" i="1"/>
  <c r="U13" i="1"/>
  <c r="V13" i="1"/>
  <c r="X13" i="1"/>
  <c r="Q14" i="1"/>
  <c r="R14" i="1"/>
  <c r="S14" i="1"/>
  <c r="T14" i="1"/>
  <c r="U14" i="1"/>
  <c r="V14" i="1"/>
  <c r="X14" i="1"/>
  <c r="Q15" i="1"/>
  <c r="R15" i="1"/>
  <c r="S15" i="1"/>
  <c r="T15" i="1"/>
  <c r="U15" i="1"/>
  <c r="V15" i="1"/>
  <c r="X15" i="1"/>
  <c r="Q16" i="1"/>
  <c r="R16" i="1"/>
  <c r="S16" i="1"/>
  <c r="T16" i="1"/>
  <c r="U16" i="1"/>
  <c r="V16" i="1"/>
  <c r="X16" i="1"/>
  <c r="Q17" i="1"/>
  <c r="R17" i="1"/>
  <c r="S17" i="1"/>
  <c r="T17" i="1"/>
  <c r="U17" i="1"/>
  <c r="V17" i="1"/>
  <c r="X17" i="1"/>
  <c r="Q18" i="1"/>
  <c r="R18" i="1"/>
  <c r="S18" i="1"/>
  <c r="T18" i="1"/>
  <c r="U18" i="1"/>
  <c r="V18" i="1"/>
  <c r="X18" i="1"/>
  <c r="Q19" i="1"/>
  <c r="R19" i="1"/>
  <c r="S19" i="1"/>
  <c r="T19" i="1"/>
  <c r="U19" i="1"/>
  <c r="V19" i="1"/>
  <c r="X19" i="1"/>
  <c r="Q20" i="1"/>
  <c r="R20" i="1"/>
  <c r="S20" i="1"/>
  <c r="T20" i="1"/>
  <c r="U20" i="1"/>
  <c r="V20" i="1"/>
  <c r="X20" i="1"/>
  <c r="Q21" i="1"/>
  <c r="R21" i="1"/>
  <c r="S21" i="1"/>
  <c r="T21" i="1"/>
  <c r="U21" i="1"/>
  <c r="V21" i="1"/>
  <c r="X21" i="1"/>
  <c r="Q22" i="1"/>
  <c r="R22" i="1"/>
  <c r="S22" i="1"/>
  <c r="T22" i="1"/>
  <c r="U22" i="1"/>
  <c r="V22" i="1"/>
  <c r="X22" i="1"/>
  <c r="Q23" i="1"/>
  <c r="R23" i="1"/>
  <c r="S23" i="1"/>
  <c r="T23" i="1"/>
  <c r="U23" i="1"/>
  <c r="V23" i="1"/>
  <c r="X23" i="1"/>
  <c r="Q24" i="1"/>
  <c r="R24" i="1"/>
  <c r="S24" i="1"/>
  <c r="T24" i="1"/>
  <c r="U24" i="1"/>
  <c r="V24" i="1"/>
  <c r="X24" i="1"/>
  <c r="Q25" i="1"/>
  <c r="R25" i="1"/>
  <c r="S25" i="1"/>
  <c r="T25" i="1"/>
  <c r="U25" i="1"/>
  <c r="V25" i="1"/>
  <c r="X25" i="1"/>
  <c r="Q26" i="1"/>
  <c r="R26" i="1"/>
  <c r="S26" i="1"/>
  <c r="T26" i="1"/>
  <c r="U26" i="1"/>
  <c r="V26" i="1"/>
  <c r="X26" i="1"/>
  <c r="Q27" i="1"/>
  <c r="R27" i="1"/>
  <c r="S27" i="1"/>
  <c r="T27" i="1"/>
  <c r="U27" i="1"/>
  <c r="V27" i="1"/>
  <c r="X27" i="1"/>
  <c r="Q28" i="1"/>
  <c r="R28" i="1"/>
  <c r="S28" i="1"/>
  <c r="T28" i="1"/>
  <c r="U28" i="1"/>
  <c r="V28" i="1"/>
  <c r="X28" i="1"/>
  <c r="Q29" i="1"/>
  <c r="R29" i="1"/>
  <c r="S29" i="1"/>
  <c r="T29" i="1"/>
  <c r="U29" i="1"/>
  <c r="V29" i="1"/>
  <c r="X29" i="1"/>
  <c r="Q30" i="1"/>
  <c r="R30" i="1"/>
  <c r="S30" i="1"/>
  <c r="T30" i="1"/>
  <c r="U30" i="1"/>
  <c r="V30" i="1"/>
  <c r="X30" i="1"/>
  <c r="AR13" i="1" a="1"/>
  <c r="AR13" i="1" s="1"/>
  <c r="AS13" i="1" a="1"/>
  <c r="AS13" i="1" s="1"/>
  <c r="AT13" i="1" a="1"/>
  <c r="AT13" i="1" s="1"/>
  <c r="AU13" i="1" a="1"/>
  <c r="AU13" i="1" s="1"/>
  <c r="AR14" i="1" a="1"/>
  <c r="AR14" i="1" s="1"/>
  <c r="AS14" i="1" a="1"/>
  <c r="AS14" i="1" s="1"/>
  <c r="AT14" i="1" a="1"/>
  <c r="AT14" i="1" s="1"/>
  <c r="AU14" i="1" a="1"/>
  <c r="AU14" i="1" s="1"/>
  <c r="AR15" i="1" a="1"/>
  <c r="AR15" i="1" s="1"/>
  <c r="AS15" i="1" a="1"/>
  <c r="AS15" i="1" s="1"/>
  <c r="AT15" i="1" a="1"/>
  <c r="AT15" i="1" s="1"/>
  <c r="AU15" i="1" a="1"/>
  <c r="AU15" i="1" s="1"/>
  <c r="AR16" i="1" a="1"/>
  <c r="AR16" i="1" s="1"/>
  <c r="AS16" i="1" a="1"/>
  <c r="AS16" i="1" s="1"/>
  <c r="AT16" i="1" a="1"/>
  <c r="AT16" i="1" s="1"/>
  <c r="AU16" i="1" a="1"/>
  <c r="AU16" i="1" s="1"/>
  <c r="AR17" i="1" a="1"/>
  <c r="AR17" i="1" s="1"/>
  <c r="AS17" i="1" a="1"/>
  <c r="AS17" i="1" s="1"/>
  <c r="AT17" i="1" a="1"/>
  <c r="AT17" i="1" s="1"/>
  <c r="AU17" i="1" a="1"/>
  <c r="AU17" i="1" s="1"/>
  <c r="AR18" i="1" a="1"/>
  <c r="AR18" i="1" s="1"/>
  <c r="AS18" i="1" a="1"/>
  <c r="AS18" i="1" s="1"/>
  <c r="AT18" i="1" a="1"/>
  <c r="AT18" i="1" s="1"/>
  <c r="AU18" i="1" a="1"/>
  <c r="AU18" i="1" s="1"/>
  <c r="AR19" i="1" a="1"/>
  <c r="AR19" i="1" s="1"/>
  <c r="AS19" i="1" a="1"/>
  <c r="AS19" i="1" s="1"/>
  <c r="AT19" i="1" a="1"/>
  <c r="AT19" i="1" s="1"/>
  <c r="AU19" i="1" a="1"/>
  <c r="AU19" i="1" s="1"/>
  <c r="AR20" i="1" a="1"/>
  <c r="AR20" i="1" s="1"/>
  <c r="AS20" i="1" a="1"/>
  <c r="AS20" i="1" s="1"/>
  <c r="AT20" i="1" a="1"/>
  <c r="AT20" i="1" s="1"/>
  <c r="AU20" i="1" a="1"/>
  <c r="AU20" i="1" s="1"/>
  <c r="AR21" i="1" a="1"/>
  <c r="AR21" i="1" s="1"/>
  <c r="AS21" i="1" a="1"/>
  <c r="AS21" i="1" s="1"/>
  <c r="AT21" i="1" a="1"/>
  <c r="AT21" i="1" s="1"/>
  <c r="AU21" i="1" a="1"/>
  <c r="AU21" i="1" s="1"/>
  <c r="AR22" i="1" a="1"/>
  <c r="AR22" i="1" s="1"/>
  <c r="AS22" i="1" a="1"/>
  <c r="AS22" i="1" s="1"/>
  <c r="AT22" i="1" a="1"/>
  <c r="AT22" i="1" s="1"/>
  <c r="AU22" i="1" a="1"/>
  <c r="AU22" i="1" s="1"/>
  <c r="AR23" i="1" a="1"/>
  <c r="AR23" i="1" s="1"/>
  <c r="AS23" i="1" a="1"/>
  <c r="AS23" i="1" s="1"/>
  <c r="AT23" i="1" a="1"/>
  <c r="AT23" i="1" s="1"/>
  <c r="AU23" i="1" a="1"/>
  <c r="AU23" i="1" s="1"/>
  <c r="AR24" i="1" a="1"/>
  <c r="AR24" i="1" s="1"/>
  <c r="AS24" i="1" a="1"/>
  <c r="AS24" i="1" s="1"/>
  <c r="AT24" i="1" a="1"/>
  <c r="AT24" i="1" s="1"/>
  <c r="AU24" i="1" a="1"/>
  <c r="AU24" i="1" s="1"/>
  <c r="AR25" i="1" a="1"/>
  <c r="AR25" i="1" s="1"/>
  <c r="AS25" i="1" a="1"/>
  <c r="AS25" i="1" s="1"/>
  <c r="AT25" i="1" a="1"/>
  <c r="AT25" i="1" s="1"/>
  <c r="AU25" i="1" a="1"/>
  <c r="AU25" i="1" s="1"/>
  <c r="AR26" i="1" a="1"/>
  <c r="AR26" i="1" s="1"/>
  <c r="AS26" i="1" a="1"/>
  <c r="AS26" i="1" s="1"/>
  <c r="AT26" i="1" a="1"/>
  <c r="AT26" i="1" s="1"/>
  <c r="AU26" i="1" a="1"/>
  <c r="AU26" i="1" s="1"/>
  <c r="AR27" i="1" a="1"/>
  <c r="AR27" i="1" s="1"/>
  <c r="AS27" i="1" a="1"/>
  <c r="AS27" i="1" s="1"/>
  <c r="AT27" i="1" a="1"/>
  <c r="AT27" i="1" s="1"/>
  <c r="AU27" i="1" a="1"/>
  <c r="AU27" i="1" s="1"/>
  <c r="AR28" i="1" a="1"/>
  <c r="AR28" i="1" s="1"/>
  <c r="AS28" i="1" a="1"/>
  <c r="AS28" i="1" s="1"/>
  <c r="AT28" i="1" a="1"/>
  <c r="AT28" i="1" s="1"/>
  <c r="AU28" i="1" a="1"/>
  <c r="AU28" i="1" s="1"/>
  <c r="AR29" i="1" a="1"/>
  <c r="AR29" i="1" s="1"/>
  <c r="AS29" i="1" a="1"/>
  <c r="AS29" i="1" s="1"/>
  <c r="AT29" i="1" a="1"/>
  <c r="AT29" i="1" s="1"/>
  <c r="AU29" i="1" a="1"/>
  <c r="AU29" i="1" s="1"/>
  <c r="AR30" i="1" a="1"/>
  <c r="AR30" i="1" s="1"/>
  <c r="AS30" i="1" a="1"/>
  <c r="AS30" i="1" s="1"/>
  <c r="AT30" i="1" a="1"/>
  <c r="AT30" i="1" s="1"/>
  <c r="AU30" i="1" a="1"/>
  <c r="AU30" i="1" s="1"/>
  <c r="Z13" i="1" a="1"/>
  <c r="Z13" i="1" s="1"/>
  <c r="AA13" i="1" a="1"/>
  <c r="AA13" i="1" s="1"/>
  <c r="AB13" i="1" a="1"/>
  <c r="AB13" i="1" s="1"/>
  <c r="AC13" i="1" a="1"/>
  <c r="AC13" i="1" s="1"/>
  <c r="AD13" i="1" a="1"/>
  <c r="AD13" i="1" s="1"/>
  <c r="AE13" i="1" a="1"/>
  <c r="AE13" i="1" s="1"/>
  <c r="AF13" i="1" a="1"/>
  <c r="AF13" i="1" s="1"/>
  <c r="AG13" i="1" a="1"/>
  <c r="AG13" i="1" s="1"/>
  <c r="AH13" i="1" a="1"/>
  <c r="AH13" i="1" s="1"/>
  <c r="AI13" i="1" a="1"/>
  <c r="AI13" i="1" s="1"/>
  <c r="AJ13" i="1" a="1"/>
  <c r="AJ13" i="1" s="1"/>
  <c r="AK13" i="1" a="1"/>
  <c r="AK13" i="1" s="1"/>
  <c r="AL13" i="1" a="1"/>
  <c r="AL13" i="1" s="1"/>
  <c r="Z14" i="1" a="1"/>
  <c r="Z14" i="1" s="1"/>
  <c r="AA14" i="1" a="1"/>
  <c r="AA14" i="1" s="1"/>
  <c r="AB14" i="1" a="1"/>
  <c r="AB14" i="1" s="1"/>
  <c r="AC14" i="1" a="1"/>
  <c r="AC14" i="1" s="1"/>
  <c r="AD14" i="1" a="1"/>
  <c r="AD14" i="1" s="1"/>
  <c r="AE14" i="1" a="1"/>
  <c r="AE14" i="1" s="1"/>
  <c r="AF14" i="1" a="1"/>
  <c r="AF14" i="1" s="1"/>
  <c r="AG14" i="1" a="1"/>
  <c r="AG14" i="1" s="1"/>
  <c r="AH14" i="1" a="1"/>
  <c r="AH14" i="1" s="1"/>
  <c r="AI14" i="1" a="1"/>
  <c r="AI14" i="1" s="1"/>
  <c r="AJ14" i="1" a="1"/>
  <c r="AJ14" i="1" s="1"/>
  <c r="AK14" i="1" a="1"/>
  <c r="AK14" i="1" s="1"/>
  <c r="AL14" i="1" a="1"/>
  <c r="AL14" i="1" s="1"/>
  <c r="Z15" i="1" a="1"/>
  <c r="Z15" i="1" s="1"/>
  <c r="AA15" i="1" a="1"/>
  <c r="AA15" i="1" s="1"/>
  <c r="AB15" i="1" a="1"/>
  <c r="AB15" i="1" s="1"/>
  <c r="AC15" i="1" a="1"/>
  <c r="AC15" i="1" s="1"/>
  <c r="AD15" i="1" a="1"/>
  <c r="AD15" i="1" s="1"/>
  <c r="AE15" i="1" a="1"/>
  <c r="AE15" i="1" s="1"/>
  <c r="AF15" i="1" a="1"/>
  <c r="AF15" i="1" s="1"/>
  <c r="AG15" i="1" a="1"/>
  <c r="AG15" i="1" s="1"/>
  <c r="AH15" i="1" a="1"/>
  <c r="AH15" i="1" s="1"/>
  <c r="AI15" i="1" a="1"/>
  <c r="AI15" i="1" s="1"/>
  <c r="AJ15" i="1" a="1"/>
  <c r="AJ15" i="1" s="1"/>
  <c r="AK15" i="1" a="1"/>
  <c r="AK15" i="1" s="1"/>
  <c r="AL15" i="1" a="1"/>
  <c r="AL15" i="1" s="1"/>
  <c r="Z16" i="1" a="1"/>
  <c r="Z16" i="1" s="1"/>
  <c r="AA16" i="1" a="1"/>
  <c r="AA16" i="1" s="1"/>
  <c r="AB16" i="1" a="1"/>
  <c r="AB16" i="1" s="1"/>
  <c r="AC16" i="1" a="1"/>
  <c r="AC16" i="1" s="1"/>
  <c r="AD16" i="1" a="1"/>
  <c r="AD16" i="1" s="1"/>
  <c r="AE16" i="1" a="1"/>
  <c r="AE16" i="1" s="1"/>
  <c r="AF16" i="1" a="1"/>
  <c r="AF16" i="1" s="1"/>
  <c r="AG16" i="1" a="1"/>
  <c r="AG16" i="1" s="1"/>
  <c r="AH16" i="1" a="1"/>
  <c r="AH16" i="1" s="1"/>
  <c r="AI16" i="1" a="1"/>
  <c r="AI16" i="1" s="1"/>
  <c r="AJ16" i="1" a="1"/>
  <c r="AJ16" i="1" s="1"/>
  <c r="AK16" i="1" a="1"/>
  <c r="AK16" i="1" s="1"/>
  <c r="AL16" i="1" a="1"/>
  <c r="AL16" i="1" s="1"/>
  <c r="Z17" i="1" a="1"/>
  <c r="Z17" i="1" s="1"/>
  <c r="AA17" i="1" a="1"/>
  <c r="AA17" i="1" s="1"/>
  <c r="AB17" i="1" a="1"/>
  <c r="AB17" i="1" s="1"/>
  <c r="AC17" i="1" a="1"/>
  <c r="AC17" i="1" s="1"/>
  <c r="AD17" i="1" a="1"/>
  <c r="AD17" i="1" s="1"/>
  <c r="AE17" i="1" a="1"/>
  <c r="AE17" i="1" s="1"/>
  <c r="AF17" i="1" a="1"/>
  <c r="AF17" i="1" s="1"/>
  <c r="AG17" i="1" a="1"/>
  <c r="AG17" i="1" s="1"/>
  <c r="AH17" i="1" a="1"/>
  <c r="AH17" i="1" s="1"/>
  <c r="AI17" i="1" a="1"/>
  <c r="AI17" i="1" s="1"/>
  <c r="AJ17" i="1" a="1"/>
  <c r="AJ17" i="1" s="1"/>
  <c r="AK17" i="1" a="1"/>
  <c r="AK17" i="1" s="1"/>
  <c r="AL17" i="1" a="1"/>
  <c r="AL17" i="1" s="1"/>
  <c r="Z18" i="1" a="1"/>
  <c r="Z18" i="1" s="1"/>
  <c r="AA18" i="1" a="1"/>
  <c r="AA18" i="1" s="1"/>
  <c r="AB18" i="1" a="1"/>
  <c r="AB18" i="1" s="1"/>
  <c r="AC18" i="1" a="1"/>
  <c r="AC18" i="1" s="1"/>
  <c r="AD18" i="1" a="1"/>
  <c r="AD18" i="1" s="1"/>
  <c r="AE18" i="1" a="1"/>
  <c r="AE18" i="1" s="1"/>
  <c r="AF18" i="1" a="1"/>
  <c r="AF18" i="1" s="1"/>
  <c r="AG18" i="1" a="1"/>
  <c r="AG18" i="1" s="1"/>
  <c r="AH18" i="1" a="1"/>
  <c r="AH18" i="1" s="1"/>
  <c r="AI18" i="1" a="1"/>
  <c r="AI18" i="1" s="1"/>
  <c r="AJ18" i="1" a="1"/>
  <c r="AJ18" i="1" s="1"/>
  <c r="AK18" i="1" a="1"/>
  <c r="AK18" i="1" s="1"/>
  <c r="AL18" i="1" a="1"/>
  <c r="AL18" i="1" s="1"/>
  <c r="Z19" i="1" a="1"/>
  <c r="Z19" i="1" s="1"/>
  <c r="AA19" i="1" a="1"/>
  <c r="AA19" i="1" s="1"/>
  <c r="AB19" i="1" a="1"/>
  <c r="AB19" i="1" s="1"/>
  <c r="AC19" i="1" a="1"/>
  <c r="AC19" i="1" s="1"/>
  <c r="AD19" i="1" a="1"/>
  <c r="AD19" i="1" s="1"/>
  <c r="AE19" i="1" a="1"/>
  <c r="AE19" i="1" s="1"/>
  <c r="AF19" i="1" a="1"/>
  <c r="AF19" i="1" s="1"/>
  <c r="AG19" i="1" a="1"/>
  <c r="AG19" i="1" s="1"/>
  <c r="AH19" i="1" a="1"/>
  <c r="AH19" i="1" s="1"/>
  <c r="AI19" i="1" a="1"/>
  <c r="AI19" i="1" s="1"/>
  <c r="AJ19" i="1" a="1"/>
  <c r="AJ19" i="1" s="1"/>
  <c r="AK19" i="1" a="1"/>
  <c r="AK19" i="1" s="1"/>
  <c r="AL19" i="1" a="1"/>
  <c r="AL19" i="1" s="1"/>
  <c r="Z20" i="1" a="1"/>
  <c r="Z20" i="1" s="1"/>
  <c r="AA20" i="1" a="1"/>
  <c r="AA20" i="1" s="1"/>
  <c r="AB20" i="1" a="1"/>
  <c r="AB20" i="1" s="1"/>
  <c r="AC20" i="1" a="1"/>
  <c r="AC20" i="1" s="1"/>
  <c r="AD20" i="1" a="1"/>
  <c r="AD20" i="1" s="1"/>
  <c r="AE20" i="1" a="1"/>
  <c r="AE20" i="1" s="1"/>
  <c r="AF20" i="1" a="1"/>
  <c r="AF20" i="1" s="1"/>
  <c r="AG20" i="1" a="1"/>
  <c r="AG20" i="1" s="1"/>
  <c r="AH20" i="1" a="1"/>
  <c r="AH20" i="1" s="1"/>
  <c r="AI20" i="1" a="1"/>
  <c r="AI20" i="1" s="1"/>
  <c r="AJ20" i="1" a="1"/>
  <c r="AJ20" i="1" s="1"/>
  <c r="AK20" i="1" a="1"/>
  <c r="AK20" i="1" s="1"/>
  <c r="AL20" i="1" a="1"/>
  <c r="AL20" i="1" s="1"/>
  <c r="Z21" i="1" a="1"/>
  <c r="Z21" i="1" s="1"/>
  <c r="AA21" i="1" a="1"/>
  <c r="AA21" i="1" s="1"/>
  <c r="AB21" i="1" a="1"/>
  <c r="AB21" i="1" s="1"/>
  <c r="AC21" i="1" a="1"/>
  <c r="AC21" i="1" s="1"/>
  <c r="AD21" i="1" a="1"/>
  <c r="AD21" i="1" s="1"/>
  <c r="AE21" i="1" a="1"/>
  <c r="AE21" i="1" s="1"/>
  <c r="AF21" i="1" a="1"/>
  <c r="AF21" i="1" s="1"/>
  <c r="AG21" i="1" a="1"/>
  <c r="AG21" i="1" s="1"/>
  <c r="AH21" i="1" a="1"/>
  <c r="AH21" i="1" s="1"/>
  <c r="AI21" i="1" a="1"/>
  <c r="AI21" i="1" s="1"/>
  <c r="AJ21" i="1" a="1"/>
  <c r="AJ21" i="1" s="1"/>
  <c r="AK21" i="1" a="1"/>
  <c r="AK21" i="1" s="1"/>
  <c r="AL21" i="1" a="1"/>
  <c r="AL21" i="1" s="1"/>
  <c r="Z22" i="1" a="1"/>
  <c r="Z22" i="1" s="1"/>
  <c r="AA22" i="1" a="1"/>
  <c r="AA22" i="1" s="1"/>
  <c r="AB22" i="1" a="1"/>
  <c r="AB22" i="1" s="1"/>
  <c r="AC22" i="1" a="1"/>
  <c r="AC22" i="1" s="1"/>
  <c r="AD22" i="1" a="1"/>
  <c r="AD22" i="1" s="1"/>
  <c r="AE22" i="1" a="1"/>
  <c r="AE22" i="1" s="1"/>
  <c r="AF22" i="1" a="1"/>
  <c r="AF22" i="1" s="1"/>
  <c r="AG22" i="1" a="1"/>
  <c r="AG22" i="1" s="1"/>
  <c r="AH22" i="1" a="1"/>
  <c r="AH22" i="1" s="1"/>
  <c r="AI22" i="1" a="1"/>
  <c r="AI22" i="1" s="1"/>
  <c r="AJ22" i="1" a="1"/>
  <c r="AJ22" i="1" s="1"/>
  <c r="AK22" i="1" a="1"/>
  <c r="AK22" i="1" s="1"/>
  <c r="AL22" i="1" a="1"/>
  <c r="AL22" i="1" s="1"/>
  <c r="Z23" i="1" a="1"/>
  <c r="Z23" i="1" s="1"/>
  <c r="AA23" i="1" a="1"/>
  <c r="AA23" i="1" s="1"/>
  <c r="AB23" i="1" a="1"/>
  <c r="AB23" i="1" s="1"/>
  <c r="AC23" i="1" a="1"/>
  <c r="AC23" i="1" s="1"/>
  <c r="AD23" i="1" a="1"/>
  <c r="AD23" i="1" s="1"/>
  <c r="AE23" i="1" a="1"/>
  <c r="AE23" i="1" s="1"/>
  <c r="AF23" i="1" a="1"/>
  <c r="AF23" i="1" s="1"/>
  <c r="AG23" i="1" a="1"/>
  <c r="AG23" i="1" s="1"/>
  <c r="AH23" i="1" a="1"/>
  <c r="AH23" i="1" s="1"/>
  <c r="AI23" i="1" a="1"/>
  <c r="AI23" i="1" s="1"/>
  <c r="AJ23" i="1" a="1"/>
  <c r="AJ23" i="1" s="1"/>
  <c r="AK23" i="1" a="1"/>
  <c r="AK23" i="1" s="1"/>
  <c r="AL23" i="1" a="1"/>
  <c r="AL23" i="1" s="1"/>
  <c r="Z24" i="1" a="1"/>
  <c r="Z24" i="1" s="1"/>
  <c r="AA24" i="1" a="1"/>
  <c r="AA24" i="1" s="1"/>
  <c r="AB24" i="1" a="1"/>
  <c r="AB24" i="1" s="1"/>
  <c r="AC24" i="1" a="1"/>
  <c r="AC24" i="1" s="1"/>
  <c r="AD24" i="1" a="1"/>
  <c r="AD24" i="1" s="1"/>
  <c r="AE24" i="1" a="1"/>
  <c r="AE24" i="1" s="1"/>
  <c r="AF24" i="1" a="1"/>
  <c r="AF24" i="1" s="1"/>
  <c r="AG24" i="1" a="1"/>
  <c r="AG24" i="1" s="1"/>
  <c r="AH24" i="1" a="1"/>
  <c r="AH24" i="1" s="1"/>
  <c r="AI24" i="1" a="1"/>
  <c r="AI24" i="1" s="1"/>
  <c r="AJ24" i="1" a="1"/>
  <c r="AJ24" i="1" s="1"/>
  <c r="AK24" i="1" a="1"/>
  <c r="AK24" i="1" s="1"/>
  <c r="AL24" i="1" a="1"/>
  <c r="AL24" i="1" s="1"/>
  <c r="Z25" i="1" a="1"/>
  <c r="Z25" i="1" s="1"/>
  <c r="AA25" i="1" a="1"/>
  <c r="AA25" i="1" s="1"/>
  <c r="AB25" i="1" a="1"/>
  <c r="AB25" i="1" s="1"/>
  <c r="AC25" i="1" a="1"/>
  <c r="AC25" i="1" s="1"/>
  <c r="AD25" i="1" a="1"/>
  <c r="AD25" i="1" s="1"/>
  <c r="AE25" i="1" a="1"/>
  <c r="AE25" i="1" s="1"/>
  <c r="AF25" i="1" a="1"/>
  <c r="AF25" i="1" s="1"/>
  <c r="AG25" i="1" a="1"/>
  <c r="AG25" i="1" s="1"/>
  <c r="AH25" i="1" a="1"/>
  <c r="AH25" i="1" s="1"/>
  <c r="AI25" i="1" a="1"/>
  <c r="AI25" i="1" s="1"/>
  <c r="AJ25" i="1" a="1"/>
  <c r="AJ25" i="1" s="1"/>
  <c r="AK25" i="1" a="1"/>
  <c r="AK25" i="1" s="1"/>
  <c r="AL25" i="1" a="1"/>
  <c r="AL25" i="1" s="1"/>
  <c r="Z26" i="1" a="1"/>
  <c r="Z26" i="1" s="1"/>
  <c r="AA26" i="1" a="1"/>
  <c r="AA26" i="1" s="1"/>
  <c r="AB26" i="1" a="1"/>
  <c r="AB26" i="1" s="1"/>
  <c r="AC26" i="1" a="1"/>
  <c r="AC26" i="1" s="1"/>
  <c r="AD26" i="1" a="1"/>
  <c r="AD26" i="1" s="1"/>
  <c r="AE26" i="1" a="1"/>
  <c r="AE26" i="1" s="1"/>
  <c r="AF26" i="1" a="1"/>
  <c r="AF26" i="1" s="1"/>
  <c r="AG26" i="1" a="1"/>
  <c r="AG26" i="1" s="1"/>
  <c r="AH26" i="1" a="1"/>
  <c r="AH26" i="1" s="1"/>
  <c r="AI26" i="1" a="1"/>
  <c r="AI26" i="1" s="1"/>
  <c r="AJ26" i="1" a="1"/>
  <c r="AJ26" i="1" s="1"/>
  <c r="AK26" i="1" a="1"/>
  <c r="AK26" i="1" s="1"/>
  <c r="AL26" i="1" a="1"/>
  <c r="AL26" i="1" s="1"/>
  <c r="Z27" i="1" a="1"/>
  <c r="Z27" i="1" s="1"/>
  <c r="AA27" i="1" a="1"/>
  <c r="AA27" i="1" s="1"/>
  <c r="AB27" i="1" a="1"/>
  <c r="AB27" i="1" s="1"/>
  <c r="AC27" i="1" a="1"/>
  <c r="AC27" i="1" s="1"/>
  <c r="AD27" i="1" a="1"/>
  <c r="AD27" i="1" s="1"/>
  <c r="AE27" i="1" a="1"/>
  <c r="AE27" i="1" s="1"/>
  <c r="AF27" i="1" a="1"/>
  <c r="AF27" i="1" s="1"/>
  <c r="AG27" i="1" a="1"/>
  <c r="AG27" i="1" s="1"/>
  <c r="AH27" i="1" a="1"/>
  <c r="AH27" i="1" s="1"/>
  <c r="AI27" i="1" a="1"/>
  <c r="AI27" i="1" s="1"/>
  <c r="AJ27" i="1" a="1"/>
  <c r="AJ27" i="1" s="1"/>
  <c r="AK27" i="1" a="1"/>
  <c r="AK27" i="1" s="1"/>
  <c r="AL27" i="1" a="1"/>
  <c r="AL27" i="1" s="1"/>
  <c r="Z28" i="1" a="1"/>
  <c r="Z28" i="1" s="1"/>
  <c r="AA28" i="1" a="1"/>
  <c r="AA28" i="1" s="1"/>
  <c r="AB28" i="1" a="1"/>
  <c r="AB28" i="1" s="1"/>
  <c r="AC28" i="1" a="1"/>
  <c r="AC28" i="1" s="1"/>
  <c r="AD28" i="1" a="1"/>
  <c r="AD28" i="1" s="1"/>
  <c r="AE28" i="1" a="1"/>
  <c r="AE28" i="1" s="1"/>
  <c r="AF28" i="1" a="1"/>
  <c r="AF28" i="1" s="1"/>
  <c r="AG28" i="1" a="1"/>
  <c r="AG28" i="1" s="1"/>
  <c r="AH28" i="1" a="1"/>
  <c r="AH28" i="1" s="1"/>
  <c r="AI28" i="1" a="1"/>
  <c r="AI28" i="1" s="1"/>
  <c r="AJ28" i="1" a="1"/>
  <c r="AJ28" i="1" s="1"/>
  <c r="AK28" i="1" a="1"/>
  <c r="AK28" i="1" s="1"/>
  <c r="AL28" i="1" a="1"/>
  <c r="AL28" i="1" s="1"/>
  <c r="Z29" i="1" a="1"/>
  <c r="Z29" i="1" s="1"/>
  <c r="AA29" i="1" a="1"/>
  <c r="AA29" i="1" s="1"/>
  <c r="AB29" i="1" a="1"/>
  <c r="AB29" i="1" s="1"/>
  <c r="AC29" i="1" a="1"/>
  <c r="AC29" i="1" s="1"/>
  <c r="AD29" i="1" a="1"/>
  <c r="AD29" i="1" s="1"/>
  <c r="AE29" i="1" a="1"/>
  <c r="AE29" i="1" s="1"/>
  <c r="AF29" i="1" a="1"/>
  <c r="AF29" i="1" s="1"/>
  <c r="AG29" i="1" a="1"/>
  <c r="AG29" i="1" s="1"/>
  <c r="AH29" i="1" a="1"/>
  <c r="AH29" i="1" s="1"/>
  <c r="AI29" i="1" a="1"/>
  <c r="AI29" i="1" s="1"/>
  <c r="AJ29" i="1" a="1"/>
  <c r="AJ29" i="1" s="1"/>
  <c r="AK29" i="1" a="1"/>
  <c r="AK29" i="1" s="1"/>
  <c r="AL29" i="1" a="1"/>
  <c r="AL29" i="1" s="1"/>
  <c r="Z30" i="1" a="1"/>
  <c r="Z30" i="1" s="1"/>
  <c r="AA30" i="1" a="1"/>
  <c r="AA30" i="1" s="1"/>
  <c r="AB30" i="1" a="1"/>
  <c r="AB30" i="1" s="1"/>
  <c r="AC30" i="1" a="1"/>
  <c r="AC30" i="1" s="1"/>
  <c r="AD30" i="1" a="1"/>
  <c r="AD30" i="1" s="1"/>
  <c r="AE30" i="1" a="1"/>
  <c r="AE30" i="1" s="1"/>
  <c r="AF30" i="1" a="1"/>
  <c r="AF30" i="1" s="1"/>
  <c r="AG30" i="1" a="1"/>
  <c r="AG30" i="1" s="1"/>
  <c r="AH30" i="1" a="1"/>
  <c r="AH30" i="1" s="1"/>
  <c r="AI30" i="1" a="1"/>
  <c r="AI30" i="1" s="1"/>
  <c r="AJ30" i="1" a="1"/>
  <c r="AJ30" i="1" s="1"/>
  <c r="AK30" i="1" a="1"/>
  <c r="AK30" i="1" s="1"/>
  <c r="AL30" i="1" a="1"/>
  <c r="AL30" i="1" s="1"/>
  <c r="R3" i="6" l="1" a="1"/>
  <c r="R3" i="6" s="1"/>
  <c r="N6" i="6" a="1"/>
  <c r="N6" i="6" s="1"/>
  <c r="O6" i="6"/>
  <c r="AN6" i="6"/>
  <c r="BC6" i="6" a="1"/>
  <c r="BC6" i="6" s="1"/>
  <c r="AY6" i="6" a="1"/>
  <c r="AY6" i="6" s="1"/>
  <c r="AM6" i="6" a="1"/>
  <c r="AM6" i="6" s="1"/>
  <c r="AX6" i="6"/>
  <c r="BB6" i="6" a="1"/>
  <c r="BB6" i="6" s="1"/>
  <c r="AZ6" i="6" a="1"/>
  <c r="AZ6" i="6" s="1"/>
  <c r="AP6" i="6"/>
  <c r="P6" i="6"/>
  <c r="BA6" i="6" a="1"/>
  <c r="BA6" i="6" s="1"/>
  <c r="AO6" i="6"/>
  <c r="BB6" i="1" a="1"/>
  <c r="BB6" i="1" s="1"/>
  <c r="BB7" i="1" a="1"/>
  <c r="BB7" i="1" s="1"/>
  <c r="BA7" i="1" a="1"/>
  <c r="BA7" i="1" s="1"/>
  <c r="BC8" i="1" a="1"/>
  <c r="BC8" i="1" s="1"/>
  <c r="BA8" i="1" a="1"/>
  <c r="BA8" i="1" s="1"/>
  <c r="BB9" i="1" a="1"/>
  <c r="BB9" i="1" s="1"/>
  <c r="BC6" i="1" a="1"/>
  <c r="BC6" i="1" s="1"/>
  <c r="AZ6" i="1" a="1"/>
  <c r="AZ6" i="1" s="1"/>
  <c r="BC9" i="1" a="1"/>
  <c r="BC9" i="1" s="1"/>
  <c r="BC7" i="1" a="1"/>
  <c r="BC7" i="1" s="1"/>
  <c r="AZ7" i="1" a="1"/>
  <c r="AZ7" i="1" s="1"/>
  <c r="BA9" i="1" a="1"/>
  <c r="BA9" i="1" s="1"/>
  <c r="BB10" i="1" a="1"/>
  <c r="BB10" i="1" s="1"/>
  <c r="BC10" i="1" a="1"/>
  <c r="BC10" i="1" s="1"/>
  <c r="AZ8" i="1" a="1"/>
  <c r="AZ8" i="1" s="1"/>
  <c r="BA10" i="1" a="1"/>
  <c r="BA10" i="1" s="1"/>
  <c r="BB11" i="1" a="1"/>
  <c r="BB11" i="1" s="1"/>
  <c r="BC11" i="1" a="1"/>
  <c r="BC11" i="1" s="1"/>
  <c r="BA6" i="1" a="1"/>
  <c r="BA6" i="1" s="1"/>
  <c r="BA11" i="1" a="1"/>
  <c r="BA11" i="1" s="1"/>
  <c r="AY6" i="1" a="1"/>
  <c r="AY6" i="1" s="1"/>
  <c r="AZ9" i="1" a="1"/>
  <c r="AZ9" i="1" s="1"/>
  <c r="BB12" i="1" a="1"/>
  <c r="BB12" i="1" s="1"/>
  <c r="BC12" i="1" a="1"/>
  <c r="BC12" i="1" s="1"/>
  <c r="AY7" i="1" a="1"/>
  <c r="AY7" i="1" s="1"/>
  <c r="BA12" i="1" a="1"/>
  <c r="BA12" i="1" s="1"/>
  <c r="AY8" i="1" a="1"/>
  <c r="AY8" i="1" s="1"/>
  <c r="AZ10" i="1" a="1"/>
  <c r="AZ10" i="1" s="1"/>
  <c r="BB8" i="1" a="1"/>
  <c r="BB8" i="1" s="1"/>
  <c r="AZ11" i="1" a="1"/>
  <c r="AZ11" i="1" s="1"/>
  <c r="AY9" i="1" a="1"/>
  <c r="AY9" i="1" s="1"/>
  <c r="AY10" i="1" a="1"/>
  <c r="AY10" i="1" s="1"/>
  <c r="AZ12" i="1" a="1"/>
  <c r="AZ12" i="1" s="1"/>
  <c r="AY11" i="1" a="1"/>
  <c r="AY11" i="1" s="1"/>
  <c r="AY12" i="1" a="1"/>
  <c r="AY12" i="1" s="1"/>
  <c r="AC3" i="1" a="1"/>
  <c r="AC3" i="1" s="1"/>
  <c r="AU6" i="6" a="1"/>
  <c r="AU6" i="6" s="1"/>
  <c r="X6" i="6"/>
  <c r="AT6" i="6" a="1"/>
  <c r="AT6" i="6" s="1"/>
  <c r="V6" i="6"/>
  <c r="O3" i="6" s="1"/>
  <c r="AV6" i="1" a="1"/>
  <c r="AV6" i="1" s="1"/>
  <c r="AW6" i="6" a="1"/>
  <c r="AW6" i="6" s="1"/>
  <c r="AS6" i="6" a="1"/>
  <c r="AS6" i="6" s="1"/>
  <c r="U6" i="6"/>
  <c r="AV7" i="1" a="1"/>
  <c r="AV7" i="1" s="1"/>
  <c r="AL6" i="6" a="1"/>
  <c r="AL6" i="6" s="1"/>
  <c r="AR6" i="6" a="1"/>
  <c r="AR6" i="6" s="1"/>
  <c r="T6" i="6"/>
  <c r="AK6" i="6" a="1"/>
  <c r="AK6" i="6" s="1"/>
  <c r="S6" i="6"/>
  <c r="AV8" i="1" a="1"/>
  <c r="AV8" i="1" s="1"/>
  <c r="AJ6" i="6" a="1"/>
  <c r="AJ6" i="6" s="1"/>
  <c r="R6" i="6"/>
  <c r="AV9" i="1" a="1"/>
  <c r="AV9" i="1" s="1"/>
  <c r="AV6" i="6" a="1"/>
  <c r="AV6" i="6" s="1"/>
  <c r="Q6" i="6"/>
  <c r="AV10" i="1" a="1"/>
  <c r="AV10" i="1" s="1"/>
  <c r="AG6" i="6" a="1"/>
  <c r="AG6" i="6" s="1"/>
  <c r="AV11" i="1" a="1"/>
  <c r="AV11" i="1" s="1"/>
  <c r="AF6" i="6" a="1"/>
  <c r="AF6" i="6" s="1"/>
  <c r="AV12" i="1" a="1"/>
  <c r="AV12" i="1" s="1"/>
  <c r="AH6" i="6" a="1"/>
  <c r="AH6" i="6" s="1"/>
  <c r="AE6" i="6" a="1"/>
  <c r="AE6" i="6" s="1"/>
  <c r="AD6" i="6" a="1"/>
  <c r="AD6" i="6" s="1"/>
  <c r="AC6" i="6" a="1"/>
  <c r="AC6" i="6" s="1"/>
  <c r="AB6" i="6" a="1"/>
  <c r="AB6" i="6" s="1"/>
  <c r="AI6" i="6" a="1"/>
  <c r="AI6" i="6" s="1"/>
  <c r="AA6" i="6" a="1"/>
  <c r="AA6" i="6" s="1"/>
  <c r="AJ3" i="6" a="1"/>
  <c r="AJ3" i="6" s="1"/>
  <c r="Z6" i="6" a="1"/>
  <c r="Z6" i="6" s="1"/>
  <c r="AI3" i="6" a="1"/>
  <c r="AI3" i="6" s="1"/>
  <c r="AH3" i="6" a="1"/>
  <c r="AH3" i="6" s="1"/>
  <c r="AT7" i="1" a="1"/>
  <c r="AT7" i="1" s="1"/>
  <c r="AI6" i="1" a="1"/>
  <c r="AI6" i="1" s="1"/>
  <c r="AA8" i="1" a="1"/>
  <c r="AA8" i="1" s="1"/>
  <c r="AG9" i="1" a="1"/>
  <c r="AG9" i="1" s="1"/>
  <c r="Z11" i="1" a="1"/>
  <c r="Z11" i="1" s="1"/>
  <c r="AG12" i="1" a="1"/>
  <c r="AG12" i="1" s="1"/>
  <c r="AB10" i="1" a="1"/>
  <c r="AB10" i="1" s="1"/>
  <c r="AU7" i="1" a="1"/>
  <c r="AU7" i="1" s="1"/>
  <c r="AR11" i="1" a="1"/>
  <c r="AR11" i="1" s="1"/>
  <c r="AB8" i="1" a="1"/>
  <c r="AB8" i="1" s="1"/>
  <c r="AH9" i="1" a="1"/>
  <c r="AH9" i="1" s="1"/>
  <c r="AA11" i="1" a="1"/>
  <c r="AA11" i="1" s="1"/>
  <c r="AH12" i="1" a="1"/>
  <c r="AH12" i="1" s="1"/>
  <c r="AL7" i="1" a="1"/>
  <c r="AL7" i="1" s="1"/>
  <c r="AL10" i="1" a="1"/>
  <c r="AL10" i="1" s="1"/>
  <c r="AS11" i="1" a="1"/>
  <c r="AS11" i="1" s="1"/>
  <c r="AJ6" i="1" a="1"/>
  <c r="AJ6" i="1" s="1"/>
  <c r="AC8" i="1" a="1"/>
  <c r="AC8" i="1" s="1"/>
  <c r="S8" i="1" s="1"/>
  <c r="AI9" i="1" a="1"/>
  <c r="AI9" i="1" s="1"/>
  <c r="AB11" i="1" a="1"/>
  <c r="AB11" i="1" s="1"/>
  <c r="AI12" i="1" a="1"/>
  <c r="AI12" i="1" s="1"/>
  <c r="AI11" i="1" a="1"/>
  <c r="AI11" i="1" s="1"/>
  <c r="AB9" i="1" a="1"/>
  <c r="AB9" i="1" s="1"/>
  <c r="AE9" i="1" a="1"/>
  <c r="AE9" i="1" s="1"/>
  <c r="AF12" i="1" a="1"/>
  <c r="AF12" i="1" s="1"/>
  <c r="AR8" i="1" a="1"/>
  <c r="AR8" i="1" s="1"/>
  <c r="AT11" i="1" a="1"/>
  <c r="AT11" i="1" s="1"/>
  <c r="AK6" i="1" a="1"/>
  <c r="AK6" i="1" s="1"/>
  <c r="AD8" i="1" a="1"/>
  <c r="AD8" i="1" s="1"/>
  <c r="AW8" i="1" s="1" a="1"/>
  <c r="AW8" i="1" s="1"/>
  <c r="AJ9" i="1" a="1"/>
  <c r="AJ9" i="1" s="1"/>
  <c r="AC11" i="1" a="1"/>
  <c r="AC11" i="1" s="1"/>
  <c r="S11" i="1" s="1"/>
  <c r="AJ12" i="1" a="1"/>
  <c r="AJ12" i="1" s="1"/>
  <c r="AI8" i="1" a="1"/>
  <c r="AI8" i="1" s="1"/>
  <c r="AH10" i="1" a="1"/>
  <c r="AH10" i="1" s="1"/>
  <c r="AJ7" i="1" a="1"/>
  <c r="AJ7" i="1" s="1"/>
  <c r="AU10" i="1" a="1"/>
  <c r="AU10" i="1" s="1"/>
  <c r="AS8" i="1" a="1"/>
  <c r="AS8" i="1" s="1"/>
  <c r="AU11" i="1" a="1"/>
  <c r="AU11" i="1" s="1"/>
  <c r="AL6" i="1" a="1"/>
  <c r="AL6" i="1" s="1"/>
  <c r="AE8" i="1" a="1"/>
  <c r="AE8" i="1" s="1"/>
  <c r="AK9" i="1" a="1"/>
  <c r="AK9" i="1" s="1"/>
  <c r="AD11" i="1" a="1"/>
  <c r="AD11" i="1" s="1"/>
  <c r="AW11" i="1" s="1" a="1"/>
  <c r="AW11" i="1" s="1"/>
  <c r="AK12" i="1" a="1"/>
  <c r="AK12" i="1" s="1"/>
  <c r="AU6" i="1" a="1"/>
  <c r="AU6" i="1" s="1"/>
  <c r="AK10" i="1" a="1"/>
  <c r="AK10" i="1" s="1"/>
  <c r="Z8" i="1" a="1"/>
  <c r="Z8" i="1" s="1"/>
  <c r="AT8" i="1" a="1"/>
  <c r="AT8" i="1" s="1"/>
  <c r="Z7" i="1" a="1"/>
  <c r="Z7" i="1" s="1"/>
  <c r="AF8" i="1" a="1"/>
  <c r="AF8" i="1" s="1"/>
  <c r="AE11" i="1" a="1"/>
  <c r="AE11" i="1" s="1"/>
  <c r="AL12" i="1" a="1"/>
  <c r="AL12" i="1" s="1"/>
  <c r="AF6" i="1" a="1"/>
  <c r="AF6" i="1" s="1"/>
  <c r="AU8" i="1" a="1"/>
  <c r="AU8" i="1" s="1"/>
  <c r="AA7" i="1" a="1"/>
  <c r="AA7" i="1" s="1"/>
  <c r="AG8" i="1" a="1"/>
  <c r="AG8" i="1" s="1"/>
  <c r="AL9" i="1" a="1"/>
  <c r="AL9" i="1" s="1"/>
  <c r="AF11" i="1" a="1"/>
  <c r="AF11" i="1" s="1"/>
  <c r="AI10" i="1" a="1"/>
  <c r="AI10" i="1" s="1"/>
  <c r="AR12" i="1" a="1"/>
  <c r="AR12" i="1" s="1"/>
  <c r="AB7" i="1" a="1"/>
  <c r="AB7" i="1" s="1"/>
  <c r="Z10" i="1" a="1"/>
  <c r="Z10" i="1" s="1"/>
  <c r="AG11" i="1" a="1"/>
  <c r="AG11" i="1" s="1"/>
  <c r="AC12" i="1" a="1"/>
  <c r="AC12" i="1" s="1"/>
  <c r="S12" i="1" s="1"/>
  <c r="AE12" i="1" a="1"/>
  <c r="AE12" i="1" s="1"/>
  <c r="AF9" i="1" a="1"/>
  <c r="AF9" i="1" s="1"/>
  <c r="AS12" i="1" a="1"/>
  <c r="AS12" i="1" s="1"/>
  <c r="AC7" i="1" a="1"/>
  <c r="AC7" i="1" s="1"/>
  <c r="S7" i="1" s="1"/>
  <c r="AH8" i="1" a="1"/>
  <c r="AH8" i="1" s="1"/>
  <c r="AA10" i="1" a="1"/>
  <c r="AA10" i="1" s="1"/>
  <c r="AH11" i="1" a="1"/>
  <c r="AH11" i="1" s="1"/>
  <c r="AT12" i="1" a="1"/>
  <c r="AT12" i="1" s="1"/>
  <c r="AS10" i="1" a="1"/>
  <c r="AS10" i="1" s="1"/>
  <c r="AC9" i="1" a="1"/>
  <c r="AC9" i="1" s="1"/>
  <c r="S9" i="1" s="1"/>
  <c r="AR9" i="1" a="1"/>
  <c r="AR9" i="1" s="1"/>
  <c r="AS9" i="1" a="1"/>
  <c r="AS9" i="1" s="1"/>
  <c r="Z6" i="1" a="1"/>
  <c r="Z6" i="1" s="1"/>
  <c r="AD7" i="1" a="1"/>
  <c r="AD7" i="1" s="1"/>
  <c r="AW7" i="1" s="1" a="1"/>
  <c r="AW7" i="1" s="1"/>
  <c r="AJ8" i="1" a="1"/>
  <c r="AJ8" i="1" s="1"/>
  <c r="AC10" i="1" a="1"/>
  <c r="AC10" i="1" s="1"/>
  <c r="S10" i="1" s="1"/>
  <c r="AJ11" i="1" a="1"/>
  <c r="AJ11" i="1" s="1"/>
  <c r="AT6" i="1" a="1"/>
  <c r="AT6" i="1" s="1"/>
  <c r="AE6" i="1" a="1"/>
  <c r="AE6" i="1" s="1"/>
  <c r="AH6" i="1" a="1"/>
  <c r="AH6" i="1" s="1"/>
  <c r="AT9" i="1" a="1"/>
  <c r="AT9" i="1" s="1"/>
  <c r="AU12" i="1" a="1"/>
  <c r="AU12" i="1" s="1"/>
  <c r="AA6" i="1" a="1"/>
  <c r="AA6" i="1" s="1"/>
  <c r="AE7" i="1" a="1"/>
  <c r="AE7" i="1" s="1"/>
  <c r="AK8" i="1" a="1"/>
  <c r="AK8" i="1" s="1"/>
  <c r="AD10" i="1" a="1"/>
  <c r="AD10" i="1" s="1"/>
  <c r="AW10" i="1" s="1" a="1"/>
  <c r="AW10" i="1" s="1"/>
  <c r="AK11" i="1" a="1"/>
  <c r="AK11" i="1" s="1"/>
  <c r="AU9" i="1" a="1"/>
  <c r="AU9" i="1" s="1"/>
  <c r="AB6" i="1" a="1"/>
  <c r="AB6" i="1" s="1"/>
  <c r="AF7" i="1" a="1"/>
  <c r="AF7" i="1" s="1"/>
  <c r="AL8" i="1" a="1"/>
  <c r="AL8" i="1" s="1"/>
  <c r="AE10" i="1" a="1"/>
  <c r="AE10" i="1" s="1"/>
  <c r="AL11" i="1" a="1"/>
  <c r="AL11" i="1" s="1"/>
  <c r="AB12" i="1" a="1"/>
  <c r="AB12" i="1" s="1"/>
  <c r="AR6" i="1" a="1"/>
  <c r="AR6" i="1" s="1"/>
  <c r="AC6" i="1" a="1"/>
  <c r="AC6" i="1" s="1"/>
  <c r="S6" i="1" s="1"/>
  <c r="AG7" i="1" a="1"/>
  <c r="AG7" i="1" s="1"/>
  <c r="Z9" i="1" a="1"/>
  <c r="Z9" i="1" s="1"/>
  <c r="AF10" i="1" a="1"/>
  <c r="AF10" i="1" s="1"/>
  <c r="Z12" i="1" a="1"/>
  <c r="Z12" i="1" s="1"/>
  <c r="AS6" i="1" a="1"/>
  <c r="AS6" i="1" s="1"/>
  <c r="AD6" i="1" a="1"/>
  <c r="AD6" i="1" s="1"/>
  <c r="AW6" i="1" s="1" a="1"/>
  <c r="AW6" i="1" s="1"/>
  <c r="AH7" i="1" a="1"/>
  <c r="AH7" i="1" s="1"/>
  <c r="AA9" i="1" a="1"/>
  <c r="AA9" i="1" s="1"/>
  <c r="AG10" i="1" a="1"/>
  <c r="AG10" i="1" s="1"/>
  <c r="AA12" i="1" a="1"/>
  <c r="AA12" i="1" s="1"/>
  <c r="AR10" i="1" a="1"/>
  <c r="AR10" i="1" s="1"/>
  <c r="AI7" i="1" a="1"/>
  <c r="AI7" i="1" s="1"/>
  <c r="AS7" i="1" a="1"/>
  <c r="AS7" i="1" s="1"/>
  <c r="AK7" i="1" a="1"/>
  <c r="AK7" i="1" s="1"/>
  <c r="AD9" i="1" a="1"/>
  <c r="AD9" i="1" s="1"/>
  <c r="AW9" i="1" s="1" a="1"/>
  <c r="AW9" i="1" s="1"/>
  <c r="AJ10" i="1" a="1"/>
  <c r="AJ10" i="1" s="1"/>
  <c r="AD12" i="1" a="1"/>
  <c r="AD12" i="1" s="1"/>
  <c r="AW12" i="1" s="1" a="1"/>
  <c r="AW12" i="1" s="1"/>
  <c r="AR7" i="1" a="1"/>
  <c r="AR7" i="1" s="1"/>
  <c r="AT10" i="1" a="1"/>
  <c r="AT10" i="1" s="1"/>
  <c r="AG6" i="1" a="1"/>
  <c r="AG6" i="1" s="1"/>
  <c r="AE3" i="6" a="1"/>
  <c r="AE3" i="6" s="1"/>
  <c r="AF3" i="6" a="1"/>
  <c r="AF3" i="6" s="1"/>
  <c r="AG3" i="6" a="1"/>
  <c r="AG3" i="6" s="1"/>
  <c r="AA3" i="6" a="1"/>
  <c r="AA3" i="6" s="1"/>
  <c r="I6" i="6" a="1"/>
  <c r="I6" i="6" s="1"/>
  <c r="J6" i="6" a="1"/>
  <c r="J6" i="6" s="1"/>
  <c r="AQ6" i="6" s="1"/>
  <c r="W6" i="6" s="1"/>
  <c r="K6" i="6" a="1"/>
  <c r="K6" i="6" s="1"/>
  <c r="L6" i="6" a="1"/>
  <c r="L6" i="6" s="1"/>
  <c r="M6" i="6" a="1"/>
  <c r="M6" i="6" s="1"/>
  <c r="Z3" i="6" s="1" a="1"/>
  <c r="Z3" i="6" s="1"/>
  <c r="N6" i="1" a="1"/>
  <c r="N6" i="1" s="1"/>
  <c r="M6" i="1" a="1"/>
  <c r="M6" i="1" s="1"/>
  <c r="L6" i="1" a="1"/>
  <c r="L6" i="1" s="1"/>
  <c r="K6" i="1" a="1"/>
  <c r="K6" i="1" s="1"/>
  <c r="J6" i="1" a="1"/>
  <c r="J6" i="1" s="1"/>
  <c r="I6" i="1" a="1"/>
  <c r="I6" i="1" s="1"/>
  <c r="R3" i="1" l="1" a="1"/>
  <c r="R3" i="1" s="1"/>
  <c r="AM6" i="1" a="1"/>
  <c r="AM6" i="1" s="1"/>
  <c r="O12" i="1"/>
  <c r="AM7" i="1" a="1"/>
  <c r="AM7" i="1" s="1"/>
  <c r="O11" i="1"/>
  <c r="O10" i="1"/>
  <c r="O9" i="1"/>
  <c r="AX8" i="1"/>
  <c r="AN8" i="1" a="1"/>
  <c r="AN8" i="1" s="1"/>
  <c r="AE3" i="1" a="1"/>
  <c r="AE3" i="1" s="1"/>
  <c r="O8" i="1"/>
  <c r="P8" i="1" s="1"/>
  <c r="K3" i="1"/>
  <c r="AM9" i="1" a="1"/>
  <c r="AM9" i="1" s="1"/>
  <c r="AM8" i="1" a="1"/>
  <c r="AM8" i="1" s="1"/>
  <c r="AM10" i="1" a="1"/>
  <c r="AM10" i="1" s="1"/>
  <c r="AM12" i="1" a="1"/>
  <c r="AM12" i="1" s="1"/>
  <c r="O7" i="1"/>
  <c r="O6" i="1"/>
  <c r="AM11" i="1" a="1"/>
  <c r="AM11" i="1" s="1"/>
  <c r="AG3" i="1" a="1"/>
  <c r="AG3" i="1" s="1"/>
  <c r="U12" i="1" s="1"/>
  <c r="AF3" i="1" a="1"/>
  <c r="AF3" i="1" s="1"/>
  <c r="Z3" i="1" a="1"/>
  <c r="Z3" i="1" s="1"/>
  <c r="AH3" i="1" a="1"/>
  <c r="AH3" i="1" s="1"/>
  <c r="AI3" i="1" a="1"/>
  <c r="AI3" i="1" s="1"/>
  <c r="AJ3" i="1" a="1"/>
  <c r="AJ3" i="1" s="1"/>
  <c r="AQ22" i="6"/>
  <c r="W22" i="6" s="1"/>
  <c r="AQ26" i="6"/>
  <c r="W26" i="6" s="1"/>
  <c r="AQ30" i="6"/>
  <c r="W30" i="6" s="1"/>
  <c r="AQ9" i="6"/>
  <c r="W9" i="6" s="1"/>
  <c r="AQ13" i="6"/>
  <c r="W13" i="6" s="1"/>
  <c r="AQ17" i="6"/>
  <c r="W17" i="6" s="1"/>
  <c r="AQ23" i="6"/>
  <c r="W23" i="6" s="1"/>
  <c r="AQ18" i="6"/>
  <c r="W18" i="6" s="1"/>
  <c r="AQ21" i="6"/>
  <c r="W21" i="6" s="1"/>
  <c r="AQ25" i="6"/>
  <c r="W25" i="6" s="1"/>
  <c r="AQ29" i="6"/>
  <c r="W29" i="6" s="1"/>
  <c r="AQ8" i="6"/>
  <c r="W8" i="6" s="1"/>
  <c r="AQ24" i="6"/>
  <c r="W24" i="6" s="1"/>
  <c r="AQ7" i="6"/>
  <c r="W7" i="6" s="1"/>
  <c r="AQ27" i="6"/>
  <c r="W27" i="6" s="1"/>
  <c r="AQ12" i="6"/>
  <c r="W12" i="6" s="1"/>
  <c r="AQ16" i="6"/>
  <c r="W16" i="6" s="1"/>
  <c r="AQ20" i="6"/>
  <c r="W20" i="6" s="1"/>
  <c r="AQ28" i="6"/>
  <c r="W28" i="6" s="1"/>
  <c r="AQ11" i="6"/>
  <c r="W11" i="6" s="1"/>
  <c r="AQ15" i="6"/>
  <c r="W15" i="6" s="1"/>
  <c r="AQ19" i="6"/>
  <c r="W19" i="6" s="1"/>
  <c r="AQ10" i="6"/>
  <c r="W10" i="6" s="1"/>
  <c r="AQ14" i="6"/>
  <c r="W14" i="6" s="1"/>
  <c r="AA3" i="1" a="1"/>
  <c r="AA3" i="1" s="1"/>
  <c r="AQ14" i="1"/>
  <c r="W14" i="1" s="1"/>
  <c r="AQ18" i="1"/>
  <c r="W18" i="1" s="1"/>
  <c r="AQ22" i="1"/>
  <c r="W22" i="1" s="1"/>
  <c r="AQ26" i="1"/>
  <c r="W26" i="1" s="1"/>
  <c r="AQ30" i="1"/>
  <c r="W30" i="1" s="1"/>
  <c r="AQ28" i="1"/>
  <c r="W28" i="1" s="1"/>
  <c r="AQ19" i="1"/>
  <c r="W19" i="1" s="1"/>
  <c r="AQ27" i="1"/>
  <c r="W27" i="1" s="1"/>
  <c r="AQ13" i="1"/>
  <c r="W13" i="1" s="1"/>
  <c r="AQ17" i="1"/>
  <c r="W17" i="1" s="1"/>
  <c r="AQ21" i="1"/>
  <c r="W21" i="1" s="1"/>
  <c r="AQ25" i="1"/>
  <c r="W25" i="1" s="1"/>
  <c r="AQ29" i="1"/>
  <c r="W29" i="1" s="1"/>
  <c r="AQ23" i="1"/>
  <c r="W23" i="1" s="1"/>
  <c r="AQ16" i="1"/>
  <c r="W16" i="1" s="1"/>
  <c r="AQ20" i="1"/>
  <c r="W20" i="1" s="1"/>
  <c r="AQ24" i="1"/>
  <c r="W24" i="1" s="1"/>
  <c r="AQ15" i="1"/>
  <c r="W15" i="1" s="1"/>
  <c r="Q12" i="1"/>
  <c r="Q8" i="1"/>
  <c r="Q9" i="1"/>
  <c r="Q11" i="1"/>
  <c r="Q10" i="1"/>
  <c r="AO10" i="1" l="1"/>
  <c r="AN11" i="1" a="1"/>
  <c r="AN11" i="1" s="1"/>
  <c r="AX11" i="1" s="1"/>
  <c r="P11" i="1" s="1"/>
  <c r="AN6" i="1" a="1"/>
  <c r="AN6" i="1" s="1"/>
  <c r="AX6" i="1" s="1"/>
  <c r="Q6" i="1" s="1"/>
  <c r="AP7" i="1"/>
  <c r="AO11" i="1"/>
  <c r="AN9" i="1" a="1"/>
  <c r="AN9" i="1" s="1"/>
  <c r="AO7" i="1"/>
  <c r="AO9" i="1"/>
  <c r="AN12" i="1" a="1"/>
  <c r="AN12" i="1" s="1"/>
  <c r="AX12" i="1" s="1"/>
  <c r="P12" i="1" s="1"/>
  <c r="AP10" i="1"/>
  <c r="AO12" i="1"/>
  <c r="AP12" i="1"/>
  <c r="AO8" i="1"/>
  <c r="R8" i="1" s="1"/>
  <c r="AO6" i="1"/>
  <c r="AN10" i="1" a="1"/>
  <c r="AN10" i="1" s="1"/>
  <c r="AP11" i="1"/>
  <c r="AP9" i="1"/>
  <c r="AN7" i="1" a="1"/>
  <c r="AN7" i="1" s="1"/>
  <c r="AP6" i="1"/>
  <c r="U11" i="1"/>
  <c r="AQ11" i="1" s="1"/>
  <c r="AP8" i="1"/>
  <c r="AQ12" i="1"/>
  <c r="U9" i="1"/>
  <c r="AQ9" i="1" s="1"/>
  <c r="U8" i="1"/>
  <c r="AQ8" i="1" s="1"/>
  <c r="U10" i="1"/>
  <c r="AQ10" i="1" s="1"/>
  <c r="U7" i="1"/>
  <c r="AQ7" i="1" s="1"/>
  <c r="U6" i="1"/>
  <c r="AQ6" i="1" s="1"/>
  <c r="P3" i="6"/>
  <c r="P6" i="1" l="1"/>
  <c r="AX10" i="1"/>
  <c r="P10" i="1" s="1"/>
  <c r="R10" i="1" s="1"/>
  <c r="T10" i="1" s="1"/>
  <c r="AX7" i="1"/>
  <c r="Q7" i="1" s="1"/>
  <c r="AX9" i="1"/>
  <c r="P9" i="1" s="1"/>
  <c r="R9" i="1" s="1"/>
  <c r="T9" i="1" s="1"/>
  <c r="V9" i="1" s="1"/>
  <c r="R12" i="1"/>
  <c r="T12" i="1" s="1"/>
  <c r="V12" i="1" s="1"/>
  <c r="R6" i="1"/>
  <c r="T6" i="1" s="1"/>
  <c r="V6" i="1" s="1"/>
  <c r="T8" i="1"/>
  <c r="V8" i="1" s="1"/>
  <c r="R11" i="1"/>
  <c r="T11" i="1" s="1"/>
  <c r="V11" i="1" s="1"/>
  <c r="W8" i="1" l="1"/>
  <c r="W6" i="1"/>
  <c r="W12" i="1"/>
  <c r="X8" i="1"/>
  <c r="X12" i="1"/>
  <c r="V10" i="1"/>
  <c r="W10" i="1"/>
  <c r="P7" i="1"/>
  <c r="R7" i="1" s="1"/>
  <c r="T7" i="1" s="1"/>
  <c r="V7" i="1" s="1"/>
  <c r="W9" i="1"/>
  <c r="X9" i="1" s="1"/>
  <c r="W11" i="1"/>
  <c r="X11" i="1" s="1"/>
  <c r="X6" i="1"/>
  <c r="X10" i="1" l="1"/>
  <c r="W7" i="1"/>
  <c r="X7" i="1" s="1"/>
  <c r="O3" i="1"/>
  <c r="P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author>
  </authors>
  <commentList>
    <comment ref="B2" authorId="0" shapeId="0" xr:uid="{09189D7B-76BC-4016-900E-2F97BE9AFE68}">
      <text>
        <r>
          <rPr>
            <b/>
            <sz val="9"/>
            <color indexed="81"/>
            <rFont val="Tahoma"/>
            <charset val="1"/>
          </rPr>
          <t>Mike:</t>
        </r>
        <r>
          <rPr>
            <sz val="9"/>
            <color indexed="81"/>
            <rFont val="Tahoma"/>
            <charset val="1"/>
          </rPr>
          <t xml:space="preserve">
Source: Wahapedia, Warhammer 40,000 11th edition Core Rules, section 24 (Abilities), https://wahapedia.ru/wh40k11ed/the-rules/core-rules/ — retrieved 2026-10-05. Rule summaries paraphrased.</t>
        </r>
      </text>
    </comment>
    <comment ref="N2" authorId="0" shapeId="0" xr:uid="{7531E376-CFC0-4B73-B595-5A4669BF7C9B}">
      <text>
        <r>
          <rPr>
            <b/>
            <sz val="9"/>
            <color indexed="81"/>
            <rFont val="Tahoma"/>
            <charset val="1"/>
          </rPr>
          <t>Mike:</t>
        </r>
        <r>
          <rPr>
            <sz val="9"/>
            <color indexed="81"/>
            <rFont val="Tahoma"/>
            <charset val="1"/>
          </rPr>
          <t xml:space="preserve">
Order must match the FACTIONBLOCK named formula (Formulas &gt; Name Manager). To add a faction: copy a faction tab, add its name here, and add its range to FACTIONBLOCK.</t>
        </r>
      </text>
    </comment>
    <comment ref="B63" authorId="0" shapeId="0" xr:uid="{52B7FC75-F037-46A9-9AD1-9D12914B4584}">
      <text>
        <r>
          <rPr>
            <b/>
            <sz val="9"/>
            <color indexed="81"/>
            <rFont val="Tahoma"/>
            <charset val="1"/>
          </rPr>
          <t>Mike:</t>
        </r>
        <r>
          <rPr>
            <sz val="9"/>
            <color indexed="81"/>
            <rFont val="Tahoma"/>
            <charset val="1"/>
          </rPr>
          <t xml:space="preserve">
Source: Wahapedia, Warhammer 40,000 11th edition Core Rules, section 15 (Core Stratagems), https://wahapedia.ru/wh40k11ed/the-rules/core-rules/ — retrieved 2026-10-05. Notes paraphrased; Modifier column is how the Sim interprets each stratagem.</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<sst xmlns="http://schemas.openxmlformats.org/spreadsheetml/2006/main" count="1161" uniqueCount="458">
  <si>
    <t>Myphitic Blight Hauler</t>
  </si>
  <si>
    <t>Bile Spurt</t>
  </si>
  <si>
    <t>Weapon</t>
  </si>
  <si>
    <t>A</t>
  </si>
  <si>
    <t>BS</t>
  </si>
  <si>
    <t>S</t>
  </si>
  <si>
    <t>AP</t>
  </si>
  <si>
    <t>D</t>
  </si>
  <si>
    <t>Modifier</t>
  </si>
  <si>
    <t>Missile Launcher - frag</t>
  </si>
  <si>
    <t>D6</t>
  </si>
  <si>
    <t>Blast</t>
  </si>
  <si>
    <t>Missile Launcher - krak</t>
  </si>
  <si>
    <t>Multi-melta</t>
  </si>
  <si>
    <t>Unit</t>
  </si>
  <si>
    <t>T</t>
  </si>
  <si>
    <t>W</t>
  </si>
  <si>
    <t>Modifiers</t>
  </si>
  <si>
    <t>Results</t>
  </si>
  <si>
    <t>FNP</t>
  </si>
  <si>
    <t>-</t>
  </si>
  <si>
    <t>Name</t>
  </si>
  <si>
    <t>Plague Marine</t>
  </si>
  <si>
    <t>Blight Launcher</t>
  </si>
  <si>
    <t>Boltgun</t>
  </si>
  <si>
    <t>Plague Spewer</t>
  </si>
  <si>
    <t>Plasma Gun - Standard</t>
  </si>
  <si>
    <t>Plasma Gun - Supercharged</t>
  </si>
  <si>
    <t>Plasma Pistol - Standard</t>
  </si>
  <si>
    <t>Plasma Pistol Supercharged</t>
  </si>
  <si>
    <t>D3</t>
  </si>
  <si>
    <t>Hits</t>
  </si>
  <si>
    <t>Wounds</t>
  </si>
  <si>
    <t xml:space="preserve"> Ranged Weapons</t>
  </si>
  <si>
    <t>Meele Weapons</t>
  </si>
  <si>
    <t>Ranged Units</t>
  </si>
  <si>
    <t>Faction</t>
  </si>
  <si>
    <t>DeathGuard</t>
  </si>
  <si>
    <t>Type</t>
  </si>
  <si>
    <t>Melee Weapons</t>
  </si>
  <si>
    <t>Ranged</t>
  </si>
  <si>
    <t>Space Marines</t>
  </si>
  <si>
    <t>Melee Units</t>
  </si>
  <si>
    <t>Target Units</t>
  </si>
  <si>
    <t>Keyword</t>
  </si>
  <si>
    <t>Category</t>
  </si>
  <si>
    <t>Applies To</t>
  </si>
  <si>
    <t>Format</t>
  </si>
  <si>
    <t>Rule Summary</t>
  </si>
  <si>
    <t>Sim Step</t>
  </si>
  <si>
    <t>Modelled in Sim?</t>
  </si>
  <si>
    <t>Rule Ref</t>
  </si>
  <si>
    <t>Anti</t>
  </si>
  <si>
    <t>Both</t>
  </si>
  <si>
    <t>Anti-X Y+</t>
  </si>
  <si>
    <t>Unmodified wound roll of Y+ is a Critical Wound vs targets with keyword X.</t>
  </si>
  <si>
    <t>Wound</t>
  </si>
  <si>
    <t>Yes</t>
  </si>
  <si>
    <t>Assault</t>
  </si>
  <si>
    <t>Unit can use Assault Shooting (shoot after Advancing).</t>
  </si>
  <si>
    <t>None</t>
  </si>
  <si>
    <t>No</t>
  </si>
  <si>
    <t>Blast / Blast X</t>
  </si>
  <si>
    <t>+1 (or +X) attack dice per 5 models in the target unit (round down).</t>
  </si>
  <si>
    <t>Attacks</t>
  </si>
  <si>
    <t>Cleave</t>
  </si>
  <si>
    <t>Melee</t>
  </si>
  <si>
    <t>Cleave X</t>
  </si>
  <si>
    <t>+X attack dice per 5 models in the target unit, if all attacks target one unit.</t>
  </si>
  <si>
    <t>Close-Quarters</t>
  </si>
  <si>
    <t>Unit can use Close-Quarters Shooting while engaged; limits weapon choice with other shooting types.</t>
  </si>
  <si>
    <t>Devastating Wounds</t>
  </si>
  <si>
    <t>A Critical Wound ends the attack sequence and inflicts mortal wounds equal to the weapon's D.</t>
  </si>
  <si>
    <t>Save</t>
  </si>
  <si>
    <t>Extra Attacks</t>
  </si>
  <si>
    <t>These weapons are used in addition to one other melee weapon.</t>
  </si>
  <si>
    <t>Hazardous</t>
  </si>
  <si>
    <t>After attacking, make one hazard roll per Hazardous weapon selected.</t>
  </si>
  <si>
    <t>Heavy</t>
  </si>
  <si>
    <t>+1 to hit if unengaged, not set up this turn and no model moved more than 3".</t>
  </si>
  <si>
    <t>Hit</t>
  </si>
  <si>
    <t>Ignores Cover</t>
  </si>
  <si>
    <t>Indirect Fire</t>
  </si>
  <si>
    <t>Unit can use Indirect Shooting (no line of sight needed).</t>
  </si>
  <si>
    <t>Lance</t>
  </si>
  <si>
    <t>+1 to wound if the attacking unit charged this turn.</t>
  </si>
  <si>
    <t>Lethal Hits</t>
  </si>
  <si>
    <t>A Critical Hit can automatically wound (no wound roll).</t>
  </si>
  <si>
    <t>Melta</t>
  </si>
  <si>
    <t>Melta X</t>
  </si>
  <si>
    <t>+X to D if the target is within half range.</t>
  </si>
  <si>
    <t>Damage</t>
  </si>
  <si>
    <t>One Shot</t>
  </si>
  <si>
    <t>Weapon can only be used once per battle.</t>
  </si>
  <si>
    <t>Pistol</t>
  </si>
  <si>
    <t>Identical to Close-Quarters for all rules purposes (being phased out).</t>
  </si>
  <si>
    <t>Precision</t>
  </si>
  <si>
    <t>Attacks can be allocated to a visible Character in the target unit first.</t>
  </si>
  <si>
    <t>Psychic</t>
  </si>
  <si>
    <t>Rapid Fire</t>
  </si>
  <si>
    <t>Rapid Fire X</t>
  </si>
  <si>
    <t>+X attack dice if the target is within half range.</t>
  </si>
  <si>
    <t>Sustained Hits</t>
  </si>
  <si>
    <t>Sustained Hits X</t>
  </si>
  <si>
    <t>A Critical Hit scores X additional hits.</t>
  </si>
  <si>
    <t>Torrent</t>
  </si>
  <si>
    <t>Attacks automatically hit. Cannot also have Indirect Fire or Precision.</t>
  </si>
  <si>
    <t>Twin-Linked</t>
  </si>
  <si>
    <t>Can re-roll the wound roll.</t>
  </si>
  <si>
    <t>Damaged</t>
  </si>
  <si>
    <t>Core</t>
  </si>
  <si>
    <t>Damaged X</t>
  </si>
  <si>
    <t>While remaining wounds are X or fewer, the model's attacks get -1 to hit.</t>
  </si>
  <si>
    <t>Deadly Demise</t>
  </si>
  <si>
    <t>Deadly Demise X</t>
  </si>
  <si>
    <t>When destroyed, on a 6 each unit within 6" suffers X mortal wounds.</t>
  </si>
  <si>
    <t>Deep Strike</t>
  </si>
  <si>
    <t>On an ingress move, can set up anywhere more than 8" horizontally from enemies.</t>
  </si>
  <si>
    <t>Feel No Pain</t>
  </si>
  <si>
    <t>Feel No Pain X+</t>
  </si>
  <si>
    <t>Each time a wound would be lost, roll a D6: on X+ it is not lost.</t>
  </si>
  <si>
    <t>Fights First</t>
  </si>
  <si>
    <t>Unit fights in the Fights First step of the Fight phase.</t>
  </si>
  <si>
    <t>Firing Deck</t>
  </si>
  <si>
    <t>Firing Deck X</t>
  </si>
  <si>
    <t>Transport can shoot with weapons from up to X embarked models.</t>
  </si>
  <si>
    <t>Hover</t>
  </si>
  <si>
    <t>Don't subtract 2" from max distance when taking to the skies.</t>
  </si>
  <si>
    <t>Infiltrators</t>
  </si>
  <si>
    <t>Deploy anywhere more than 8" from the enemy deployment zone and enemy units.</t>
  </si>
  <si>
    <t>Leader</t>
  </si>
  <si>
    <t>Can be attached to a bodyguard unit before the battle.</t>
  </si>
  <si>
    <t>Lone Operative</t>
  </si>
  <si>
    <t>Lone Operative / Lone Operative X"</t>
  </si>
  <si>
    <t>Unless attached, can't be seen or targeted by Indirect Fire beyond 12" (or X").</t>
  </si>
  <si>
    <t>Scouts</t>
  </si>
  <si>
    <t>Scouts X"</t>
  </si>
  <si>
    <t>Pre-battle, can make a scout move of up to X" (or redeploy from strategic reserves).</t>
  </si>
  <si>
    <t>Stealth</t>
  </si>
  <si>
    <t>Super-Heavy Walker</t>
  </si>
  <si>
    <t>Can move through models (not Titanic) and terrain 4" or less in height.</t>
  </si>
  <si>
    <t>Support</t>
  </si>
  <si>
    <t>Can be attached to a bodyguard alongside a Leader unit.</t>
  </si>
  <si>
    <t>24.03</t>
  </si>
  <si>
    <t>24.04</t>
  </si>
  <si>
    <t>24.05</t>
  </si>
  <si>
    <t>24.06</t>
  </si>
  <si>
    <t>24.07</t>
  </si>
  <si>
    <t>24.10</t>
  </si>
  <si>
    <t>24.11</t>
  </si>
  <si>
    <t>24.15</t>
  </si>
  <si>
    <t>24.16</t>
  </si>
  <si>
    <t>24.18</t>
  </si>
  <si>
    <t>24.19</t>
  </si>
  <si>
    <t>24.21</t>
  </si>
  <si>
    <t>24.23</t>
  </si>
  <si>
    <t>24.25</t>
  </si>
  <si>
    <t>24.26</t>
  </si>
  <si>
    <t>24.27</t>
  </si>
  <si>
    <t>24.28</t>
  </si>
  <si>
    <t>24.29</t>
  </si>
  <si>
    <t>24.30</t>
  </si>
  <si>
    <t>24.36</t>
  </si>
  <si>
    <t>24.37</t>
  </si>
  <si>
    <t>24.38</t>
  </si>
  <si>
    <t>24.39</t>
  </si>
  <si>
    <t>24.08</t>
  </si>
  <si>
    <t>24.09</t>
  </si>
  <si>
    <t>24.12</t>
  </si>
  <si>
    <t>24.13</t>
  </si>
  <si>
    <t>24.14</t>
  </si>
  <si>
    <t>24.17</t>
  </si>
  <si>
    <t>24.20</t>
  </si>
  <si>
    <t>24.22</t>
  </si>
  <si>
    <t>24.24</t>
  </si>
  <si>
    <t>24.31</t>
  </si>
  <si>
    <t>24.33</t>
  </si>
  <si>
    <t>24.35</t>
  </si>
  <si>
    <t>24.34</t>
  </si>
  <si>
    <t>Melta 2, Lethal Hits</t>
  </si>
  <si>
    <t>Blast, Lethal Hits</t>
  </si>
  <si>
    <t>Anti-Infantry 2+, Torrent</t>
  </si>
  <si>
    <t>Rapid Fire 1</t>
  </si>
  <si>
    <t>Modifier Format Guide</t>
  </si>
  <si>
    <t>Rule</t>
  </si>
  <si>
    <t>Example</t>
  </si>
  <si>
    <t>Use the exact name from the Keyword column</t>
  </si>
  <si>
    <t>Lethal Hits (not Lethal)</t>
  </si>
  <si>
    <t>Separate multiple keywords with a comma and space</t>
  </si>
  <si>
    <t>Put a space before any value</t>
  </si>
  <si>
    <t>Melta 2, Rapid Fire 1, Sustained Hits 1</t>
  </si>
  <si>
    <t>Anti: target keyword after a hyphen, then a space and the roll needed with +</t>
  </si>
  <si>
    <t>Anti-Infantry 2+</t>
  </si>
  <si>
    <t>Feel No Pain (unit Modifiers): space, then roll needed with +</t>
  </si>
  <si>
    <t>Feel No Pain 5+</t>
  </si>
  <si>
    <t>Keywords with no value are written on their own</t>
  </si>
  <si>
    <t>Torrent, Heavy, Twin-Linked</t>
  </si>
  <si>
    <t>Within Half Range?</t>
  </si>
  <si>
    <t>Attacker Stationary?</t>
  </si>
  <si>
    <t>Target in Cover?</t>
  </si>
  <si>
    <t>Target Models</t>
  </si>
  <si>
    <t>Attacker Damaged?</t>
  </si>
  <si>
    <t>Charged This Turn?</t>
  </si>
  <si>
    <t>Auto Wounds</t>
  </si>
  <si>
    <t>Mortal Wounds</t>
  </si>
  <si>
    <t>Unsaved</t>
  </si>
  <si>
    <t>Dmg per Attack</t>
  </si>
  <si>
    <t>Total Damage</t>
  </si>
  <si>
    <t>Models Killed</t>
  </si>
  <si>
    <t>Summary</t>
  </si>
  <si>
    <t>Dev Wounds</t>
  </si>
  <si>
    <t>Crit Wound On</t>
  </si>
  <si>
    <t>Hit Need</t>
  </si>
  <si>
    <t>Wound Need</t>
  </si>
  <si>
    <t>Save Need</t>
  </si>
  <si>
    <t>Attacks per Kill</t>
  </si>
  <si>
    <t>Keyword Values (helper columns)</t>
  </si>
  <si>
    <t>Target FNP</t>
  </si>
  <si>
    <t>Target Stealth</t>
  </si>
  <si>
    <t>Total Models Killed</t>
  </si>
  <si>
    <t>Intercessor</t>
  </si>
  <si>
    <t>Use</t>
  </si>
  <si>
    <t>Faction Rules</t>
  </si>
  <si>
    <t>Phase</t>
  </si>
  <si>
    <t>Example Rule (edit or delete)</t>
  </si>
  <si>
    <t>Attacker</t>
  </si>
  <si>
    <t>Hit Modifier +1</t>
  </si>
  <si>
    <t>Hit Modifier</t>
  </si>
  <si>
    <t>Stat</t>
  </si>
  <si>
    <t>Hit Modifier +X / -X</t>
  </si>
  <si>
    <t>Adds X to the hit roll (total modifier capped at ±1).</t>
  </si>
  <si>
    <t>—</t>
  </si>
  <si>
    <t>Wound Modifier</t>
  </si>
  <si>
    <t>Wound Modifier +X / -X</t>
  </si>
  <si>
    <t>Adds X to the wound roll (total modifier capped at ±1).</t>
  </si>
  <si>
    <t>AP Modifier</t>
  </si>
  <si>
    <t>AP Modifier -X / +X</t>
  </si>
  <si>
    <t>Changes the weapon's AP by X (-1 makes AP -1 into AP -2).</t>
  </si>
  <si>
    <t>Damage Modifier</t>
  </si>
  <si>
    <t>Damage Modifier +X / -X</t>
  </si>
  <si>
    <t>Changes damage per attack by X (minimum 1). Use -1 on a Target rule for damage reduction.</t>
  </si>
  <si>
    <t>Toughness Modifier</t>
  </si>
  <si>
    <t>Toughness Modifier +X / -X</t>
  </si>
  <si>
    <t>Changes the target's T by X (minimum 1). Use on a Target rule.</t>
  </si>
  <si>
    <t>Save Modifier</t>
  </si>
  <si>
    <t>Save Modifier +X / -X</t>
  </si>
  <si>
    <t>Reroll Hits</t>
  </si>
  <si>
    <t>Reroll Hits / Reroll Hits 1</t>
  </si>
  <si>
    <t>Re-roll failed hit rolls, or only hit rolls of 1 when written as Reroll Hits 1.</t>
  </si>
  <si>
    <t>Reroll Wounds</t>
  </si>
  <si>
    <t>Reroll Wounds / Reroll Wounds 1</t>
  </si>
  <si>
    <t>Re-roll failed wound rolls, or only wound rolls of 1 when written as Reroll Wounds 1.</t>
  </si>
  <si>
    <t>Stat modifiers: name, space, then signed number (they stack)</t>
  </si>
  <si>
    <t>Hit Modifier +1, AP Modifier -1</t>
  </si>
  <si>
    <t>Rerolls: full, or add 1 for re-rolling 1s only</t>
  </si>
  <si>
    <t>Reroll Hits, Reroll Wounds 1</t>
  </si>
  <si>
    <t>Attacker Rule Mods</t>
  </si>
  <si>
    <t>Target Rule Mods</t>
  </si>
  <si>
    <t>Target Faction</t>
  </si>
  <si>
    <t>Hit Mod</t>
  </si>
  <si>
    <t>Wound Mod</t>
  </si>
  <si>
    <t>AP Mod</t>
  </si>
  <si>
    <t>Dmg Mod</t>
  </si>
  <si>
    <t>Hit Reroll</t>
  </si>
  <si>
    <t>Wound Reroll</t>
  </si>
  <si>
    <t>Crit Hit Chance</t>
  </si>
  <si>
    <t>Target T Mod</t>
  </si>
  <si>
    <t>Target Save Mod</t>
  </si>
  <si>
    <t>Target Dmg Mod</t>
  </si>
  <si>
    <t>Target</t>
  </si>
  <si>
    <t>Snap Shooting</t>
  </si>
  <si>
    <t>15.09</t>
  </si>
  <si>
    <t>Core Stratagems</t>
  </si>
  <si>
    <t>Stratagem</t>
  </si>
  <si>
    <t>CP</t>
  </si>
  <si>
    <t>Notes</t>
  </si>
  <si>
    <t>Command Re-roll</t>
  </si>
  <si>
    <t>Re-roll one hit, wound, damage or attacks roll. A single re-roll isn't modelled in the averages.</t>
  </si>
  <si>
    <t>Epic Challenge</t>
  </si>
  <si>
    <t>Fighting</t>
  </si>
  <si>
    <t>One Character's melee weapons gain Precision. No effect on damage maths.</t>
  </si>
  <si>
    <t>Explosives</t>
  </si>
  <si>
    <t>Shooting</t>
  </si>
  <si>
    <t>Separate grenade attack sequence; not modelled.</t>
  </si>
  <si>
    <t>Fire Overwatch</t>
  </si>
  <si>
    <t>Counteroffensive</t>
  </si>
  <si>
    <t>Unit gains Fights First. No effect on damage maths.</t>
  </si>
  <si>
    <t>Smokescreen</t>
  </si>
  <si>
    <t>SMOKE unit gains the benefit of cover against ranged attacks.</t>
  </si>
  <si>
    <t>Insane Bravery</t>
  </si>
  <si>
    <t>Other</t>
  </si>
  <si>
    <t>Auto-pass a battle-shock roll.</t>
  </si>
  <si>
    <t>Crushing Impact</t>
  </si>
  <si>
    <t>Charge-phase mortal wounds from a Monster/Vehicle; not modelled.</t>
  </si>
  <si>
    <t>Rapid Ingress</t>
  </si>
  <si>
    <t>Ingress move at end of opponent's Movement phase.</t>
  </si>
  <si>
    <t>Heroic Intervention</t>
  </si>
  <si>
    <t>Charge at end of opponent's Charge phase.</t>
  </si>
  <si>
    <t>Faction Stratagems</t>
  </si>
  <si>
    <t>Attacker Rules &amp; Stratagems (tick to apply)</t>
  </si>
  <si>
    <t>Target Rules &amp; Stratagems (tick to apply)</t>
  </si>
  <si>
    <t>Rule / Stratagem</t>
  </si>
  <si>
    <t>Effect</t>
  </si>
  <si>
    <t>Attacker Effects</t>
  </si>
  <si>
    <t>Target Effects</t>
  </si>
  <si>
    <t>This workbook works out the average damage a unit will do to an enemy unit in Warhammer 40,000 (11th edition), taking weapon keywords, faction rules, stratagems and battle conditions into account. You enter your units once on a faction tab, then pick attacker and target on the Sim tabs.</t>
  </si>
  <si>
    <t>1. What each tab is for</t>
  </si>
  <si>
    <t>Sim-Shooting</t>
  </si>
  <si>
    <t>Simulates your unit's ranged weapons shooting at a target.</t>
  </si>
  <si>
    <t>Sim-Fighting</t>
  </si>
  <si>
    <t>Simulates your unit's melee weapons fighting a target.</t>
  </si>
  <si>
    <t>Faction tabs</t>
  </si>
  <si>
    <t>DeathGuard, Space Marines, Drukhari, Daemons, T'Au, Imperial Guard, Sisters of Battle, Thousand Sons. Each holds that faction's units, weapons, faction rules and stratagems. Every unit here can be an attacker or a target.</t>
  </si>
  <si>
    <t>Keywords</t>
  </si>
  <si>
    <t>Reference list of every 11th edition keyword and the core stratagems, plus the Modifier Format Guide that explains how to write keywords so the simulator can read them.</t>
  </si>
  <si>
    <t>2. Adding a unit (on a faction tab)</t>
  </si>
  <si>
    <t>Step 1 – Unit table (B:J)</t>
  </si>
  <si>
    <t>Step 2 – List its weapons</t>
  </si>
  <si>
    <t>In column I list each weapon the unit carries, one per row under its name. In column J pick Ranged or Melee from the dropdown. This decides whether it appears on Sim-Shooting or Sim-Fighting. If a unit has several weapons, merge its Name cell down across those rows or leave the rows below the name blank.</t>
  </si>
  <si>
    <t>Step 3 – Weapon profiles</t>
  </si>
  <si>
    <t>Add the weapon's stats to the Ranged Weapons table (M:S) or the Melee Weapons table (V:AB): Weapon name (must match column I exactly), A, BS/WS, S, AP, D and Modifier. Random values such as D3 or D6 are fine.</t>
  </si>
  <si>
    <t>Tip</t>
  </si>
  <si>
    <t>A weapon profile only needs to be entered once per faction tab, even if several units carry it.</t>
  </si>
  <si>
    <t>3. Writing keywords (Modifier columns)</t>
  </si>
  <si>
    <t>Use exact names</t>
  </si>
  <si>
    <t>Write keywords exactly as they appear in the Keywords tab, e.g. Lethal Hits not Lethal.</t>
  </si>
  <si>
    <t>Separate with commas</t>
  </si>
  <si>
    <t>Space before numbers</t>
  </si>
  <si>
    <t>Anti and Feel No Pain</t>
  </si>
  <si>
    <t>Anti-Infantry 2+ and Feel No Pain 5+</t>
  </si>
  <si>
    <t>Stat changes</t>
  </si>
  <si>
    <t>Unit keywords</t>
  </si>
  <si>
    <t>Target keywords used by Anti go in the unit's Modifiers, e.g. Infantry, Feel No Pain 5+.</t>
  </si>
  <si>
    <t>4. Running a simulation (Sim-Shooting / Sim-Fighting)</t>
  </si>
  <si>
    <t>Step 1 – Pick the attacker</t>
  </si>
  <si>
    <t>B3: choose the attacking faction. B4: choose the attacking unit. Its weapons fill in automatically from row 6 down.</t>
  </si>
  <si>
    <t>Step 2 – Pick the target</t>
  </si>
  <si>
    <t>Step 3 – Set battle conditions</t>
  </si>
  <si>
    <t>Use the yellow Yes/No switches in rows 2–3. Shooting: Within Half Range (Melta, Rapid Fire), Attacker Stationary (Heavy), Target in Cover, Target Models (Blast), Attacker Damaged. Fighting: Charged This Turn (Lance), Target Models (Cleave), Attacker Damaged.</t>
  </si>
  <si>
    <t>Step 4 – Choose weapons</t>
  </si>
  <si>
    <t>Tick the Use box in column A next to each weapon you want included. Untick weapons the unit isn't firing or fighting with.</t>
  </si>
  <si>
    <t>Step 5 – Rules and stratagems</t>
  </si>
  <si>
    <t>Scroll down to the Attacker panel (from row 32) and Target panel (from row 50). Tick any faction rules or stratagems that are active. You can tick as many as you like; their effects stack. The Attacker Effects and Target Effects cells in the top row show everything currently active.</t>
  </si>
  <si>
    <t>Step 6 – Read the results</t>
  </si>
  <si>
    <t>Each weapon row shows Attacks, Hits, Wounds, Mortal Wounds, Unsaved wounds, Damage and Models Killed. The totals for all ticked weapons are in O2:P3 (Total Damage and Total Models Killed).</t>
  </si>
  <si>
    <t>5. Adding faction rules and stratagems</t>
  </si>
  <si>
    <t>Faction Rules (AE:AH)</t>
  </si>
  <si>
    <t>On a faction tab, enter the Rule name, pick Applies To (Attacker = helps that faction's units attack, Target = helps them when being attacked), pick the Phase (Shooting, Fighting or Both), and write its effect in Modifier using the keyword format, e.g. Hit Modifier +1, Lethal Hits.</t>
  </si>
  <si>
    <t>Faction Stratagems (AJ:AO)</t>
  </si>
  <si>
    <t>Same idea as Faction Rules, with a CP cost and notes column.</t>
  </si>
  <si>
    <t>Core stratagems</t>
  </si>
  <si>
    <t>Generic stratagems everyone can use are on the Keywords tab (Core Stratagems table) and appear on every faction's Sim panels automatically.</t>
  </si>
  <si>
    <t>6. Good to know</t>
  </si>
  <si>
    <t>Averages, not dice</t>
  </si>
  <si>
    <t>Results are the average expected outcome, not a random roll. Random values use their average (D3 = 2, D6 = 3.5).</t>
  </si>
  <si>
    <t>An estimate: each attack's damage is capped at the target's Wounds, so overkill isn't counted.</t>
  </si>
  <si>
    <t>Tick boxes stay put</t>
  </si>
  <si>
    <t>Hidden helper columns</t>
  </si>
  <si>
    <t>The grouped columns to the right of the results (click + above the column letters) show the step-by-step working: keyword values, rolls needed to hit, wound and save. You don't need to edit them.</t>
  </si>
  <si>
    <t>Adding a new faction</t>
  </si>
  <si>
    <t>Not modelled</t>
  </si>
  <si>
    <t>Keywords that don't change damage (e.g. Assault, Deep Strike, Hazardous self-damage, Command Re-roll) are listed for reference but not included in the maths.</t>
  </si>
  <si>
    <t>Target Hit Mod</t>
  </si>
  <si>
    <t>Target Wound Mod</t>
  </si>
  <si>
    <t>Target AP Mod</t>
  </si>
  <si>
    <t>If every model has it, unit gets the benefit of cover against ranged attacks (attacker's BS worsened by 1).</t>
  </si>
  <si>
    <t>Target cannot gain the benefit of cover, so the attacker's BS is not worsened.</t>
  </si>
  <si>
    <t>Hits only on an unmodified 6 (4+ if the unit remained stationary), ignoring BS and modifiers. Hit rolls cannot be re-rolled.</t>
  </si>
  <si>
    <t>Shoot using snap shooting: hits only on unmodified 6s, or 4+ if the unit remained stationary. No hit re-rolls.</t>
  </si>
  <si>
    <t>Can ignore modifiers to BS/WS (including cover) and negative modifiers to the hit roll; counts as a psychic attack.</t>
  </si>
  <si>
    <t>Attacks Mod</t>
  </si>
  <si>
    <t>Strength Mod</t>
  </si>
  <si>
    <t>BS Mod</t>
  </si>
  <si>
    <t>Crit Hit On</t>
  </si>
  <si>
    <t>Save Mod (Attacker)</t>
  </si>
  <si>
    <t>WS Mod</t>
  </si>
  <si>
    <t>Attacks Modifier</t>
  </si>
  <si>
    <t>Attacks Modifier +X / -X</t>
  </si>
  <si>
    <t>Adds/subtracts X to the weapon's A characteristic (A cannot be less than 1).</t>
  </si>
  <si>
    <t>02.02.01</t>
  </si>
  <si>
    <t>Strength Modifier</t>
  </si>
  <si>
    <t>Strength Modifier +X / -X</t>
  </si>
  <si>
    <t>Adds/subtracts X to the weapon's S characteristic (S cannot be less than 1).</t>
  </si>
  <si>
    <t>BS Modifier</t>
  </si>
  <si>
    <t>BS Modifier -X / +X</t>
  </si>
  <si>
    <t>Changes the BS number: -1 improves (3+ to 2+), +1 worsens. BS stays between 2+ and 6+. Not limited by the ±1 hit roll cap.</t>
  </si>
  <si>
    <t>WS Modifier</t>
  </si>
  <si>
    <t>WS Modifier -X / +X</t>
  </si>
  <si>
    <t>Changes the WS number: -1 improves (3+ to 2+), +1 worsens. WS stays between 2+ and 6+. Not limited by the ±1 hit roll cap.</t>
  </si>
  <si>
    <t>Critical Hits</t>
  </si>
  <si>
    <t>Critical Hits X+</t>
  </si>
  <si>
    <t>Unmodified hit rolls of X+ are Critical Hits (and always hit). Lowest value applies. Not used when snap shooting.</t>
  </si>
  <si>
    <t>05.01</t>
  </si>
  <si>
    <t>Critical Wounds</t>
  </si>
  <si>
    <t>Critical Wounds X+</t>
  </si>
  <si>
    <t>Unmodified wound rolls of X+ are Critical Wounds (and always wound). Combines with Anti; lowest value applies.</t>
  </si>
  <si>
    <t>05.02</t>
  </si>
  <si>
    <t>On a target: +X improves its save, -X worsens it. On an attacker or weapon: -X worsens the target's save (e.g. a rule that worsens Sv by 1).</t>
  </si>
  <si>
    <t>BS/WS and AP use the characteristic's own direction: -1 is better</t>
  </si>
  <si>
    <t>BS Modifier -1 (3+ to 2+), AP Modifier -1 (-1 to -2)</t>
  </si>
  <si>
    <t>Critical Hits/Wounds: roll needed with +</t>
  </si>
  <si>
    <t>Critical Hits 5+, Critical Wounds 5+</t>
  </si>
  <si>
    <t>If the same keyword appears twice, the best value is used</t>
  </si>
  <si>
    <t>Sustained Hits 1 + Sustained Hits 2 = Sustained Hits 2</t>
  </si>
  <si>
    <t>Hit Modifier +1, Wound Modifier -1, AP Modifier -1, Damage Modifier -1, Attacks Modifier +1, Strength Modifier +1, BS Modifier -1 / WS Modifier -1 (minus improves), Toughness Modifier +1, Save Modifier +1, Critical Hits 5+, Critical Wounds 5+, Reroll Hits, Reroll Wounds, Reroll Hits 1 (re-roll 1s only). Full list and examples on the Keywords tab.</t>
  </si>
  <si>
    <t>7. Approximations and limits</t>
  </si>
  <si>
    <t>Area</t>
  </si>
  <si>
    <t>How the simulator handles it</t>
  </si>
  <si>
    <t>What it means for you</t>
  </si>
  <si>
    <t>Random dice (D3, D6, D6+1)</t>
  </si>
  <si>
    <t>Uses the average result: D3 = 2, D6 = 3.5.</t>
  </si>
  <si>
    <t>Results are typical outcomes, not a dice roll. Real games will swing above and below.</t>
  </si>
  <si>
    <t>Random damage with a Damage Modifier</t>
  </si>
  <si>
    <t>The modifier is applied to the average, then kept at 1 or more (D3 with -1 = 1).</t>
  </si>
  <si>
    <t>Slightly understates damage. The true average of D3-1 (minimum 1) is 1.33.</t>
  </si>
  <si>
    <t>Overkill</t>
  </si>
  <si>
    <t>Each attack's damage is capped at the target's Wounds, using average damage.</t>
  </si>
  <si>
    <t>Close for fixed damage; approximate for random damage weapons.</t>
  </si>
  <si>
    <t>Works out attacks needed per model kill and divides; wounds carried over between attacks or weapons are ignored.</t>
  </si>
  <si>
    <t>Treat as an estimate. Total Models Killed is capped at Target Models.</t>
  </si>
  <si>
    <t>Reduces expected damage by the chance of passing each roll.</t>
  </si>
  <si>
    <t>Accurate for total damage; the kills estimate is approximate.</t>
  </si>
  <si>
    <t>Battle conditions</t>
  </si>
  <si>
    <t>Half range, stationary, cover, charged and damaged apply to every weapon on the tab.</t>
  </si>
  <si>
    <t>Untick weapons that don't meet the condition, or run them separately.</t>
  </si>
  <si>
    <t>Typed in manually; not linked to the unit's size.</t>
  </si>
  <si>
    <t>Update it to match the target unit for Blast, Cleave and the kills cap.</t>
  </si>
  <si>
    <t>Blank target stats</t>
  </si>
  <si>
    <t>Blank Toughness is treated as 1 and a blank save as 2+.</t>
  </si>
  <si>
    <t>Fill in every target stat or results will be misleading.</t>
  </si>
  <si>
    <t>One profile per target</t>
  </si>
  <si>
    <t>The target uses one set of T, W, Sv and invulnerable save.</t>
  </si>
  <si>
    <t>Mixed units (e.g. a Character leading a squad) are not split into groups.</t>
  </si>
  <si>
    <t>Re-rolls</t>
  </si>
  <si>
    <t>Full re-rolls re-roll every failure; Reroll 1s re-rolls only 1s.</t>
  </si>
  <si>
    <t>Command Re-roll (a single dice) and once-per-battle effects are not modelled.</t>
  </si>
  <si>
    <t>Precision, Hazardous, Deadly Demise, movement and deployment abilities.</t>
  </si>
  <si>
    <t>Listed on the Keywords tab for reference only.</t>
  </si>
  <si>
    <t>Limits</t>
  </si>
  <si>
    <t>Up to 25 weapons per unit and 15 rules/stratagems per side. Unit names are looked up by name only.</t>
  </si>
  <si>
    <t>Give units unique names across all faction tabs.</t>
  </si>
  <si>
    <t>Drukhari</t>
  </si>
  <si>
    <t>Daemons</t>
  </si>
  <si>
    <t>T'Au</t>
  </si>
  <si>
    <t>Imperial Guard</t>
  </si>
  <si>
    <t>Sisters of Battle</t>
  </si>
  <si>
    <t>Thousand Sons</t>
  </si>
  <si>
    <t>Intercessor (Space Marines)</t>
  </si>
  <si>
    <t>Plague Marine (DeathGuard)</t>
  </si>
  <si>
    <t>Sv</t>
  </si>
  <si>
    <t>InSv</t>
  </si>
  <si>
    <t>In column B type the unit's Name. In C:H enter its stats: T (Toughness), W (Wounds), Sv (Save), InSv (Invulnerable save, or - if none), FNP (Feel No Pain, or -), and Modifiers (unit keywords, e.g. Infantry, Stealth). Give every unit a unique name within its faction tab.</t>
  </si>
  <si>
    <t>I4: choose the target unit from any faction tab. Targets are listed as Unit (Faction), e.g. Intercessor (Space Marines), so units with the same name in different factions don't get mixed up. Its stats appear in I6:N6.</t>
  </si>
  <si>
    <t>Tick boxes belong to the row, not the weapon or rule. Ticked rows are highlighted; a ticked row with nothing in it turns red, and the Check cell (R2) warns you. After changing unit, target or faction, glance down the ticks before reading results.</t>
  </si>
  <si>
    <t>1) Right-click an existing faction tab &gt; Move or Copy &gt; Create a copy, rename it and clear its data. 2) Add the new name to the Factions table on the Keywords tab (N2). 3) In Formulas &gt; Name Manager, edit FACTIONBLOCK and add the new tab's range at the end, e.g. ,'New Faction'!$B$4:$AO$100 (same order as the Factions table). Everything else updates automatically.</t>
  </si>
  <si>
    <t>Weapons in Use</t>
  </si>
  <si>
    <t>Check</t>
  </si>
  <si>
    <t>40K Combat Simulator – How To Use This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</si>
</sst>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quot;+&quot;"/>
  </numFmts>
  <fonts count="16" x14ac:knownFonts="1">
    <font>
      <sz val="11"/>
      <color theme="1"/>
      <name val="Aptos Narrow"/>
      <family val="2"/>
      <scheme val="minor"/>
    </font>
    <font>
      <b/>
      <sz val="11"/>
      <color theme="1"/>
      <name val="Aptos Narrow"/>
      <family val="2"/>
      <scheme val="minor"/>
    </font>
    <font>
      <sz val="9"/>
      <color indexed="81"/>
      <name val="Tahoma"/>
      <charset val="1"/>
    </font>
    <font>
      <b/>
      <sz val="9"/>
      <color indexed="81"/>
      <name val="Tahoma"/>
      <charset val="1"/>
    </font>
    <font>
      <sz val="11"/>
      <color rgb="FF0000FF"/>
      <name val="Aptos Narrow"/>
      <family val="2"/>
      <scheme val="minor"/>
    </font>
    <font>
      <sz val="11"/>
      <color rgb="FF7F7F7F"/>
      <name val="Aptos Narrow"/>
      <family val="2"/>
      <scheme val="minor"/>
    </font>
    <font>
      <sz val="11"/>
      <color rgb="FF000000"/>
      <name val="Aptos Narrow"/>
      <family val="2"/>
      <scheme val="minor"/>
    </font>
    <font>
      <b/>
      <sz val="12"/>
      <color theme="1"/>
      <name val="Aptos Narrow"/>
      <family val="2"/>
      <scheme val="minor"/>
    </font>
    <font>
      <sz val="11"/>
      <color theme="1"/>
      <name val="Aptos Narrow"/>
      <scheme val="minor"/>
    </font>
    <font>
      <b/>
      <sz val="18"/>
      <color theme="1"/>
      <name val="Aptos Narrow"/>
      <scheme val="minor"/>
    </font>
    <font>
      <i/>
      <sz val="11"/>
      <color theme="1"/>
      <name val="Aptos Narrow"/>
      <scheme val="minor"/>
    </font>
    <font>
      <b/>
      <sz val="11"/>
      <color theme="1"/>
      <name val="Aptos Narrow"/>
      <scheme val="minor"/>
    </font>
    <font>
      <b/>
      <sz val="13"/>
      <color theme="1"/>
      <name val="Aptos Narrow"/>
      <scheme val="minor"/>
    </font>
    <font>
      <b/>
      <sz val="11"/>
      <color rgb="FF000000"/>
      <name val="Aptos Narrow"/>
      <family val="2"/>
      <scheme val="minor"/>
    </font>
    <font>
      <b/>
      <sz val="13"/>
      <color rgb="FF000000"/>
      <name val="Aptos Narrow"/>
      <family val="2"/>
      <scheme val="minor"/>
    </font>
    <font>
      <sz val="9"/>
      <color theme="1"/>
      <name val="Aptos Narrow"/>
      <family val="2"/>
      <scheme val="minor"/>
    </font>
  </fonts>
  <fills count="12">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rgb="FFC6EFCE"/>
        <bgColor indexed="64"/>
      </patternFill>
    </fill>
    <fill>
      <patternFill patternType="solid">
        <fgColor rgb="FFFFF2CC"/>
        <bgColor indexed="64"/>
      </patternFill>
    </fill>
    <fill>
      <patternFill patternType="solid">
        <fgColor rgb="FFFFFFFF"/>
        <bgColor indexed="64"/>
      </patternFill>
    </fill>
    <fill>
      <patternFill patternType="solid">
        <fgColor rgb="FFEDEDED"/>
        <bgColor indexed="64"/>
      </patternFill>
    </fill>
    <fill>
      <patternFill patternType="solid">
        <fgColor rgb="FFE4DFEC"/>
        <bgColor indexed="64"/>
      </patternFill>
    </fill>
    <fill>
      <patternFill patternType="solid">
        <fgColor rgb="FFC1F0C8"/>
        <bgColor indexed="64"/>
      </patternFill>
    </fill>
  </fills>
  <borders count="17">
    <border>
      <left/>
      <right/>
      <top/>
      <bottom/>
      <diagonal/>
    </border>
    <border>
      <left/>
      <right style="thin">
        <color indexed="64"/>
      </right>
      <top/>
      <bottom/>
      <diagonal/>
    </border>
    <border>
      <left style="thin">
        <color indexed="64"/>
      </left>
      <right/>
      <top/>
      <bottom/>
      <diagonal/>
    </border>
    <border>
      <left/>
      <right/>
      <top/>
      <bottom style="thin">
        <color auto="1"/>
      </bottom>
      <diagonal/>
    </border>
    <border>
      <left/>
      <right style="thin">
        <color indexed="64"/>
      </right>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indexed="64"/>
      </bottom>
      <diagonal/>
    </border>
    <border>
      <left/>
      <right style="thin">
        <color rgb="FFBFBFBF"/>
      </right>
      <top style="thin">
        <color rgb="FFBFBFBF"/>
      </top>
      <bottom style="thin">
        <color indexed="64"/>
      </bottom>
      <diagonal/>
    </border>
    <border>
      <left/>
      <right/>
      <top style="thin">
        <color rgb="FFD9D9D9"/>
      </top>
      <bottom style="thin">
        <color rgb="FFD9D9D9"/>
      </bottom>
      <diagonal/>
    </border>
    <border>
      <left/>
      <right/>
      <top style="thin">
        <color rgb="FFD9D9D9"/>
      </top>
      <bottom/>
      <diagonal/>
    </border>
  </borders>
  <cellStyleXfs count="1">
    <xf numFmtId="0" fontId="0" fillId="0" borderId="0"/>
  </cellStyleXfs>
  <cellXfs count="94">
    <xf numFmtId="0" fontId="0" fillId="0" borderId="0" xfId="0"/>
    <xf numFmtId="0" fontId="0" fillId="0" borderId="1" xfId="0" applyBorder="1"/>
    <xf numFmtId="0" fontId="0" fillId="0" borderId="0" xfId="0" applyAlignment="1">
      <alignment horizontal="right"/>
    </xf>
    <xf numFmtId="0" fontId="0" fillId="0" borderId="0" xfId="0" applyAlignment="1">
      <alignment horizontal="left"/>
    </xf>
    <xf numFmtId="0" fontId="0" fillId="0" borderId="0" xfId="0" quotePrefix="1"/>
    <xf numFmtId="0" fontId="0" fillId="0" borderId="0" xfId="0" applyAlignment="1">
      <alignment vertical="center"/>
    </xf>
    <xf numFmtId="0" fontId="0" fillId="0" borderId="0" xfId="0" applyAlignment="1">
      <alignment horizontal="center" vertical="center"/>
    </xf>
    <xf numFmtId="0" fontId="0" fillId="5" borderId="0" xfId="0" applyFill="1"/>
    <xf numFmtId="0" fontId="0" fillId="3" borderId="0" xfId="0" applyFill="1" applyAlignment="1">
      <alignment horizontal="center"/>
    </xf>
    <xf numFmtId="0" fontId="0" fillId="0" borderId="2"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0" fillId="0" borderId="0" xfId="0"/>
    <xf numFmtId="0" fontId="1" fillId="6" borderId="0" xfId="0" applyFont="1" applyFill="1"/>
    <xf numFmtId="0" fontId="1" fillId="6" borderId="0" xfId="0" applyFont="1" applyFill="1" applyAlignment="1">
      <alignment vertical="center"/>
    </xf>
    <xf numFmtId="0" fontId="0" fillId="0" borderId="0" xfId="0" applyAlignment="1">
      <alignment vertical="center" wrapText="1"/>
    </xf>
    <xf numFmtId="49" fontId="0" fillId="0" borderId="0" xfId="0" applyNumberFormat="1" applyAlignment="1">
      <alignment horizontal="center" vertical="center"/>
    </xf>
    <xf numFmtId="0" fontId="1" fillId="6" borderId="0" xfId="0" applyFont="1" applyFill="1" applyAlignment="1">
      <alignment horizontal="center"/>
    </xf>
    <xf numFmtId="0" fontId="1" fillId="0" borderId="3" xfId="0" applyFont="1" applyBorder="1"/>
    <xf numFmtId="0" fontId="1" fillId="5" borderId="0" xfId="0" applyFont="1" applyFill="1" applyAlignment="1">
      <alignment wrapText="1"/>
    </xf>
    <xf numFmtId="0" fontId="1" fillId="7" borderId="6" xfId="0" applyFont="1" applyFill="1" applyBorder="1" applyAlignment="1">
      <alignment horizontal="center" wrapText="1"/>
    </xf>
    <xf numFmtId="0" fontId="1" fillId="9" borderId="0" xfId="0" applyFont="1" applyFill="1" applyAlignment="1">
      <alignment horizontal="center"/>
    </xf>
    <xf numFmtId="0" fontId="1" fillId="9" borderId="0" xfId="0" applyFont="1" applyFill="1" applyAlignment="1">
      <alignment horizontal="center"/>
    </xf>
    <xf numFmtId="0" fontId="1" fillId="9" borderId="0" xfId="0" applyFont="1" applyFill="1" applyAlignment="1">
      <alignment horizontal="center" wrapText="1"/>
    </xf>
    <xf numFmtId="0" fontId="0" fillId="9" borderId="0" xfId="0" applyFill="1" applyAlignment="1">
      <alignment horizontal="center"/>
    </xf>
    <xf numFmtId="0" fontId="1" fillId="10" borderId="0" xfId="0" applyFont="1" applyFill="1" applyAlignment="1">
      <alignment horizontal="center" wrapText="1"/>
    </xf>
    <xf numFmtId="2" fontId="0" fillId="5" borderId="0" xfId="0" applyNumberFormat="1" applyFill="1" applyAlignment="1">
      <alignment horizontal="center"/>
    </xf>
    <xf numFmtId="0" fontId="5" fillId="5" borderId="0" xfId="0" applyFont="1" applyFill="1" applyAlignment="1">
      <alignment horizontal="center"/>
    </xf>
    <xf numFmtId="165" fontId="5" fillId="5" borderId="0" xfId="0" applyNumberFormat="1" applyFont="1" applyFill="1" applyAlignment="1">
      <alignment horizontal="center"/>
    </xf>
    <xf numFmtId="2" fontId="5" fillId="5" borderId="0" xfId="0" applyNumberFormat="1" applyFont="1" applyFill="1" applyAlignment="1">
      <alignment horizontal="center"/>
    </xf>
    <xf numFmtId="0" fontId="0" fillId="0" borderId="0" xfId="0" applyAlignment="1">
      <alignment wrapText="1"/>
    </xf>
    <xf numFmtId="0" fontId="0" fillId="5" borderId="0" xfId="0" applyFill="1" applyAlignment="1">
      <alignment wrapText="1"/>
    </xf>
    <xf numFmtId="0" fontId="0" fillId="0" borderId="0" xfId="0" quotePrefix="1"/>
    <xf numFmtId="0" fontId="0" fillId="0" borderId="0" xfId="0" applyBorder="1" applyAlignment="1">
      <alignment horizontal="center" vertical="center"/>
    </xf>
    <xf numFmtId="0" fontId="4" fillId="8" borderId="5" xfId="0" applyFont="1" applyFill="1" applyBorder="1" applyAlignment="1">
      <alignment horizontal="center"/>
    </xf>
    <xf numFmtId="0" fontId="0" fillId="0" borderId="0" xfId="0" applyBorder="1" applyAlignment="1">
      <alignment horizontal="right"/>
    </xf>
    <xf numFmtId="2" fontId="0" fillId="0" borderId="0" xfId="0" applyNumberFormat="1" applyBorder="1"/>
    <xf numFmtId="0" fontId="0" fillId="0" borderId="0" xfId="0" applyBorder="1"/>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9" xfId="0" applyBorder="1" applyAlignment="1">
      <alignment horizontal="center" wrapText="1"/>
    </xf>
    <xf numFmtId="0" fontId="0" fillId="0" borderId="10" xfId="0" applyBorder="1" applyAlignment="1">
      <alignment horizontal="center" wrapText="1"/>
    </xf>
    <xf numFmtId="0" fontId="0" fillId="3" borderId="8"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0" borderId="2" xfId="0" applyBorder="1"/>
    <xf numFmtId="0" fontId="0" fillId="0" borderId="1" xfId="0" applyNumberFormat="1" applyBorder="1" applyAlignment="1">
      <alignment horizontal="left"/>
    </xf>
    <xf numFmtId="0" fontId="0" fillId="0" borderId="7" xfId="0" applyBorder="1"/>
    <xf numFmtId="0" fontId="0" fillId="0" borderId="3" xfId="0" applyBorder="1"/>
    <xf numFmtId="0" fontId="0" fillId="0" borderId="4" xfId="0" applyBorder="1"/>
    <xf numFmtId="2" fontId="0" fillId="0" borderId="3" xfId="0" applyNumberFormat="1" applyBorder="1"/>
    <xf numFmtId="0" fontId="0" fillId="0" borderId="4" xfId="0" applyNumberFormat="1" applyBorder="1" applyAlignment="1">
      <alignment horizontal="left"/>
    </xf>
    <xf numFmtId="0" fontId="0" fillId="0" borderId="0" xfId="0" quotePrefix="1" applyAlignment="1">
      <alignment horizontal="center" vertical="center"/>
    </xf>
    <xf numFmtId="0" fontId="0" fillId="0" borderId="8" xfId="0" applyBorder="1" applyAlignment="1">
      <alignment horizontal="center" wrapText="1"/>
    </xf>
    <xf numFmtId="0" fontId="0" fillId="5" borderId="0" xfId="0" applyFill="1" applyAlignment="1">
      <alignment horizontal="center"/>
      <extLst>
        <ext xmlns:xfpb="http://schemas.microsoft.com/office/spreadsheetml/2022/featurepropertybag" uri="{C7286773-470A-42A8-94C5-96B5CB345126}">
          <xfpb:xfComplement i="0"/>
        </ext>
      </extLst>
    </xf>
    <xf numFmtId="0" fontId="0" fillId="11" borderId="0" xfId="0" applyFill="1" applyAlignment="1">
      <alignment horizontal="center"/>
    </xf>
    <xf numFmtId="0" fontId="7" fillId="0" borderId="0" xfId="0" applyFont="1"/>
    <xf numFmtId="0" fontId="6" fillId="11" borderId="0" xfId="0" applyFont="1" applyFill="1" applyAlignment="1">
      <alignment horizontal="center"/>
    </xf>
    <xf numFmtId="0" fontId="6" fillId="11" borderId="0" xfId="0" applyFont="1" applyFill="1"/>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0" xfId="0" applyNumberFormat="1" applyBorder="1" applyAlignment="1">
      <alignment horizontal="left"/>
    </xf>
    <xf numFmtId="0" fontId="1" fillId="7" borderId="11" xfId="0" applyFont="1" applyFill="1" applyBorder="1" applyAlignment="1">
      <alignment horizontal="center" wrapText="1"/>
    </xf>
    <xf numFmtId="0" fontId="1" fillId="7" borderId="12" xfId="0" applyFont="1" applyFill="1" applyBorder="1" applyAlignment="1">
      <alignment horizontal="center" wrapText="1"/>
    </xf>
    <xf numFmtId="0" fontId="6" fillId="8" borderId="13" xfId="0" applyFont="1" applyFill="1" applyBorder="1" applyAlignment="1">
      <alignment horizontal="center" wrapText="1"/>
    </xf>
    <xf numFmtId="0" fontId="6" fillId="8" borderId="14" xfId="0" applyFont="1" applyFill="1" applyBorder="1" applyAlignment="1">
      <alignment horizontal="center" wrapText="1"/>
    </xf>
    <xf numFmtId="0" fontId="0" fillId="0" borderId="0" xfId="0" applyAlignment="1">
      <alignment vertical="top" wrapText="1"/>
    </xf>
    <xf numFmtId="0" fontId="8" fillId="0" borderId="0" xfId="0" applyFont="1" applyAlignment="1">
      <alignment vertical="top" wrapText="1"/>
    </xf>
    <xf numFmtId="0" fontId="9" fillId="11" borderId="0" xfId="0" applyFont="1" applyFill="1" applyAlignment="1">
      <alignment vertical="center" wrapText="1"/>
    </xf>
    <xf numFmtId="0" fontId="10" fillId="0" borderId="0" xfId="0" applyFont="1" applyAlignment="1">
      <alignment vertical="top" wrapText="1"/>
    </xf>
    <xf numFmtId="0" fontId="12" fillId="11" borderId="0" xfId="0" applyFont="1" applyFill="1" applyAlignment="1">
      <alignment vertical="top" wrapText="1"/>
    </xf>
    <xf numFmtId="0" fontId="11" fillId="0" borderId="0" xfId="0" applyFont="1" applyBorder="1" applyAlignment="1">
      <alignment vertical="top" wrapText="1"/>
    </xf>
    <xf numFmtId="0" fontId="8" fillId="0" borderId="0" xfId="0" applyFont="1" applyBorder="1" applyAlignment="1">
      <alignment vertical="top" wrapText="1"/>
    </xf>
    <xf numFmtId="0" fontId="11" fillId="0" borderId="15" xfId="0" applyFont="1" applyBorder="1" applyAlignment="1">
      <alignment vertical="top" wrapText="1"/>
    </xf>
    <xf numFmtId="0" fontId="8" fillId="0" borderId="15" xfId="0" applyFont="1" applyBorder="1" applyAlignment="1">
      <alignment vertical="top" wrapText="1"/>
    </xf>
    <xf numFmtId="0" fontId="11" fillId="0" borderId="16" xfId="0" applyFont="1" applyBorder="1" applyAlignment="1">
      <alignment vertical="top" wrapText="1"/>
    </xf>
    <xf numFmtId="0" fontId="8" fillId="0" borderId="16" xfId="0" applyFont="1" applyBorder="1" applyAlignment="1">
      <alignment vertical="top" wrapText="1"/>
    </xf>
    <xf numFmtId="0" fontId="13" fillId="11" borderId="0" xfId="0" applyFont="1" applyFill="1" applyAlignment="1">
      <alignment vertical="top" wrapText="1"/>
    </xf>
    <xf numFmtId="0" fontId="1" fillId="0" borderId="0" xfId="0" applyFont="1" applyAlignment="1">
      <alignment vertical="top" wrapText="1"/>
    </xf>
    <xf numFmtId="0" fontId="14" fillId="11" borderId="0" xfId="0" applyFont="1" applyFill="1"/>
    <xf numFmtId="0" fontId="1" fillId="10" borderId="0" xfId="0" applyFont="1" applyFill="1" applyAlignment="1">
      <alignment horizontal="center" wrapText="1"/>
    </xf>
    <xf numFmtId="49" fontId="0" fillId="5" borderId="0" xfId="0" applyNumberFormat="1" applyFill="1" applyAlignment="1">
      <alignment horizontal="center"/>
    </xf>
    <xf numFmtId="0" fontId="15" fillId="5" borderId="3" xfId="0" applyNumberFormat="1" applyFont="1" applyFill="1" applyBorder="1" applyAlignment="1">
      <alignment horizontal="left" vertical="center" wrapText="1"/>
    </xf>
  </cellXfs>
  <cellStyles count="1">
    <cellStyle name="Normal" xfId="0" builtinId="0"/>
  </cellStyles>
  <dxfs count="33">
    <dxf>
      <font>
        <color rgb="FF9C5700"/>
      </font>
      <fill>
        <patternFill patternType="solid">
          <fgColor indexed="64"/>
          <bgColor rgb="FFFFEB9C"/>
        </patternFill>
      </fill>
    </dxf>
    <dxf>
      <fill>
        <patternFill patternType="solid">
          <fgColor indexed="64"/>
          <bgColor rgb="FFFFC7CE"/>
        </patternFill>
      </fill>
    </dxf>
    <dxf>
      <fill>
        <patternFill patternType="solid">
          <fgColor indexed="64"/>
          <bgColor rgb="FFE2EFDA"/>
        </patternFill>
      </fill>
    </dxf>
    <dxf>
      <fill>
        <patternFill patternType="solid">
          <fgColor indexed="64"/>
          <bgColor rgb="FFFFC7CE"/>
        </patternFill>
      </fill>
    </dxf>
    <dxf>
      <fill>
        <patternFill patternType="solid">
          <fgColor indexed="64"/>
          <bgColor rgb="FFE2EFDA"/>
        </patternFill>
      </fill>
    </dxf>
    <dxf>
      <font>
        <color rgb="FFA6A6A6"/>
      </font>
    </dxf>
    <dxf>
      <font>
        <color rgb="FF9C5700"/>
      </font>
      <fill>
        <patternFill patternType="solid">
          <fgColor indexed="64"/>
          <bgColor rgb="FFFFEB9C"/>
        </patternFill>
      </fill>
    </dxf>
    <dxf>
      <fill>
        <patternFill patternType="solid">
          <fgColor indexed="64"/>
          <bgColor rgb="FFFFC7CE"/>
        </patternFill>
      </fill>
    </dxf>
    <dxf>
      <fill>
        <patternFill patternType="solid">
          <fgColor indexed="64"/>
          <bgColor rgb="FFE2EFDA"/>
        </patternFill>
      </fill>
    </dxf>
    <dxf>
      <fill>
        <patternFill patternType="solid">
          <fgColor indexed="64"/>
          <bgColor rgb="FFFFC7CE"/>
        </patternFill>
      </fill>
    </dxf>
    <dxf>
      <fill>
        <patternFill patternType="solid">
          <fgColor indexed="64"/>
          <bgColor rgb="FFE2EFDA"/>
        </patternFill>
      </fill>
    </dxf>
    <dxf>
      <font>
        <color rgb="FFA6A6A6"/>
      </font>
    </dxf>
    <dxf>
      <font>
        <b/>
      </font>
      <fill>
        <patternFill patternType="solid">
          <fgColor indexed="64"/>
          <bgColor rgb="FFC6EFCE"/>
        </patternFill>
      </fill>
    </dxf>
    <dxf>
      <font>
        <b/>
      </font>
      <alignment vertical="top" wrapText="1"/>
    </dxf>
    <dxf>
      <font>
        <b/>
        <color rgb="FF000000"/>
      </font>
      <fill>
        <patternFill patternType="solid">
          <fgColor indexed="64"/>
          <bgColor rgb="FFC1F0C8"/>
        </patternFill>
      </fill>
      <alignment vertical="top" wrapText="1"/>
    </dxf>
    <dxf>
      <alignment vertical="top" wrapText="1"/>
    </dxf>
    <dxf>
      <alignment vertical="top" wrapText="1"/>
    </dxf>
    <dxf>
      <alignment vertical="top" wrapText="1"/>
    </dxf>
    <dxf>
      <alignment wrapText="1"/>
    </dxf>
    <dxf>
      <alignment horizontal="center"/>
    </dxf>
    <dxf>
      <alignment horizontal="center"/>
    </dxf>
    <dxf>
      <alignment horizontal="center"/>
    </dxf>
    <dxf>
      <font>
        <b/>
        <i val="0"/>
        <strike val="0"/>
        <condense val="0"/>
        <extend val="0"/>
        <outline val="0"/>
        <shadow val="0"/>
        <u val="none"/>
        <vertAlign val="baseline"/>
        <sz val="11"/>
        <color theme="1"/>
        <name val="Aptos Narrow"/>
        <family val="2"/>
        <scheme val="minor"/>
      </font>
      <fill>
        <patternFill patternType="solid">
          <fgColor indexed="64"/>
          <bgColor rgb="FFC6EFCE"/>
        </patternFill>
      </fill>
      <alignment horizontal="general" vertical="center" textRotation="0" wrapText="0" indent="0" justifyLastLine="0" shrinkToFit="0" readingOrder="0"/>
    </dxf>
    <dxf>
      <numFmt numFmtId="30" formatCode="@"/>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C6EFCE"/>
        </patternFill>
      </fill>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F1D424-E140-420C-A14A-A84B8566A550}" name="Approximations" displayName="Approximations" ref="B47:D59" totalsRowShown="0" headerRowDxfId="14" dataDxfId="15">
  <autoFilter ref="B47:D59" xr:uid="{39F1D424-E140-420C-A14A-A84B8566A550}">
    <filterColumn colId="0" hiddenButton="1"/>
    <filterColumn colId="1" hiddenButton="1"/>
    <filterColumn colId="2" hiddenButton="1"/>
  </autoFilter>
  <tableColumns count="3">
    <tableColumn id="1" xr3:uid="{511832BF-2AE5-4D45-9A5A-87E5C3857B64}" name="Area" dataDxfId="13"/>
    <tableColumn id="2" xr3:uid="{BE46303A-4930-43C4-A85A-A7D22F5E304D}" name="How the simulator handles it" dataDxfId="17"/>
    <tableColumn id="3" xr3:uid="{65F6B53A-6DE8-42DC-98E7-B74E385EE73B}" name="What it means for you" data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021EE7-945C-47CD-84C4-0D8AA0586114}" name="Keywords" displayName="Keywords" ref="B2:I53" totalsRowShown="0" headerRowDxfId="24" dataDxfId="25">
  <autoFilter ref="B2:I53" xr:uid="{7F021EE7-945C-47CD-84C4-0D8AA0586114}"/>
  <tableColumns count="8">
    <tableColumn id="1" xr3:uid="{4F75B3EB-9D61-4963-9962-F969741CF3CE}" name="Keyword" dataDxfId="32"/>
    <tableColumn id="2" xr3:uid="{AF9274EB-75D1-4CCC-B4DE-2B6AC5F76EA4}" name="Category" dataDxfId="31"/>
    <tableColumn id="3" xr3:uid="{6CA6F9C1-BAED-454F-AFF0-B245A87DD9EA}" name="Applies To" dataDxfId="30"/>
    <tableColumn id="4" xr3:uid="{3013DE56-6A6B-4F16-AC59-45FA32065BCD}" name="Format" dataDxfId="29"/>
    <tableColumn id="5" xr3:uid="{EA8D6ACF-95AE-47CB-B1B3-E3AB50E07F45}" name="Rule Summary" dataDxfId="28"/>
    <tableColumn id="6" xr3:uid="{B547C019-E652-4B3A-A629-0D8AF8951F5F}" name="Sim Step" dataDxfId="27"/>
    <tableColumn id="7" xr3:uid="{28BB7205-FBC5-4E2D-8CAD-A3A244F0C9F5}" name="Modelled in Sim?" dataDxfId="26"/>
    <tableColumn id="8" xr3:uid="{AB70E1B1-10AF-485B-9AA2-E6004D68DD35}" name="Rule Ref" dataDxfId="2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4E9337-08F8-4FC4-AC85-D5C2FABA5B46}" name="CoreStratagems" displayName="CoreStratagems" ref="B63:G73" totalsRowShown="0" headerRowDxfId="22">
  <autoFilter ref="B63:G73" xr:uid="{374E9337-08F8-4FC4-AC85-D5C2FABA5B46}"/>
  <tableColumns count="6">
    <tableColumn id="1" xr3:uid="{743F69E1-5D82-4583-9224-08B3098A8BA0}" name="Stratagem"/>
    <tableColumn id="2" xr3:uid="{EC7484F2-FAEB-400C-84C7-A7EDBEFE96D6}" name="CP" dataDxfId="21"/>
    <tableColumn id="3" xr3:uid="{B9EB8982-A978-4B10-9E6E-008CDFC3D0B0}" name="Applies To" dataDxfId="20"/>
    <tableColumn id="4" xr3:uid="{7E19F3DB-9C66-48D3-B6AB-047DADCD6760}" name="Phase" dataDxfId="19"/>
    <tableColumn id="5" xr3:uid="{5CDCAC12-DAD3-4D58-BB31-A2B90A353341}" name="Modifier"/>
    <tableColumn id="6" xr3:uid="{08B376C9-CCE3-48EB-956D-57D1023E1B52}" name="Notes" dataDxfId="1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FB9FD7-1EE3-4F07-AABF-6E38A673BED5}" name="Factions" displayName="Factions" ref="N2:N10" totalsRowShown="0" headerRowDxfId="12">
  <autoFilter ref="N2:N10" xr:uid="{2AFB9FD7-1EE3-4F07-AABF-6E38A673BED5}">
    <filterColumn colId="0" hiddenButton="1"/>
  </autoFilter>
  <tableColumns count="1">
    <tableColumn id="1" xr3:uid="{66DD4ABD-B95E-490C-A0AA-0A83D41A9054}" name="Fac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B1E43D3-315F-408E-ACA9-6B797B005027}">
  <we:reference id="wa200009404" version="1.0.0.8" store="en-US" storeType="OMEX"/>
  <we:alternateReferences>
    <we:reference id="WA200009404" version="1.0.0.8" store="WA200009404" storeType="OMEX"/>
  </we:alternateReferences>
  <we:properties>
    <we:property name="claude.fileId" value="&quot;f16639ae-f6e4-4ebf-81fc-f7821df3eca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1.v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F948-291F-4A01-8D0C-25ACAF424B08}">
  <dimension ref="B2:D59"/>
  <sheetViews>
    <sheetView showGridLines="0" tabSelected="1" workbookViewId="0">
      <selection activeCell="B3" sqref="B3:C3"/>
    </sheetView>
  </sheetViews>
  <sheetFormatPr defaultRowHeight="14.4" x14ac:dyDescent="0.3"/>
  <cols>
    <col min="1" max="1" width="2.77734375" customWidth="1"/>
    <col min="2" max="2" width="35.21875" customWidth="1"/>
    <col min="3" max="3" width="114.77734375" customWidth="1"/>
    <col min="4" max="4" width="70.33203125" customWidth="1"/>
  </cols>
  <sheetData>
    <row r="2" spans="2:3" ht="23.4" x14ac:dyDescent="0.3">
      <c r="B2" s="79" t="s">
        <v>457</v>
      </c>
      <c r="C2" s="79"/>
    </row>
    <row r="3" spans="2:3" ht="48" customHeight="1" x14ac:dyDescent="0.3">
      <c r="B3" s="80" t="s">
        <v>305</v>
      </c>
      <c r="C3" s="80"/>
    </row>
    <row r="4" spans="2:3" ht="15" customHeight="1" x14ac:dyDescent="0.3">
      <c r="B4" s="78"/>
      <c r="C4" s="78"/>
    </row>
    <row r="5" spans="2:3" ht="17.399999999999999" x14ac:dyDescent="0.3">
      <c r="B5" s="81" t="s">
        <v>306</v>
      </c>
      <c r="C5" s="81"/>
    </row>
    <row r="6" spans="2:3" x14ac:dyDescent="0.3">
      <c r="B6" s="82" t="s">
        <v>307</v>
      </c>
      <c r="C6" s="83" t="s">
        <v>308</v>
      </c>
    </row>
    <row r="7" spans="2:3" x14ac:dyDescent="0.3">
      <c r="B7" s="86" t="s">
        <v>309</v>
      </c>
      <c r="C7" s="87" t="s">
        <v>310</v>
      </c>
    </row>
    <row r="8" spans="2:3" ht="28.8" x14ac:dyDescent="0.3">
      <c r="B8" s="86" t="s">
        <v>311</v>
      </c>
      <c r="C8" s="87" t="s">
        <v>312</v>
      </c>
    </row>
    <row r="9" spans="2:3" ht="28.8" x14ac:dyDescent="0.3">
      <c r="B9" s="84" t="s">
        <v>313</v>
      </c>
      <c r="C9" s="85" t="s">
        <v>314</v>
      </c>
    </row>
    <row r="10" spans="2:3" ht="15" customHeight="1" x14ac:dyDescent="0.3">
      <c r="B10" s="78"/>
      <c r="C10" s="78"/>
    </row>
    <row r="11" spans="2:3" ht="17.399999999999999" x14ac:dyDescent="0.3">
      <c r="B11" s="81" t="s">
        <v>315</v>
      </c>
      <c r="C11" s="81"/>
    </row>
    <row r="12" spans="2:3" ht="28.8" x14ac:dyDescent="0.3">
      <c r="B12" s="82" t="s">
        <v>316</v>
      </c>
      <c r="C12" s="83" t="s">
        <v>451</v>
      </c>
    </row>
    <row r="13" spans="2:3" ht="43.2" x14ac:dyDescent="0.3">
      <c r="B13" s="86" t="s">
        <v>317</v>
      </c>
      <c r="C13" s="87" t="s">
        <v>318</v>
      </c>
    </row>
    <row r="14" spans="2:3" ht="28.8" x14ac:dyDescent="0.3">
      <c r="B14" s="86" t="s">
        <v>319</v>
      </c>
      <c r="C14" s="87" t="s">
        <v>320</v>
      </c>
    </row>
    <row r="15" spans="2:3" x14ac:dyDescent="0.3">
      <c r="B15" s="84" t="s">
        <v>321</v>
      </c>
      <c r="C15" s="85" t="s">
        <v>322</v>
      </c>
    </row>
    <row r="16" spans="2:3" ht="15" customHeight="1" x14ac:dyDescent="0.3">
      <c r="B16" s="78"/>
      <c r="C16" s="78"/>
    </row>
    <row r="17" spans="2:3" ht="17.399999999999999" x14ac:dyDescent="0.3">
      <c r="B17" s="81" t="s">
        <v>323</v>
      </c>
      <c r="C17" s="81"/>
    </row>
    <row r="18" spans="2:3" x14ac:dyDescent="0.3">
      <c r="B18" s="82" t="s">
        <v>324</v>
      </c>
      <c r="C18" s="83" t="s">
        <v>325</v>
      </c>
    </row>
    <row r="19" spans="2:3" x14ac:dyDescent="0.3">
      <c r="B19" s="86" t="s">
        <v>326</v>
      </c>
      <c r="C19" s="87" t="s">
        <v>180</v>
      </c>
    </row>
    <row r="20" spans="2:3" x14ac:dyDescent="0.3">
      <c r="B20" s="86" t="s">
        <v>327</v>
      </c>
      <c r="C20" s="87" t="s">
        <v>190</v>
      </c>
    </row>
    <row r="21" spans="2:3" x14ac:dyDescent="0.3">
      <c r="B21" s="86" t="s">
        <v>328</v>
      </c>
      <c r="C21" s="87" t="s">
        <v>329</v>
      </c>
    </row>
    <row r="22" spans="2:3" ht="43.2" x14ac:dyDescent="0.3">
      <c r="B22" s="86" t="s">
        <v>330</v>
      </c>
      <c r="C22" s="87" t="s">
        <v>404</v>
      </c>
    </row>
    <row r="23" spans="2:3" x14ac:dyDescent="0.3">
      <c r="B23" s="84" t="s">
        <v>331</v>
      </c>
      <c r="C23" s="85" t="s">
        <v>332</v>
      </c>
    </row>
    <row r="24" spans="2:3" ht="15" customHeight="1" x14ac:dyDescent="0.3">
      <c r="B24" s="78"/>
      <c r="C24" s="78"/>
    </row>
    <row r="25" spans="2:3" ht="17.399999999999999" x14ac:dyDescent="0.3">
      <c r="B25" s="81" t="s">
        <v>333</v>
      </c>
      <c r="C25" s="81"/>
    </row>
    <row r="26" spans="2:3" x14ac:dyDescent="0.3">
      <c r="B26" s="82" t="s">
        <v>334</v>
      </c>
      <c r="C26" s="83" t="s">
        <v>335</v>
      </c>
    </row>
    <row r="27" spans="2:3" ht="28.8" x14ac:dyDescent="0.3">
      <c r="B27" s="86" t="s">
        <v>336</v>
      </c>
      <c r="C27" s="87" t="s">
        <v>452</v>
      </c>
    </row>
    <row r="28" spans="2:3" ht="28.8" x14ac:dyDescent="0.3">
      <c r="B28" s="86" t="s">
        <v>337</v>
      </c>
      <c r="C28" s="87" t="s">
        <v>338</v>
      </c>
    </row>
    <row r="29" spans="2:3" x14ac:dyDescent="0.3">
      <c r="B29" s="86" t="s">
        <v>339</v>
      </c>
      <c r="C29" s="87" t="s">
        <v>340</v>
      </c>
    </row>
    <row r="30" spans="2:3" ht="28.8" x14ac:dyDescent="0.3">
      <c r="B30" s="86" t="s">
        <v>341</v>
      </c>
      <c r="C30" s="87" t="s">
        <v>342</v>
      </c>
    </row>
    <row r="31" spans="2:3" ht="28.8" x14ac:dyDescent="0.3">
      <c r="B31" s="84" t="s">
        <v>343</v>
      </c>
      <c r="C31" s="85" t="s">
        <v>344</v>
      </c>
    </row>
    <row r="32" spans="2:3" ht="15" customHeight="1" x14ac:dyDescent="0.3">
      <c r="B32" s="78"/>
      <c r="C32" s="78"/>
    </row>
    <row r="33" spans="2:4" ht="17.399999999999999" x14ac:dyDescent="0.3">
      <c r="B33" s="81" t="s">
        <v>345</v>
      </c>
      <c r="C33" s="81"/>
    </row>
    <row r="34" spans="2:4" ht="28.8" x14ac:dyDescent="0.3">
      <c r="B34" s="82" t="s">
        <v>346</v>
      </c>
      <c r="C34" s="83" t="s">
        <v>347</v>
      </c>
    </row>
    <row r="35" spans="2:4" x14ac:dyDescent="0.3">
      <c r="B35" s="86" t="s">
        <v>348</v>
      </c>
      <c r="C35" s="87" t="s">
        <v>349</v>
      </c>
    </row>
    <row r="36" spans="2:4" ht="28.8" x14ac:dyDescent="0.3">
      <c r="B36" s="84" t="s">
        <v>350</v>
      </c>
      <c r="C36" s="85" t="s">
        <v>351</v>
      </c>
    </row>
    <row r="37" spans="2:4" ht="15" customHeight="1" x14ac:dyDescent="0.3">
      <c r="B37" s="78"/>
      <c r="C37" s="78"/>
    </row>
    <row r="38" spans="2:4" ht="17.399999999999999" x14ac:dyDescent="0.3">
      <c r="B38" s="81" t="s">
        <v>352</v>
      </c>
      <c r="C38" s="81"/>
    </row>
    <row r="39" spans="2:4" x14ac:dyDescent="0.3">
      <c r="B39" s="82" t="s">
        <v>353</v>
      </c>
      <c r="C39" s="83" t="s">
        <v>354</v>
      </c>
    </row>
    <row r="40" spans="2:4" x14ac:dyDescent="0.3">
      <c r="B40" s="86" t="s">
        <v>208</v>
      </c>
      <c r="C40" s="87" t="s">
        <v>355</v>
      </c>
    </row>
    <row r="41" spans="2:4" ht="28.8" x14ac:dyDescent="0.3">
      <c r="B41" s="86" t="s">
        <v>356</v>
      </c>
      <c r="C41" s="87" t="s">
        <v>453</v>
      </c>
    </row>
    <row r="42" spans="2:4" ht="28.8" x14ac:dyDescent="0.3">
      <c r="B42" s="86" t="s">
        <v>357</v>
      </c>
      <c r="C42" s="87" t="s">
        <v>358</v>
      </c>
    </row>
    <row r="43" spans="2:4" ht="43.2" x14ac:dyDescent="0.3">
      <c r="B43" s="86" t="s">
        <v>359</v>
      </c>
      <c r="C43" s="87" t="s">
        <v>454</v>
      </c>
    </row>
    <row r="44" spans="2:4" ht="28.8" x14ac:dyDescent="0.3">
      <c r="B44" s="84" t="s">
        <v>360</v>
      </c>
      <c r="C44" s="85" t="s">
        <v>361</v>
      </c>
    </row>
    <row r="45" spans="2:4" ht="15" customHeight="1" x14ac:dyDescent="0.3"/>
    <row r="46" spans="2:4" ht="17.399999999999999" customHeight="1" x14ac:dyDescent="0.35">
      <c r="B46" s="90" t="s">
        <v>405</v>
      </c>
      <c r="C46" s="90"/>
      <c r="D46" s="90"/>
    </row>
    <row r="47" spans="2:4" x14ac:dyDescent="0.3">
      <c r="B47" s="88" t="s">
        <v>406</v>
      </c>
      <c r="C47" s="88" t="s">
        <v>407</v>
      </c>
      <c r="D47" s="88" t="s">
        <v>408</v>
      </c>
    </row>
    <row r="48" spans="2:4" x14ac:dyDescent="0.3">
      <c r="B48" s="89" t="s">
        <v>409</v>
      </c>
      <c r="C48" s="77" t="s">
        <v>410</v>
      </c>
      <c r="D48" s="77" t="s">
        <v>411</v>
      </c>
    </row>
    <row r="49" spans="2:4" x14ac:dyDescent="0.3">
      <c r="B49" s="89" t="s">
        <v>412</v>
      </c>
      <c r="C49" s="77" t="s">
        <v>413</v>
      </c>
      <c r="D49" s="77" t="s">
        <v>414</v>
      </c>
    </row>
    <row r="50" spans="2:4" x14ac:dyDescent="0.3">
      <c r="B50" s="89" t="s">
        <v>415</v>
      </c>
      <c r="C50" s="77" t="s">
        <v>416</v>
      </c>
      <c r="D50" s="77" t="s">
        <v>417</v>
      </c>
    </row>
    <row r="51" spans="2:4" x14ac:dyDescent="0.3">
      <c r="B51" s="89" t="s">
        <v>208</v>
      </c>
      <c r="C51" s="77" t="s">
        <v>418</v>
      </c>
      <c r="D51" s="77" t="s">
        <v>419</v>
      </c>
    </row>
    <row r="52" spans="2:4" x14ac:dyDescent="0.3">
      <c r="B52" s="89" t="s">
        <v>118</v>
      </c>
      <c r="C52" s="77" t="s">
        <v>420</v>
      </c>
      <c r="D52" s="77" t="s">
        <v>421</v>
      </c>
    </row>
    <row r="53" spans="2:4" x14ac:dyDescent="0.3">
      <c r="B53" s="89" t="s">
        <v>422</v>
      </c>
      <c r="C53" s="77" t="s">
        <v>423</v>
      </c>
      <c r="D53" s="77" t="s">
        <v>424</v>
      </c>
    </row>
    <row r="54" spans="2:4" x14ac:dyDescent="0.3">
      <c r="B54" s="89" t="s">
        <v>200</v>
      </c>
      <c r="C54" s="77" t="s">
        <v>425</v>
      </c>
      <c r="D54" s="77" t="s">
        <v>426</v>
      </c>
    </row>
    <row r="55" spans="2:4" x14ac:dyDescent="0.3">
      <c r="B55" s="89" t="s">
        <v>427</v>
      </c>
      <c r="C55" s="77" t="s">
        <v>428</v>
      </c>
      <c r="D55" s="77" t="s">
        <v>429</v>
      </c>
    </row>
    <row r="56" spans="2:4" x14ac:dyDescent="0.3">
      <c r="B56" s="89" t="s">
        <v>430</v>
      </c>
      <c r="C56" s="77" t="s">
        <v>431</v>
      </c>
      <c r="D56" s="77" t="s">
        <v>432</v>
      </c>
    </row>
    <row r="57" spans="2:4" x14ac:dyDescent="0.3">
      <c r="B57" s="89" t="s">
        <v>433</v>
      </c>
      <c r="C57" s="77" t="s">
        <v>434</v>
      </c>
      <c r="D57" s="77" t="s">
        <v>435</v>
      </c>
    </row>
    <row r="58" spans="2:4" x14ac:dyDescent="0.3">
      <c r="B58" s="89" t="s">
        <v>360</v>
      </c>
      <c r="C58" s="77" t="s">
        <v>436</v>
      </c>
      <c r="D58" s="77" t="s">
        <v>437</v>
      </c>
    </row>
    <row r="59" spans="2:4" x14ac:dyDescent="0.3">
      <c r="B59" s="89" t="s">
        <v>438</v>
      </c>
      <c r="C59" s="77" t="s">
        <v>439</v>
      </c>
      <c r="D59" s="77" t="s">
        <v>440</v>
      </c>
    </row>
  </sheetData>
  <mergeCells count="9">
    <mergeCell ref="B33:C33"/>
    <mergeCell ref="B38:C38"/>
    <mergeCell ref="B46:D46"/>
    <mergeCell ref="B2:C2"/>
    <mergeCell ref="B3:C3"/>
    <mergeCell ref="B5:C5"/>
    <mergeCell ref="B11:C11"/>
    <mergeCell ref="B17:C17"/>
    <mergeCell ref="B25:C25"/>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2A20-F467-4732-B1C2-FC4190062036}">
  <sheetPr codeName="Sheet1">
    <tabColor theme="1" tint="0.499984740745262"/>
  </sheetPr>
  <dimension ref="A2:BK66"/>
  <sheetViews>
    <sheetView workbookViewId="0">
      <selection activeCell="BD1" sqref="BD1:BD1048576"/>
    </sheetView>
  </sheetViews>
  <sheetFormatPr defaultColWidth="9.109375" defaultRowHeight="14.4" outlineLevelCol="4" x14ac:dyDescent="0.3"/>
  <cols>
    <col min="1" max="1" width="5.21875" style="7" bestFit="1" customWidth="1"/>
    <col min="2" max="2" width="26.33203125" style="7" bestFit="1" customWidth="1"/>
    <col min="3" max="3" width="9.109375" style="7"/>
    <col min="4" max="7" width="13" style="7" customWidth="1"/>
    <col min="8" max="8" width="27.77734375" style="7" customWidth="1"/>
    <col min="9" max="12" width="9.109375" style="7" customWidth="1"/>
    <col min="13" max="14" width="9.109375" style="7"/>
    <col min="15" max="23" width="11.44140625" style="7" customWidth="1"/>
    <col min="24" max="24" width="27.77734375" style="7" customWidth="1"/>
    <col min="25" max="25" width="2.77734375" style="7" customWidth="1"/>
    <col min="26" max="43" width="9.6640625" style="7" hidden="1" customWidth="1" outlineLevel="1"/>
    <col min="44" max="50" width="9.6640625" style="7" hidden="1" customWidth="1" outlineLevel="2"/>
    <col min="51" max="55" width="11.109375" style="7" hidden="1" customWidth="1" outlineLevel="4"/>
    <col min="56" max="56" width="9.109375" style="7" collapsed="1"/>
    <col min="57" max="16384" width="9.109375" style="7"/>
  </cols>
  <sheetData>
    <row r="2" spans="1:63" ht="43.2" x14ac:dyDescent="0.3">
      <c r="B2" s="7" t="s">
        <v>36</v>
      </c>
      <c r="D2" s="21" t="s">
        <v>197</v>
      </c>
      <c r="E2" s="21" t="s">
        <v>198</v>
      </c>
      <c r="F2" s="21" t="s">
        <v>199</v>
      </c>
      <c r="G2" s="21" t="s">
        <v>200</v>
      </c>
      <c r="H2" s="21" t="s">
        <v>201</v>
      </c>
      <c r="I2" s="73" t="s">
        <v>303</v>
      </c>
      <c r="J2" s="74"/>
      <c r="K2" s="73" t="s">
        <v>304</v>
      </c>
      <c r="L2" s="74"/>
      <c r="O2" s="26" t="s">
        <v>207</v>
      </c>
      <c r="P2" s="26" t="s">
        <v>219</v>
      </c>
      <c r="Q2" s="26" t="s">
        <v>455</v>
      </c>
      <c r="R2" s="91" t="s">
        <v>456</v>
      </c>
      <c r="S2" s="91"/>
      <c r="T2" s="91"/>
      <c r="U2" s="91"/>
      <c r="V2" s="91"/>
      <c r="W2" s="91"/>
      <c r="X2" s="91"/>
      <c r="Z2" s="24" t="s">
        <v>217</v>
      </c>
      <c r="AA2" s="24" t="s">
        <v>218</v>
      </c>
      <c r="AB2" s="24" t="s">
        <v>256</v>
      </c>
      <c r="AC2" s="24" t="s">
        <v>257</v>
      </c>
      <c r="AD2" s="24" t="s">
        <v>258</v>
      </c>
      <c r="AE2" s="24" t="s">
        <v>266</v>
      </c>
      <c r="AF2" s="24" t="s">
        <v>267</v>
      </c>
      <c r="AG2" s="24" t="s">
        <v>268</v>
      </c>
      <c r="AH2" s="24" t="s">
        <v>362</v>
      </c>
      <c r="AI2" s="24" t="s">
        <v>363</v>
      </c>
      <c r="AJ2" s="24" t="s">
        <v>364</v>
      </c>
    </row>
    <row r="3" spans="1:63" ht="30" customHeight="1" x14ac:dyDescent="0.3">
      <c r="B3" s="7" t="s">
        <v>37</v>
      </c>
      <c r="D3" s="35" t="s">
        <v>61</v>
      </c>
      <c r="E3" s="35" t="s">
        <v>57</v>
      </c>
      <c r="F3" s="35" t="s">
        <v>61</v>
      </c>
      <c r="G3" s="35">
        <v>5</v>
      </c>
      <c r="H3" s="35" t="s">
        <v>61</v>
      </c>
      <c r="I3" s="75" t="str">
        <f>IF($AB$3="","None ticked",$AB$3)</f>
        <v>None ticked</v>
      </c>
      <c r="J3" s="76"/>
      <c r="K3" s="75" t="str">
        <f>IF($AC$3="","None ticked",$AC$3)</f>
        <v>None ticked</v>
      </c>
      <c r="L3" s="76"/>
      <c r="O3" s="27">
        <f>SUM(V6:V30)</f>
        <v>4.8657407407407405</v>
      </c>
      <c r="P3" s="27">
        <f>MIN($G$3,SUM(W6:W30))</f>
        <v>2.4328703703703702</v>
      </c>
      <c r="Q3" s="92" t="str" cm="1">
        <f t="array" ref="Q3">SUMPRODUCT(($B$6:$B$30&lt;&gt;"")*($A$6:$A$30=TRUE))&amp;" of "&amp;COUNTIF($B$6:$B$30,"?*")</f>
        <v>7 of 7</v>
      </c>
      <c r="R3" s="93" t="str" cm="1">
        <f t="array" ref="R3">_xlfn.LET(_xlpm.nw,IFERROR(IF(INDEX(_xlfn.ANCHORARRAY($B$6),1)="",0,ROWS(_xlfn.ANCHORARRAY($B$6))),0),_xlpm.un,_xlfn._xlws.FILTER($B$6:$B$30,($B$6:$B$30&lt;&gt;"")*($A$6:$A$30=FALSE),""),_xlpm.ao,IFERROR(ROWS(OPTIONS($B$3,"Attacker","Shooting")),0),_xlpm.to,IFERROR(ROWS(OPTIONS($AD$3,"Target","Shooting")),0),_xlpm.bad,SUMPRODUCT(($A$34:$A$48=TRUE)*($B$34:$B$48=""))+SUMPRODUCT(($A$52:$A$66=TRUE)*($B$52:$B$66="")),_xlpm.w,_xlfn.TEXTJOIN(" | ",TRUE,IF($AD$3="","Target not found - pick a target in I4",""),IF(AND(_xlpm.nw&gt;0,$AD$3&lt;&gt;"",OR(N($I$6)&lt;=0,N($J$6)&lt;=0,NOT(ISNUMBER($K$6)))),"Target is missing T, W or Sv",""),IF(_xlpm.nw&gt;25,"Unit has "&amp;_xlpm.nw&amp;" weapons - only the first 25 are shown",""),IF(_xlpm.ao&gt;15,"Attacker has "&amp;_xlpm.ao&amp;" rules/stratagems - only 15 shown",""),IF(_xlpm.to&gt;15,"Target has "&amp;_xlpm.to&amp;" rules/stratagems - only 15 shown",""),IF(_xlpm.bad&gt;0,_xlpm.bad&amp;" ticked rule/stratagem row(s) are empty - untick them",""),IF(INDEX(_xlpm.un,1)&lt;&gt;"","Unticked: "&amp;_xlfn.TEXTJOIN(", ",TRUE,_xlpm.un),"")),IF(_xlpm.w="","OK - after changing unit, target or faction, re-check your ticks",_xlpm.w))</f>
        <v>OK - after changing unit, target or faction, re-check your ticks</v>
      </c>
      <c r="S3" s="93"/>
      <c r="T3" s="93"/>
      <c r="U3" s="93"/>
      <c r="V3" s="93"/>
      <c r="W3" s="93"/>
      <c r="X3" s="93"/>
      <c r="Z3" s="25" cm="1">
        <f t="array" ref="Z3">_xlfn.LET(_xlpm.a,$M$6,_xlpm.b,KWMIN(($N$6&amp;", "&amp;$AC$3),"Feel No Pain"),MIN(IF(AND(ISNUMBER(_xlpm.a),_xlpm.a&gt;=2,_xlpm.a&lt;=6),_xlpm.a,7),IF(ISNUMBER(_xlpm.b),_xlpm.b,7)))</f>
        <v>7</v>
      </c>
      <c r="AA3" s="25" t="b" cm="1">
        <f t="array" ref="AA3">KW(($N$6&amp;", "&amp;$AC$3),"Stealth")=TRUE</f>
        <v>0</v>
      </c>
      <c r="AB3" s="25" t="str" cm="1">
        <f t="array" ref="AB3">_xlfn.TEXTJOIN(", ",TRUE,_xlfn._xlws.FILTER($D$34:$D$48,($A$34:$A$48=TRUE)*($B$34:$B$48&lt;&gt;""),""))</f>
        <v/>
      </c>
      <c r="AC3" s="25" t="str" cm="1">
        <f t="array" ref="AC3">_xlfn.TEXTJOIN(", ",TRUE,_xlfn._xlws.FILTER($D$52:$D$66,($A$52:$A$66=TRUE)*($B$52:$B$66&lt;&gt;""),""))</f>
        <v/>
      </c>
      <c r="AD3" s="25" t="str">
        <f>IFERROR(_xlfn.TEXTBEFORE(_xlfn.TEXTAFTER($I$4," (",-1),")",-1),"")</f>
        <v>Space Marines</v>
      </c>
      <c r="AE3" s="25" cm="1">
        <f t="array" ref="AE3">KWSUM(($N$6&amp;", "&amp;$AC$3),"Toughness Modifier")</f>
        <v>0</v>
      </c>
      <c r="AF3" s="25" cm="1">
        <f t="array" ref="AF3">KWSUM(($N$6&amp;", "&amp;$AC$3),"Save Modifier")</f>
        <v>0</v>
      </c>
      <c r="AG3" s="25" cm="1">
        <f t="array" ref="AG3">KWSUM(($N$6&amp;", "&amp;$AC$3),"Damage Modifier")</f>
        <v>0</v>
      </c>
      <c r="AH3" s="25" cm="1">
        <f t="array" ref="AH3">KWSUM(($N$6&amp;", "&amp;$AC$3),"Hit Modifier")</f>
        <v>0</v>
      </c>
      <c r="AI3" s="25" cm="1">
        <f t="array" ref="AI3">KWSUM(($N$6&amp;", "&amp;$AC$3),"Wound Modifier")</f>
        <v>0</v>
      </c>
      <c r="AJ3" s="25" cm="1">
        <f t="array" ref="AJ3">KWSUM(($N$6&amp;", "&amp;$AC$3),"AP Modifier")</f>
        <v>0</v>
      </c>
    </row>
    <row r="4" spans="1:63" x14ac:dyDescent="0.3">
      <c r="B4" s="47" t="s">
        <v>22</v>
      </c>
      <c r="C4" s="48"/>
      <c r="D4" s="48"/>
      <c r="E4" s="48"/>
      <c r="F4" s="48"/>
      <c r="G4" s="48"/>
      <c r="H4" s="49"/>
      <c r="I4" s="50" t="s">
        <v>447</v>
      </c>
      <c r="J4" s="50"/>
      <c r="K4" s="50"/>
      <c r="L4" s="50"/>
      <c r="M4" s="50"/>
      <c r="N4" s="51"/>
      <c r="O4" s="52" t="s">
        <v>18</v>
      </c>
      <c r="P4" s="53"/>
      <c r="Q4" s="53"/>
      <c r="R4" s="53"/>
      <c r="S4" s="53"/>
      <c r="T4" s="53"/>
      <c r="U4" s="53"/>
      <c r="V4" s="53"/>
      <c r="W4" s="53"/>
      <c r="X4" s="54"/>
      <c r="Z4" s="22" t="s">
        <v>216</v>
      </c>
      <c r="AA4" s="22"/>
      <c r="AB4" s="22"/>
      <c r="AC4" s="22"/>
      <c r="AD4" s="22"/>
      <c r="AE4" s="22"/>
      <c r="AF4" s="22"/>
      <c r="AG4" s="22"/>
      <c r="AH4" s="22"/>
      <c r="AI4" s="22"/>
      <c r="AJ4" s="22"/>
      <c r="AK4" s="22"/>
      <c r="AL4" s="22"/>
      <c r="AM4" s="22"/>
      <c r="AN4" s="22"/>
      <c r="AO4" s="22"/>
      <c r="AP4" s="22"/>
      <c r="AQ4" s="22"/>
      <c r="AR4" s="23"/>
      <c r="AS4" s="23"/>
      <c r="AT4" s="23"/>
      <c r="AU4" s="23"/>
      <c r="AV4" s="23"/>
      <c r="AW4" s="23"/>
      <c r="AX4" s="23"/>
      <c r="AY4" s="23"/>
      <c r="AZ4" s="23"/>
      <c r="BA4" s="23"/>
      <c r="BB4" s="23"/>
      <c r="BC4" s="23"/>
    </row>
    <row r="5" spans="1:63" s="32" customFormat="1" ht="28.8" x14ac:dyDescent="0.3">
      <c r="A5" s="63" t="s">
        <v>221</v>
      </c>
      <c r="B5" s="42" t="s">
        <v>2</v>
      </c>
      <c r="C5" s="43" t="s">
        <v>3</v>
      </c>
      <c r="D5" s="43" t="s">
        <v>4</v>
      </c>
      <c r="E5" s="43" t="s">
        <v>5</v>
      </c>
      <c r="F5" s="43" t="s">
        <v>6</v>
      </c>
      <c r="G5" s="43" t="s">
        <v>7</v>
      </c>
      <c r="H5" s="44" t="s">
        <v>8</v>
      </c>
      <c r="I5" s="42" t="s">
        <v>15</v>
      </c>
      <c r="J5" s="43" t="s">
        <v>16</v>
      </c>
      <c r="K5" s="43" t="s">
        <v>449</v>
      </c>
      <c r="L5" s="43" t="s">
        <v>450</v>
      </c>
      <c r="M5" s="43" t="s">
        <v>19</v>
      </c>
      <c r="N5" s="44" t="s">
        <v>17</v>
      </c>
      <c r="O5" s="45" t="s">
        <v>64</v>
      </c>
      <c r="P5" s="45" t="s">
        <v>31</v>
      </c>
      <c r="Q5" s="45" t="s">
        <v>203</v>
      </c>
      <c r="R5" s="45" t="s">
        <v>32</v>
      </c>
      <c r="S5" s="45" t="s">
        <v>204</v>
      </c>
      <c r="T5" s="45" t="s">
        <v>205</v>
      </c>
      <c r="U5" s="45" t="s">
        <v>206</v>
      </c>
      <c r="V5" s="45" t="s">
        <v>207</v>
      </c>
      <c r="W5" s="45" t="s">
        <v>208</v>
      </c>
      <c r="X5" s="46" t="s">
        <v>209</v>
      </c>
      <c r="Z5" s="24" t="s">
        <v>105</v>
      </c>
      <c r="AA5" s="24" t="s">
        <v>86</v>
      </c>
      <c r="AB5" s="24" t="s">
        <v>102</v>
      </c>
      <c r="AC5" s="24" t="s">
        <v>210</v>
      </c>
      <c r="AD5" s="24" t="s">
        <v>107</v>
      </c>
      <c r="AE5" s="24" t="s">
        <v>84</v>
      </c>
      <c r="AF5" s="24" t="s">
        <v>78</v>
      </c>
      <c r="AG5" s="24" t="s">
        <v>99</v>
      </c>
      <c r="AH5" s="24" t="s">
        <v>11</v>
      </c>
      <c r="AI5" s="24" t="s">
        <v>65</v>
      </c>
      <c r="AJ5" s="24" t="s">
        <v>88</v>
      </c>
      <c r="AK5" s="24" t="s">
        <v>81</v>
      </c>
      <c r="AL5" s="24" t="s">
        <v>98</v>
      </c>
      <c r="AM5" s="24" t="s">
        <v>211</v>
      </c>
      <c r="AN5" s="24" t="s">
        <v>212</v>
      </c>
      <c r="AO5" s="24" t="s">
        <v>213</v>
      </c>
      <c r="AP5" s="24" t="s">
        <v>214</v>
      </c>
      <c r="AQ5" s="24" t="s">
        <v>215</v>
      </c>
      <c r="AR5" s="24" t="s">
        <v>259</v>
      </c>
      <c r="AS5" s="24" t="s">
        <v>260</v>
      </c>
      <c r="AT5" s="24" t="s">
        <v>261</v>
      </c>
      <c r="AU5" s="24" t="s">
        <v>262</v>
      </c>
      <c r="AV5" s="24" t="s">
        <v>263</v>
      </c>
      <c r="AW5" s="24" t="s">
        <v>264</v>
      </c>
      <c r="AX5" s="24" t="s">
        <v>265</v>
      </c>
      <c r="AY5" s="24" t="s">
        <v>370</v>
      </c>
      <c r="AZ5" s="24" t="s">
        <v>371</v>
      </c>
      <c r="BA5" s="24" t="s">
        <v>372</v>
      </c>
      <c r="BB5" s="24" t="s">
        <v>373</v>
      </c>
      <c r="BC5" s="24" t="s">
        <v>374</v>
      </c>
      <c r="BE5" s="20" t="s">
        <v>35</v>
      </c>
      <c r="BG5" s="20" t="s">
        <v>43</v>
      </c>
      <c r="BI5" s="20"/>
      <c r="BJ5" s="20"/>
      <c r="BK5" s="20"/>
    </row>
    <row r="6" spans="1:63" x14ac:dyDescent="0.3">
      <c r="A6" s="64" t="b">
        <v>1</v>
      </c>
      <c r="B6" s="55" t="str" cm="1">
        <f t="array" ref="B6:H12">IFERROR(_xlfn.LET(_xlpm.k,_xlfn.XMATCH(TRIM($B$3),Factions[Faction]),_xlpm.u,$B$4,_xlpm.blk,FACTIONBLOCK(_xlpm.k),_xlpm.srcUnit,_xlfn.CHOOSECOLS(_xlpm.blk,1),_xlpm.srcWeapon,_xlfn.CHOOSECOLS(_xlpm.blk,8),_xlpm.srcType,_xlfn.CHOOSECOLS(_xlpm.blk,9),_xlpm.unitFill,_xlfn.SCAN("",_xlpm.srcUnit,_xlfn.LAMBDA(_xlpm.a,_xlpm.v,IF(_xlpm.v&lt;&gt;"",_xlpm.v,_xlpm.a))),_xlpm.names,_xlfn._xlws.FILTER(_xlpm.srcWeapon,(_xlpm.unitFill=_xlpm.u)*(_xlpm.srcWeapon&lt;&gt;"")*(_xlpm.srcType="Ranged")),_xlpm.stats,_xlfn.CHOOSECOLS(_xlpm.blk,_xlfn.SEQUENCE(1,7,12)),_xlpm.statNames,_xlfn.CHOOSECOLS(_xlpm.blk,12),_xlpm.idx,_xlfn.XMATCH(_xlpm.names,_xlpm.statNames),_xlpm.res,_xlfn.CHOOSEROWS(_xlpm.stats,_xlfn._xlws.FILTER(_xlpm.idx,ISNUMBER(_xlpm.idx))),IF(_xlpm.res="","",_xlpm.res)),"")</f>
        <v>Blight Launcher</v>
      </c>
      <c r="C6" s="36" t="str">
        <v>D3</v>
      </c>
      <c r="D6" s="36">
        <v>3</v>
      </c>
      <c r="E6" s="36">
        <v>6</v>
      </c>
      <c r="F6" s="36">
        <v>-1</v>
      </c>
      <c r="G6" s="36">
        <v>2</v>
      </c>
      <c r="H6" s="1" t="str">
        <v>Blast, Lethal Hits</v>
      </c>
      <c r="I6" s="9" cm="1">
        <f t="array" ref="I6">IF($B$6="","",_xlfn.XLOOKUP($I$4,_xlfn.CHOOSECOLS(AllTargets,1),_xlfn.CHOOSECOLS(AllTargets,COLUMN()-COLUMN($H$6)+1),""))</f>
        <v>5</v>
      </c>
      <c r="J6" s="34" cm="1">
        <f t="array" ref="J6">IF($B$6="","",_xlfn.XLOOKUP($I$4,_xlfn.CHOOSECOLS(AllTargets,1),_xlfn.CHOOSECOLS(AllTargets,COLUMN()-COLUMN($H$6)+1),""))</f>
        <v>2</v>
      </c>
      <c r="K6" s="34" cm="1">
        <f t="array" ref="K6">IF($B$6="","",_xlfn.XLOOKUP($I$4,_xlfn.CHOOSECOLS(AllTargets,1),_xlfn.CHOOSECOLS(AllTargets,COLUMN()-COLUMN($H$6)+1),""))</f>
        <v>3</v>
      </c>
      <c r="L6" s="34" t="str" cm="1">
        <f t="array" ref="L6">IF($B$6="","",_xlfn.XLOOKUP($I$4,_xlfn.CHOOSECOLS(AllTargets,1),_xlfn.CHOOSECOLS(AllTargets,COLUMN()-COLUMN($H$6)+1),""))</f>
        <v>-</v>
      </c>
      <c r="M6" s="34" t="str" cm="1">
        <f t="array" ref="M6">IF($B$6="","",_xlfn.XLOOKUP($I$4,_xlfn.CHOOSECOLS(AllTargets,1),_xlfn.CHOOSECOLS(AllTargets,COLUMN()-COLUMN($H$6)+1),""))</f>
        <v>-</v>
      </c>
      <c r="N6" s="11" t="str" cm="1">
        <f t="array" ref="N6">IF($B$6="","",_xlfn.XLOOKUP($I$4,_xlfn.CHOOSECOLS(AllTargets,1),_xlfn.CHOOSECOLS(AllTargets,COLUMN()-COLUMN($H$6)+1),""))</f>
        <v>-</v>
      </c>
      <c r="O6" s="37">
        <f>IF(OR($B6="",NOT($A6)),"",MAX(1,IF(LEFT($C6,1)="D",(VALUE(MID($C6,2,99))+1)/2,$C6)+$AY6)+$AG6*($D$3="Yes")+($AH6+$AI6)*INT($G$3/5))</f>
        <v>3</v>
      </c>
      <c r="P6" s="37">
        <f>IF(OR($B6="",NOT($A6)),"",IF($Z6,$O6,_xlfn.LET(_xlpm.p,MAX((7-$AN6)/6,(7-$BB6)/6),_xlpm.ph,IF($AV6=2,_xlpm.p+(1-_xlpm.p)*_xlpm.p,IF($AV6=1,_xlpm.p+_xlpm.p/6,_xlpm.p)),$O6*_xlpm.ph+$O6*$AX6*$AB6)))</f>
        <v>2</v>
      </c>
      <c r="Q6" s="37">
        <f>IF(OR($B6="",NOT($A6)),"",IF(AND($AA6,NOT($Z6)),$O6*$AX6,0))</f>
        <v>0.5</v>
      </c>
      <c r="R6" s="37">
        <f>IF(OR($B6="",NOT($A6)),"",_xlfn.LET(_xlpm.n,$P6-$Q6,_xlpm.pW,(7-$AO6)/6,_xlpm.pC,(7-$AM6)/6,_xlpm.pT,MAX(_xlpm.pW,_xlpm.pC),_xlpm.rr,$AW6,_xlpm.n*IF(_xlpm.rr=2,1-(1-_xlpm.pT)^2,IF(_xlpm.rr=1,_xlpm.pT+_xlpm.pT/6,_xlpm.pT))+$Q6))</f>
        <v>1.5</v>
      </c>
      <c r="S6" s="37">
        <f>IF(OR($B6="",NOT($A6)),"",IF($AC6,_xlfn.LET(_xlpm.n,$P6-$Q6,_xlpm.pW,(7-$AO6)/6,_xlpm.pC,(7-$AM6)/6,_xlpm.pT,MAX(_xlpm.pW,_xlpm.pC),_xlpm.rr,$AW6,_xlpm.n*IF(_xlpm.rr=2,_xlpm.pC+(1-_xlpm.pT)*_xlpm.pC,IF(_xlpm.rr=1,_xlpm.pC+_xlpm.pC/6,_xlpm.pC))),0))</f>
        <v>0</v>
      </c>
      <c r="T6" s="37">
        <f>IF(OR($B6="",NOT($A6)),"",($R6-$S6)*($AP6-1)/6)</f>
        <v>0.75</v>
      </c>
      <c r="U6" s="37">
        <f>IF(OR($B6="",NOT($A6)),"",MAX(1,IF(LEFT($G6,1)="D",(VALUE(MID($G6,2,99))+1)/2,$G6)+$AJ6*($D$3="Yes")+$AU6+$AG$3))</f>
        <v>2</v>
      </c>
      <c r="V6" s="37">
        <f>IF(OR($B6="",NOT($A6)),"",($T6+$S6)*IF(N($J$6)&gt;0,MIN($U6,$J$6),$U6)*($Z$3-1)/6)</f>
        <v>1.5</v>
      </c>
      <c r="W6" s="37">
        <f>IF(OR($B6="",NOT($A6),$AQ6=""),"",MIN($G$3,($T6+$S6)/$AQ6))</f>
        <v>0.75</v>
      </c>
      <c r="X6" s="56" t="str">
        <f>IF(OR($B6="",NOT($A6)),"",TEXT($V6,"0.00")&amp;" dmg"&amp;IF($W6="","",", "&amp;TEXT($W6,"0.00")&amp;" kills"))</f>
        <v>1.50 dmg, 0.75 kills</v>
      </c>
      <c r="Z6" s="28" t="b" cm="1">
        <f t="array" ref="Z6">IF($B6="","",KW(($H6&amp;", "&amp;$AB$3),"Torrent")=TRUE)</f>
        <v>0</v>
      </c>
      <c r="AA6" s="28" t="b" cm="1">
        <f t="array" ref="AA6">IF($B6="","",KW(($H6&amp;", "&amp;$AB$3),"Lethal Hits")=TRUE)</f>
        <v>1</v>
      </c>
      <c r="AB6" s="28" cm="1">
        <f t="array" ref="AB6">IF($B6="","",N(KW(($H6&amp;", "&amp;$AB$3),"Sustained Hits")))</f>
        <v>0</v>
      </c>
      <c r="AC6" s="28" t="b" cm="1">
        <f t="array" ref="AC6">IF($B6="","",KW(($H6&amp;", "&amp;$AB$3),"Devastating Wounds")=TRUE)</f>
        <v>0</v>
      </c>
      <c r="AD6" s="28" t="b" cm="1">
        <f t="array" ref="AD6">IF($B6="","",KW(($H6&amp;", "&amp;$AB$3),"Twin-Linked")=TRUE)</f>
        <v>0</v>
      </c>
      <c r="AE6" s="28" t="b" cm="1">
        <f t="array" ref="AE6">IF($B6="","",KW(($H6&amp;", "&amp;$AB$3),"Lance")=TRUE)</f>
        <v>0</v>
      </c>
      <c r="AF6" s="28" t="b" cm="1">
        <f t="array" ref="AF6">IF($B6="","",KW(($H6&amp;", "&amp;$AB$3),"Heavy")=TRUE)</f>
        <v>0</v>
      </c>
      <c r="AG6" s="28" cm="1">
        <f t="array" ref="AG6">IF($B6="","",N(KW(($H6&amp;", "&amp;$AB$3),"Rapid Fire")))</f>
        <v>0</v>
      </c>
      <c r="AH6" s="28" cm="1">
        <f t="array" ref="AH6">IF($B6="","",N(KW(($H6&amp;", "&amp;$AB$3),"Blast")))</f>
        <v>1</v>
      </c>
      <c r="AI6" s="28" cm="1">
        <f t="array" ref="AI6">IF($B6="","",N(KW(($H6&amp;", "&amp;$AB$3),"Cleave")))</f>
        <v>0</v>
      </c>
      <c r="AJ6" s="28" cm="1">
        <f t="array" ref="AJ6">IF($B6="","",N(KW(($H6&amp;", "&amp;$AB$3),"Melta")))</f>
        <v>0</v>
      </c>
      <c r="AK6" s="28" t="b" cm="1">
        <f t="array" ref="AK6">IF($B6="","",KW(($H6&amp;", "&amp;$AB$3),"Ignores Cover")=TRUE)</f>
        <v>0</v>
      </c>
      <c r="AL6" s="28" t="b" cm="1">
        <f t="array" ref="AL6">IF($B6="","",KW(($H6&amp;", "&amp;$AB$3),"Psychic")=TRUE)</f>
        <v>0</v>
      </c>
      <c r="AM6" s="29" cm="1">
        <f t="array" ref="AM6">IF($B6="","",_xlfn.LET(_xlpm.src,$H6&amp;", "&amp;$AB$3,_xlpm.a,KWANTI(_xlpm.src,($N$6&amp;", "&amp;$AC$3)),_xlpm.c,KWMIN(_xlpm.src,"Critical Wounds"),MIN(_xlpm.a,IF(ISNUMBER(_xlpm.c),MEDIAN(2,6,_xlpm.c),6))))</f>
        <v>6</v>
      </c>
      <c r="AN6" s="29" cm="1">
        <f t="array" ref="AN6">IF($B6="","",IF($Z6,0,_xlfn.LET(_xlpm.src,$H6&amp;", "&amp;$AB$3,_xlpm.stat,$E$3="Yes",IF(KW(_xlpm.src,"Snap Shooting")=TRUE,IF(_xlpm.stat,4,6),_xlfn.LET(_xlpm.psy,$AL6,_xlpm.hv,$AF6*_xlpm.stat,_xlpm.dmg,-($H$3="Yes"),_xlpm.am,$AR6,_xlpm.tm,$AH$3,_xlpm.mods,IF(_xlpm.psy,MAX(0,_xlpm.hv)+MAX(0,_xlpm.am)+MAX(0,_xlpm.tm),_xlpm.hv+_xlpm.dmg+_xlpm.am+_xlpm.tm),_xlpm.cov,AND(OR($F$3="Yes",$AA$3),NOT($AK6),NOT(_xlpm.psy)),_xlpm.bs,MIN(6,MAX(2,$D6+IF(_xlpm.psy,MIN(0,$BA6),$BA6+_xlpm.cov))),MEDIAN(2,6,_xlpm.bs-MAX(-1,MIN(1,_xlpm.mods))))))))</f>
        <v>3</v>
      </c>
      <c r="AO6" s="29">
        <f>IF($B6="","",_xlfn.LET(_xlpm.s,MAX(1,$E6+$AZ6),_xlpm.t,MAX(1,N($I$6)+$AE$3),_xlpm.base,7-(1+(_xlpm.s&gt;=2*_xlpm.t)+(_xlpm.s&gt;_xlpm.t)+(_xlpm.s&gt;=_xlpm.t)+(_xlpm.s&gt;_xlpm.t/2)),MEDIAN(2,6,_xlpm.base-MAX(-1,MIN(1,$AS6+$AI$3)))))</f>
        <v>3</v>
      </c>
      <c r="AP6" s="29">
        <f>IF($B6="","",_xlfn.LET(_xlpm.ap,MIN(0,$F6+$AT6+$AJ$3),_xlpm.arm,$K$6-_xlpm.ap-$AF$3-$BC6,_xlpm.inv,IF(ISNUMBER($L$6),$L$6,7),MEDIAN(2,7,MIN(_xlpm.arm,_xlpm.inv))))</f>
        <v>4</v>
      </c>
      <c r="AQ6" s="30">
        <f>IF(OR($B6="",N($J$6)&lt;=0),"",ROUNDUP($J$6/MIN($U6,$J$6),0)/(($Z$3-1)/6))</f>
        <v>1</v>
      </c>
      <c r="AR6" s="30" cm="1">
        <f t="array" ref="AR6">IF($B6="","",KWSUM(($H6&amp;", "&amp;$AB$3),"Hit Modifier"))</f>
        <v>0</v>
      </c>
      <c r="AS6" s="30" cm="1">
        <f t="array" ref="AS6">IF($B6="","",KWSUM(($H6&amp;", "&amp;$AB$3),"Wound Modifier"))</f>
        <v>0</v>
      </c>
      <c r="AT6" s="30" cm="1">
        <f t="array" ref="AT6">IF($B6="","",KWSUM(($H6&amp;", "&amp;$AB$3),"AP Modifier"))</f>
        <v>0</v>
      </c>
      <c r="AU6" s="30" cm="1">
        <f t="array" ref="AU6">IF($B6="","",KWSUM(($H6&amp;", "&amp;$AB$3),"Damage Modifier"))</f>
        <v>0</v>
      </c>
      <c r="AV6" s="30" cm="1">
        <f t="array" ref="AV6">IF($B6="","",_xlfn.LET(_xlpm.src,$H6&amp;", "&amp;$AB$3,IF(KW(_xlpm.src,"Snap Shooting")=TRUE,0,_xlfn.LET(_xlpm.full,ISNUMBER(_xlfn.XMATCH("Reroll Hits",TRIM(_xlfn.TEXTSPLIT(_xlpm.src,",")))),_xlpm.r,KW(_xlpm.src,"Reroll Hits"),IF(_xlpm.full,2,IF(N(_xlpm.r)&gt;=1,1,0))))))</f>
        <v>0</v>
      </c>
      <c r="AW6" s="30" cm="1">
        <f t="array" ref="AW6">IF($B6="","",_xlfn.LET(_xlpm.src,$H6&amp;", "&amp;$AB$3,_xlpm.full,OR($AD6,ISNUMBER(_xlfn.XMATCH("Reroll Wounds",TRIM(_xlfn.TEXTSPLIT(_xlpm.src,","))))),_xlpm.r,KW(_xlpm.src,"Reroll Wounds"),IF(_xlpm.full,2,IF(N(_xlpm.r)&gt;=1,1,0))))</f>
        <v>0</v>
      </c>
      <c r="AX6" s="30">
        <f>IF($B6="","",IF($Z6,0,_xlfn.LET(_xlpm.pc,(7-$BB6)/6,_xlpm.p,MAX((7-$AN6)/6,_xlpm.pc),IF($AV6=2,_xlpm.pc+(1-_xlpm.p)*_xlpm.pc,IF($AV6=1,_xlpm.pc+_xlpm.pc/6,_xlpm.pc)))))</f>
        <v>0.16666666666666666</v>
      </c>
      <c r="AY6" s="30" cm="1">
        <f t="array" ref="AY6">IF($B6="","",KWSUM($H6&amp;", "&amp;$AB$3,"Attacks Modifier"))</f>
        <v>0</v>
      </c>
      <c r="AZ6" s="30" cm="1">
        <f t="array" ref="AZ6">IF($B6="","",KWSUM($H6&amp;", "&amp;$AB$3,"Strength Modifier"))</f>
        <v>0</v>
      </c>
      <c r="BA6" s="30" cm="1">
        <f t="array" ref="BA6">IF($B6="","",KWSUM($H6&amp;", "&amp;$AB$3,"BS Modifier"))</f>
        <v>0</v>
      </c>
      <c r="BB6" s="30" cm="1">
        <f t="array" ref="BB6">IF($B6="","",_xlfn.LET(_xlpm.src,$H6&amp;", "&amp;$AB$3,_xlpm.c,KWMIN(_xlpm.src,"Critical Hits"),IF(KW(_xlpm.src,"Snap Shooting")=TRUE,6,IF(ISNUMBER(_xlpm.c),MEDIAN(2,6,_xlpm.c),6))))</f>
        <v>6</v>
      </c>
      <c r="BC6" s="30" cm="1">
        <f t="array" ref="BC6">IF($B6="","",KWSUM($H6&amp;", "&amp;$AB$3,"Save Modifier"))</f>
        <v>0</v>
      </c>
      <c r="BE6" s="7" t="str" cm="1">
        <f t="array" ref="BE6:BE7">_xlfn.LET(_xlpm.k,_xlfn.XMATCH(TRIM($B$3),Factions[Faction]),_xlpm.blk,FACTIONBLOCK(_xlpm.k),_xlpm.unitFill,_xlfn.SCAN("",_xlfn.CHOOSECOLS(_xlpm.blk,1),_xlfn.LAMBDA(_xlpm.a,_xlpm.v,IF(_xlpm.v&lt;&gt;"",_xlpm.v,_xlpm.a))),IFERROR(_xlfn.UNIQUE(_xlfn._xlws.FILTER(_xlpm.unitFill,(_xlpm.unitFill&lt;&gt;"")*(_xlfn.CHOOSECOLS(_xlpm.blk,9)="Ranged"))),"No ranged units"))</f>
        <v>Myphitic Blight Hauler</v>
      </c>
      <c r="BG6" s="7" t="str" cm="1">
        <f t="array" ref="BG6:BG8">_xlfn.LET(_xlpm.n,_xlfn.CHOOSECOLS(AllTargets,1),_xlfn.UNIQUE(_xlfn._xlws.FILTER(_xlpm.n,_xlpm.n&lt;&gt;"")))</f>
        <v>Myphitic Blight Hauler (DeathGuard)</v>
      </c>
    </row>
    <row r="7" spans="1:63" x14ac:dyDescent="0.3">
      <c r="A7" s="64" t="b">
        <v>1</v>
      </c>
      <c r="B7" s="55" t="str">
        <v>Boltgun</v>
      </c>
      <c r="C7" s="36">
        <v>2</v>
      </c>
      <c r="D7" s="36">
        <v>3</v>
      </c>
      <c r="E7" s="36">
        <v>5</v>
      </c>
      <c r="F7" s="36">
        <v>-1</v>
      </c>
      <c r="G7" s="36">
        <v>1</v>
      </c>
      <c r="H7" s="1" t="str">
        <v>Lethal Hits</v>
      </c>
      <c r="I7" s="9"/>
      <c r="J7" s="34"/>
      <c r="K7" s="34"/>
      <c r="L7" s="34"/>
      <c r="M7" s="34"/>
      <c r="N7" s="11"/>
      <c r="O7" s="37">
        <f t="shared" ref="O7:O30" si="0">IF(OR($B7="",NOT($A7)),"",MAX(1,IF(LEFT($C7,1)="D",(VALUE(MID($C7,2,99))+1)/2,$C7)+$AY7)+$AG7*($D$3="Yes")+($AH7+$AI7)*INT($G$3/5))</f>
        <v>2</v>
      </c>
      <c r="P7" s="37">
        <f t="shared" ref="P7:P30" si="1">IF(OR($B7="",NOT($A7)),"",IF($Z7,$O7,_xlfn.LET(_xlpm.p,MAX((7-$AN7)/6,(7-$BB7)/6),_xlpm.ph,IF($AV7=2,_xlpm.p+(1-_xlpm.p)*_xlpm.p,IF($AV7=1,_xlpm.p+_xlpm.p/6,_xlpm.p)),$O7*_xlpm.ph+$O7*$AX7*$AB7)))</f>
        <v>1.3333333333333333</v>
      </c>
      <c r="Q7" s="37">
        <f>IF(OR($B7="",NOT($A7)),"",IF(AND($AA7,NOT($Z7)),$O7*$AX7,0))</f>
        <v>0.33333333333333331</v>
      </c>
      <c r="R7" s="37">
        <f>IF(OR($B7="",NOT($A7)),"",_xlfn.LET(_xlpm.n,$P7-$Q7,_xlpm.pW,(7-$AO7)/6,_xlpm.pC,(7-$AM7)/6,_xlpm.pT,MAX(_xlpm.pW,_xlpm.pC),_xlpm.rr,$AW7,_xlpm.n*IF(_xlpm.rr=2,1-(1-_xlpm.pT)^2,IF(_xlpm.rr=1,_xlpm.pT+_xlpm.pT/6,_xlpm.pT))+$Q7))</f>
        <v>0.83333333333333326</v>
      </c>
      <c r="S7" s="37">
        <f>IF(OR($B7="",NOT($A7)),"",IF($AC7,_xlfn.LET(_xlpm.n,$P7-$Q7,_xlpm.pW,(7-$AO7)/6,_xlpm.pC,(7-$AM7)/6,_xlpm.pT,MAX(_xlpm.pW,_xlpm.pC),_xlpm.rr,$AW7,_xlpm.n*IF(_xlpm.rr=2,_xlpm.pC+(1-_xlpm.pT)*_xlpm.pC,IF(_xlpm.rr=1,_xlpm.pC+_xlpm.pC/6,_xlpm.pC))),0))</f>
        <v>0</v>
      </c>
      <c r="T7" s="37">
        <f>IF(OR($B7="",NOT($A7)),"",($R7-$S7)*($AP7-1)/6)</f>
        <v>0.41666666666666669</v>
      </c>
      <c r="U7" s="37">
        <f>IF(OR($B7="",NOT($A7)),"",MAX(1,IF(LEFT($G7,1)="D",(VALUE(MID($G7,2,99))+1)/2,$G7)+$AJ7*($D$3="Yes")+$AU7+$AG$3))</f>
        <v>1</v>
      </c>
      <c r="V7" s="37">
        <f>IF(OR($B7="",NOT($A7)),"",($T7+$S7)*IF(N($J$6)&gt;0,MIN($U7,$J$6),$U7)*($Z$3-1)/6)</f>
        <v>0.41666666666666669</v>
      </c>
      <c r="W7" s="37">
        <f>IF(OR($B7="",NOT($A7),$AQ7=""),"",MIN($G$3,($T7+$S7)/$AQ7))</f>
        <v>0.20833333333333334</v>
      </c>
      <c r="X7" s="56" t="str">
        <f>IF(OR($B7="",NOT($A7)),"",TEXT($V7,"0.00")&amp;" dmg"&amp;IF($W7="","",", "&amp;TEXT($W7,"0.00")&amp;" kills"))</f>
        <v>0.42 dmg, 0.21 kills</v>
      </c>
      <c r="Z7" s="28" t="b" cm="1">
        <f t="array" ref="Z7">IF($B7="","",KW(($H7&amp;", "&amp;$AB$3),"Torrent")=TRUE)</f>
        <v>0</v>
      </c>
      <c r="AA7" s="28" t="b" cm="1">
        <f t="array" ref="AA7">IF($B7="","",KW(($H7&amp;", "&amp;$AB$3),"Lethal Hits")=TRUE)</f>
        <v>1</v>
      </c>
      <c r="AB7" s="28" cm="1">
        <f t="array" ref="AB7">IF($B7="","",N(KW(($H7&amp;", "&amp;$AB$3),"Sustained Hits")))</f>
        <v>0</v>
      </c>
      <c r="AC7" s="28" t="b" cm="1">
        <f t="array" ref="AC7">IF($B7="","",KW(($H7&amp;", "&amp;$AB$3),"Devastating Wounds")=TRUE)</f>
        <v>0</v>
      </c>
      <c r="AD7" s="28" t="b" cm="1">
        <f t="array" ref="AD7">IF($B7="","",KW(($H7&amp;", "&amp;$AB$3),"Twin-Linked")=TRUE)</f>
        <v>0</v>
      </c>
      <c r="AE7" s="28" t="b" cm="1">
        <f t="array" ref="AE7">IF($B7="","",KW(($H7&amp;", "&amp;$AB$3),"Lance")=TRUE)</f>
        <v>0</v>
      </c>
      <c r="AF7" s="28" t="b" cm="1">
        <f t="array" ref="AF7">IF($B7="","",KW(($H7&amp;", "&amp;$AB$3),"Heavy")=TRUE)</f>
        <v>0</v>
      </c>
      <c r="AG7" s="28" cm="1">
        <f t="array" ref="AG7">IF($B7="","",N(KW(($H7&amp;", "&amp;$AB$3),"Rapid Fire")))</f>
        <v>0</v>
      </c>
      <c r="AH7" s="28" cm="1">
        <f t="array" ref="AH7">IF($B7="","",N(KW(($H7&amp;", "&amp;$AB$3),"Blast")))</f>
        <v>0</v>
      </c>
      <c r="AI7" s="28" cm="1">
        <f t="array" ref="AI7">IF($B7="","",N(KW(($H7&amp;", "&amp;$AB$3),"Cleave")))</f>
        <v>0</v>
      </c>
      <c r="AJ7" s="28" cm="1">
        <f t="array" ref="AJ7">IF($B7="","",N(KW(($H7&amp;", "&amp;$AB$3),"Melta")))</f>
        <v>0</v>
      </c>
      <c r="AK7" s="28" t="b" cm="1">
        <f t="array" ref="AK7">IF($B7="","",KW(($H7&amp;", "&amp;$AB$3),"Ignores Cover")=TRUE)</f>
        <v>0</v>
      </c>
      <c r="AL7" s="28" t="b" cm="1">
        <f t="array" ref="AL7">IF($B7="","",KW(($H7&amp;", "&amp;$AB$3),"Psychic")=TRUE)</f>
        <v>0</v>
      </c>
      <c r="AM7" s="29" cm="1">
        <f t="array" ref="AM7">IF($B7="","",_xlfn.LET(_xlpm.src,$H7&amp;", "&amp;$AB$3,_xlpm.a,KWANTI(_xlpm.src,($N$6&amp;", "&amp;$AC$3)),_xlpm.c,KWMIN(_xlpm.src,"Critical Wounds"),MIN(_xlpm.a,IF(ISNUMBER(_xlpm.c),MEDIAN(2,6,_xlpm.c),6))))</f>
        <v>6</v>
      </c>
      <c r="AN7" s="29" cm="1">
        <f t="array" ref="AN7">IF($B7="","",IF($Z7,0,_xlfn.LET(_xlpm.src,$H7&amp;", "&amp;$AB$3,_xlpm.stat,$E$3="Yes",IF(KW(_xlpm.src,"Snap Shooting")=TRUE,IF(_xlpm.stat,4,6),_xlfn.LET(_xlpm.psy,$AL7,_xlpm.hv,$AF7*_xlpm.stat,_xlpm.dmg,-($H$3="Yes"),_xlpm.am,$AR7,_xlpm.tm,$AH$3,_xlpm.mods,IF(_xlpm.psy,MAX(0,_xlpm.hv)+MAX(0,_xlpm.am)+MAX(0,_xlpm.tm),_xlpm.hv+_xlpm.dmg+_xlpm.am+_xlpm.tm),_xlpm.cov,AND(OR($F$3="Yes",$AA$3),NOT($AK7),NOT(_xlpm.psy)),_xlpm.bs,MIN(6,MAX(2,$D7+IF(_xlpm.psy,MIN(0,$BA7),$BA7+_xlpm.cov))),MEDIAN(2,6,_xlpm.bs-MAX(-1,MIN(1,_xlpm.mods))))))))</f>
        <v>3</v>
      </c>
      <c r="AO7" s="29">
        <f t="shared" ref="AO7:AO30" si="2">IF($B7="","",_xlfn.LET(_xlpm.s,MAX(1,$E7+$AZ7),_xlpm.t,MAX(1,N($I$6)+$AE$3),_xlpm.base,7-(1+(_xlpm.s&gt;=2*_xlpm.t)+(_xlpm.s&gt;_xlpm.t)+(_xlpm.s&gt;=_xlpm.t)+(_xlpm.s&gt;_xlpm.t/2)),MEDIAN(2,6,_xlpm.base-MAX(-1,MIN(1,$AS7+$AI$3)))))</f>
        <v>4</v>
      </c>
      <c r="AP7" s="29">
        <f t="shared" ref="AP7:AP30" si="3">IF($B7="","",_xlfn.LET(_xlpm.ap,MIN(0,$F7+$AT7+$AJ$3),_xlpm.arm,$K$6-_xlpm.ap-$AF$3-$BC7,_xlpm.inv,IF(ISNUMBER($L$6),$L$6,7),MEDIAN(2,7,MIN(_xlpm.arm,_xlpm.inv))))</f>
        <v>4</v>
      </c>
      <c r="AQ7" s="30">
        <f>IF(OR($B7="",N($J$6)&lt;=0),"",ROUNDUP($J$6/MIN($U7,$J$6),0)/(($Z$3-1)/6))</f>
        <v>2</v>
      </c>
      <c r="AR7" s="30" cm="1">
        <f t="array" ref="AR7">IF($B7="","",KWSUM(($H7&amp;", "&amp;$AB$3),"Hit Modifier"))</f>
        <v>0</v>
      </c>
      <c r="AS7" s="30" cm="1">
        <f t="array" ref="AS7">IF($B7="","",KWSUM(($H7&amp;", "&amp;$AB$3),"Wound Modifier"))</f>
        <v>0</v>
      </c>
      <c r="AT7" s="30" cm="1">
        <f t="array" ref="AT7">IF($B7="","",KWSUM(($H7&amp;", "&amp;$AB$3),"AP Modifier"))</f>
        <v>0</v>
      </c>
      <c r="AU7" s="30" cm="1">
        <f t="array" ref="AU7">IF($B7="","",KWSUM(($H7&amp;", "&amp;$AB$3),"Damage Modifier"))</f>
        <v>0</v>
      </c>
      <c r="AV7" s="30" cm="1">
        <f t="array" ref="AV7">IF($B7="","",_xlfn.LET(_xlpm.src,$H7&amp;", "&amp;$AB$3,IF(KW(_xlpm.src,"Snap Shooting")=TRUE,0,_xlfn.LET(_xlpm.full,ISNUMBER(_xlfn.XMATCH("Reroll Hits",TRIM(_xlfn.TEXTSPLIT(_xlpm.src,",")))),_xlpm.r,KW(_xlpm.src,"Reroll Hits"),IF(_xlpm.full,2,IF(N(_xlpm.r)&gt;=1,1,0))))))</f>
        <v>0</v>
      </c>
      <c r="AW7" s="30" cm="1">
        <f t="array" ref="AW7">IF($B7="","",_xlfn.LET(_xlpm.src,$H7&amp;", "&amp;$AB$3,_xlpm.full,OR($AD7,ISNUMBER(_xlfn.XMATCH("Reroll Wounds",TRIM(_xlfn.TEXTSPLIT(_xlpm.src,","))))),_xlpm.r,KW(_xlpm.src,"Reroll Wounds"),IF(_xlpm.full,2,IF(N(_xlpm.r)&gt;=1,1,0))))</f>
        <v>0</v>
      </c>
      <c r="AX7" s="30">
        <f t="shared" ref="AX7:AX30" si="4">IF($B7="","",IF($Z7,0,_xlfn.LET(_xlpm.pc,(7-$BB7)/6,_xlpm.p,MAX((7-$AN7)/6,_xlpm.pc),IF($AV7=2,_xlpm.pc+(1-_xlpm.p)*_xlpm.pc,IF($AV7=1,_xlpm.pc+_xlpm.pc/6,_xlpm.pc)))))</f>
        <v>0.16666666666666666</v>
      </c>
      <c r="AY7" s="30" cm="1">
        <f t="array" ref="AY7">IF($B7="","",KWSUM($H7&amp;", "&amp;$AB$3,"Attacks Modifier"))</f>
        <v>0</v>
      </c>
      <c r="AZ7" s="30" cm="1">
        <f t="array" ref="AZ7">IF($B7="","",KWSUM($H7&amp;", "&amp;$AB$3,"Strength Modifier"))</f>
        <v>0</v>
      </c>
      <c r="BA7" s="30" cm="1">
        <f t="array" ref="BA7">IF($B7="","",KWSUM($H7&amp;", "&amp;$AB$3,"BS Modifier"))</f>
        <v>0</v>
      </c>
      <c r="BB7" s="30" cm="1">
        <f t="array" ref="BB7">IF($B7="","",_xlfn.LET(_xlpm.src,$H7&amp;", "&amp;$AB$3,_xlpm.c,KWMIN(_xlpm.src,"Critical Hits"),IF(KW(_xlpm.src,"Snap Shooting")=TRUE,6,IF(ISNUMBER(_xlpm.c),MEDIAN(2,6,_xlpm.c),6))))</f>
        <v>6</v>
      </c>
      <c r="BC7" s="30" cm="1">
        <f t="array" ref="BC7">IF($B7="","",KWSUM($H7&amp;", "&amp;$AB$3,"Save Modifier"))</f>
        <v>0</v>
      </c>
      <c r="BE7" s="7" t="str">
        <v>Plague Marine</v>
      </c>
      <c r="BG7" s="7" t="str">
        <v>Plague Marine (DeathGuard)</v>
      </c>
    </row>
    <row r="8" spans="1:63" x14ac:dyDescent="0.3">
      <c r="A8" s="64" t="b">
        <v>1</v>
      </c>
      <c r="B8" s="55" t="str">
        <v>Plague Spewer</v>
      </c>
      <c r="C8" s="36" t="str">
        <v>D6</v>
      </c>
      <c r="D8" s="36" t="str">
        <v>-</v>
      </c>
      <c r="E8" s="36">
        <v>5</v>
      </c>
      <c r="F8" s="36">
        <v>-1</v>
      </c>
      <c r="G8" s="36">
        <v>1</v>
      </c>
      <c r="H8" s="1" t="str">
        <v>Anti-Infantry 2+, Torrent</v>
      </c>
      <c r="I8" s="9"/>
      <c r="J8" s="34"/>
      <c r="K8" s="34"/>
      <c r="L8" s="34"/>
      <c r="M8" s="34"/>
      <c r="N8" s="11"/>
      <c r="O8" s="37">
        <f t="shared" si="0"/>
        <v>3.5</v>
      </c>
      <c r="P8" s="37">
        <f t="shared" si="1"/>
        <v>3.5</v>
      </c>
      <c r="Q8" s="37">
        <f>IF(OR($B8="",NOT($A8)),"",IF(AND($AA8,NOT($Z8)),$O8*$AX8,0))</f>
        <v>0</v>
      </c>
      <c r="R8" s="37">
        <f>IF(OR($B8="",NOT($A8)),"",_xlfn.LET(_xlpm.n,$P8-$Q8,_xlpm.pW,(7-$AO8)/6,_xlpm.pC,(7-$AM8)/6,_xlpm.pT,MAX(_xlpm.pW,_xlpm.pC),_xlpm.rr,$AW8,_xlpm.n*IF(_xlpm.rr=2,1-(1-_xlpm.pT)^2,IF(_xlpm.rr=1,_xlpm.pT+_xlpm.pT/6,_xlpm.pT))+$Q8))</f>
        <v>1.75</v>
      </c>
      <c r="S8" s="37">
        <f>IF(OR($B8="",NOT($A8)),"",IF($AC8,_xlfn.LET(_xlpm.n,$P8-$Q8,_xlpm.pW,(7-$AO8)/6,_xlpm.pC,(7-$AM8)/6,_xlpm.pT,MAX(_xlpm.pW,_xlpm.pC),_xlpm.rr,$AW8,_xlpm.n*IF(_xlpm.rr=2,_xlpm.pC+(1-_xlpm.pT)*_xlpm.pC,IF(_xlpm.rr=1,_xlpm.pC+_xlpm.pC/6,_xlpm.pC))),0))</f>
        <v>0</v>
      </c>
      <c r="T8" s="37">
        <f>IF(OR($B8="",NOT($A8)),"",($R8-$S8)*($AP8-1)/6)</f>
        <v>0.875</v>
      </c>
      <c r="U8" s="37">
        <f>IF(OR($B8="",NOT($A8)),"",MAX(1,IF(LEFT($G8,1)="D",(VALUE(MID($G8,2,99))+1)/2,$G8)+$AJ8*($D$3="Yes")+$AU8+$AG$3))</f>
        <v>1</v>
      </c>
      <c r="V8" s="37">
        <f>IF(OR($B8="",NOT($A8)),"",($T8+$S8)*IF(N($J$6)&gt;0,MIN($U8,$J$6),$U8)*($Z$3-1)/6)</f>
        <v>0.875</v>
      </c>
      <c r="W8" s="37">
        <f>IF(OR($B8="",NOT($A8),$AQ8=""),"",MIN($G$3,($T8+$S8)/$AQ8))</f>
        <v>0.4375</v>
      </c>
      <c r="X8" s="56" t="str">
        <f>IF(OR($B8="",NOT($A8)),"",TEXT($V8,"0.00")&amp;" dmg"&amp;IF($W8="","",", "&amp;TEXT($W8,"0.00")&amp;" kills"))</f>
        <v>0.88 dmg, 0.44 kills</v>
      </c>
      <c r="Z8" s="28" t="b" cm="1">
        <f t="array" ref="Z8">IF($B8="","",KW(($H8&amp;", "&amp;$AB$3),"Torrent")=TRUE)</f>
        <v>1</v>
      </c>
      <c r="AA8" s="28" t="b" cm="1">
        <f t="array" ref="AA8">IF($B8="","",KW(($H8&amp;", "&amp;$AB$3),"Lethal Hits")=TRUE)</f>
        <v>0</v>
      </c>
      <c r="AB8" s="28" cm="1">
        <f t="array" ref="AB8">IF($B8="","",N(KW(($H8&amp;", "&amp;$AB$3),"Sustained Hits")))</f>
        <v>0</v>
      </c>
      <c r="AC8" s="28" t="b" cm="1">
        <f t="array" ref="AC8">IF($B8="","",KW(($H8&amp;", "&amp;$AB$3),"Devastating Wounds")=TRUE)</f>
        <v>0</v>
      </c>
      <c r="AD8" s="28" t="b" cm="1">
        <f t="array" ref="AD8">IF($B8="","",KW(($H8&amp;", "&amp;$AB$3),"Twin-Linked")=TRUE)</f>
        <v>0</v>
      </c>
      <c r="AE8" s="28" t="b" cm="1">
        <f t="array" ref="AE8">IF($B8="","",KW(($H8&amp;", "&amp;$AB$3),"Lance")=TRUE)</f>
        <v>0</v>
      </c>
      <c r="AF8" s="28" t="b" cm="1">
        <f t="array" ref="AF8">IF($B8="","",KW(($H8&amp;", "&amp;$AB$3),"Heavy")=TRUE)</f>
        <v>0</v>
      </c>
      <c r="AG8" s="28" cm="1">
        <f t="array" ref="AG8">IF($B8="","",N(KW(($H8&amp;", "&amp;$AB$3),"Rapid Fire")))</f>
        <v>0</v>
      </c>
      <c r="AH8" s="28" cm="1">
        <f t="array" ref="AH8">IF($B8="","",N(KW(($H8&amp;", "&amp;$AB$3),"Blast")))</f>
        <v>0</v>
      </c>
      <c r="AI8" s="28" cm="1">
        <f t="array" ref="AI8">IF($B8="","",N(KW(($H8&amp;", "&amp;$AB$3),"Cleave")))</f>
        <v>0</v>
      </c>
      <c r="AJ8" s="28" cm="1">
        <f t="array" ref="AJ8">IF($B8="","",N(KW(($H8&amp;", "&amp;$AB$3),"Melta")))</f>
        <v>0</v>
      </c>
      <c r="AK8" s="28" t="b" cm="1">
        <f t="array" ref="AK8">IF($B8="","",KW(($H8&amp;", "&amp;$AB$3),"Ignores Cover")=TRUE)</f>
        <v>0</v>
      </c>
      <c r="AL8" s="28" t="b" cm="1">
        <f t="array" ref="AL8">IF($B8="","",KW(($H8&amp;", "&amp;$AB$3),"Psychic")=TRUE)</f>
        <v>0</v>
      </c>
      <c r="AM8" s="29" cm="1">
        <f t="array" ref="AM8">IF($B8="","",_xlfn.LET(_xlpm.src,$H8&amp;", "&amp;$AB$3,_xlpm.a,KWANTI(_xlpm.src,($N$6&amp;", "&amp;$AC$3)),_xlpm.c,KWMIN(_xlpm.src,"Critical Wounds"),MIN(_xlpm.a,IF(ISNUMBER(_xlpm.c),MEDIAN(2,6,_xlpm.c),6))))</f>
        <v>6</v>
      </c>
      <c r="AN8" s="29" cm="1">
        <f t="array" ref="AN8">IF($B8="","",IF($Z8,0,_xlfn.LET(_xlpm.src,$H8&amp;", "&amp;$AB$3,_xlpm.stat,$E$3="Yes",IF(KW(_xlpm.src,"Snap Shooting")=TRUE,IF(_xlpm.stat,4,6),_xlfn.LET(_xlpm.psy,$AL8,_xlpm.hv,$AF8*_xlpm.stat,_xlpm.dmg,-($H$3="Yes"),_xlpm.am,$AR8,_xlpm.tm,$AH$3,_xlpm.mods,IF(_xlpm.psy,MAX(0,_xlpm.hv)+MAX(0,_xlpm.am)+MAX(0,_xlpm.tm),_xlpm.hv+_xlpm.dmg+_xlpm.am+_xlpm.tm),_xlpm.cov,AND(OR($F$3="Yes",$AA$3),NOT($AK8),NOT(_xlpm.psy)),_xlpm.bs,MIN(6,MAX(2,$D8+IF(_xlpm.psy,MIN(0,$BA8),$BA8+_xlpm.cov))),MEDIAN(2,6,_xlpm.bs-MAX(-1,MIN(1,_xlpm.mods))))))))</f>
        <v>0</v>
      </c>
      <c r="AO8" s="29">
        <f t="shared" si="2"/>
        <v>4</v>
      </c>
      <c r="AP8" s="29">
        <f t="shared" si="3"/>
        <v>4</v>
      </c>
      <c r="AQ8" s="30">
        <f>IF(OR($B8="",N($J$6)&lt;=0),"",ROUNDUP($J$6/MIN($U8,$J$6),0)/(($Z$3-1)/6))</f>
        <v>2</v>
      </c>
      <c r="AR8" s="30" cm="1">
        <f t="array" ref="AR8">IF($B8="","",KWSUM(($H8&amp;", "&amp;$AB$3),"Hit Modifier"))</f>
        <v>0</v>
      </c>
      <c r="AS8" s="30" cm="1">
        <f t="array" ref="AS8">IF($B8="","",KWSUM(($H8&amp;", "&amp;$AB$3),"Wound Modifier"))</f>
        <v>0</v>
      </c>
      <c r="AT8" s="30" cm="1">
        <f t="array" ref="AT8">IF($B8="","",KWSUM(($H8&amp;", "&amp;$AB$3),"AP Modifier"))</f>
        <v>0</v>
      </c>
      <c r="AU8" s="30" cm="1">
        <f t="array" ref="AU8">IF($B8="","",KWSUM(($H8&amp;", "&amp;$AB$3),"Damage Modifier"))</f>
        <v>0</v>
      </c>
      <c r="AV8" s="30" cm="1">
        <f t="array" ref="AV8">IF($B8="","",_xlfn.LET(_xlpm.src,$H8&amp;", "&amp;$AB$3,IF(KW(_xlpm.src,"Snap Shooting")=TRUE,0,_xlfn.LET(_xlpm.full,ISNUMBER(_xlfn.XMATCH("Reroll Hits",TRIM(_xlfn.TEXTSPLIT(_xlpm.src,",")))),_xlpm.r,KW(_xlpm.src,"Reroll Hits"),IF(_xlpm.full,2,IF(N(_xlpm.r)&gt;=1,1,0))))))</f>
        <v>0</v>
      </c>
      <c r="AW8" s="30" cm="1">
        <f t="array" ref="AW8">IF($B8="","",_xlfn.LET(_xlpm.src,$H8&amp;", "&amp;$AB$3,_xlpm.full,OR($AD8,ISNUMBER(_xlfn.XMATCH("Reroll Wounds",TRIM(_xlfn.TEXTSPLIT(_xlpm.src,","))))),_xlpm.r,KW(_xlpm.src,"Reroll Wounds"),IF(_xlpm.full,2,IF(N(_xlpm.r)&gt;=1,1,0))))</f>
        <v>0</v>
      </c>
      <c r="AX8" s="30">
        <f t="shared" si="4"/>
        <v>0</v>
      </c>
      <c r="AY8" s="30" cm="1">
        <f t="array" ref="AY8">IF($B8="","",KWSUM($H8&amp;", "&amp;$AB$3,"Attacks Modifier"))</f>
        <v>0</v>
      </c>
      <c r="AZ8" s="30" cm="1">
        <f t="array" ref="AZ8">IF($B8="","",KWSUM($H8&amp;", "&amp;$AB$3,"Strength Modifier"))</f>
        <v>0</v>
      </c>
      <c r="BA8" s="30" cm="1">
        <f t="array" ref="BA8">IF($B8="","",KWSUM($H8&amp;", "&amp;$AB$3,"BS Modifier"))</f>
        <v>0</v>
      </c>
      <c r="BB8" s="30" cm="1">
        <f t="array" ref="BB8">IF($B8="","",_xlfn.LET(_xlpm.src,$H8&amp;", "&amp;$AB$3,_xlpm.c,KWMIN(_xlpm.src,"Critical Hits"),IF(KW(_xlpm.src,"Snap Shooting")=TRUE,6,IF(ISNUMBER(_xlpm.c),MEDIAN(2,6,_xlpm.c),6))))</f>
        <v>6</v>
      </c>
      <c r="BC8" s="30" cm="1">
        <f t="array" ref="BC8">IF($B8="","",KWSUM($H8&amp;", "&amp;$AB$3,"Save Modifier"))</f>
        <v>0</v>
      </c>
      <c r="BG8" s="7" t="str">
        <v>Intercessor (Space Marines)</v>
      </c>
    </row>
    <row r="9" spans="1:63" x14ac:dyDescent="0.3">
      <c r="A9" s="64" t="b">
        <v>1</v>
      </c>
      <c r="B9" s="55" t="str">
        <v>Plasma Gun - Standard</v>
      </c>
      <c r="C9" s="36">
        <v>1</v>
      </c>
      <c r="D9" s="36">
        <v>3</v>
      </c>
      <c r="E9" s="36">
        <v>7</v>
      </c>
      <c r="F9" s="36">
        <v>-2</v>
      </c>
      <c r="G9" s="36">
        <v>1</v>
      </c>
      <c r="H9" s="1" t="str">
        <v>Rapid Fire 1</v>
      </c>
      <c r="I9" s="9"/>
      <c r="J9" s="34"/>
      <c r="K9" s="34"/>
      <c r="L9" s="34"/>
      <c r="M9" s="34"/>
      <c r="N9" s="11"/>
      <c r="O9" s="37">
        <f t="shared" si="0"/>
        <v>1</v>
      </c>
      <c r="P9" s="37">
        <f t="shared" si="1"/>
        <v>0.66666666666666663</v>
      </c>
      <c r="Q9" s="37">
        <f>IF(OR($B9="",NOT($A9)),"",IF(AND($AA9,NOT($Z9)),$O9*$AX9,0))</f>
        <v>0</v>
      </c>
      <c r="R9" s="37">
        <f>IF(OR($B9="",NOT($A9)),"",_xlfn.LET(_xlpm.n,$P9-$Q9,_xlpm.pW,(7-$AO9)/6,_xlpm.pC,(7-$AM9)/6,_xlpm.pT,MAX(_xlpm.pW,_xlpm.pC),_xlpm.rr,$AW9,_xlpm.n*IF(_xlpm.rr=2,1-(1-_xlpm.pT)^2,IF(_xlpm.rr=1,_xlpm.pT+_xlpm.pT/6,_xlpm.pT))+$Q9))</f>
        <v>0.44444444444444442</v>
      </c>
      <c r="S9" s="37">
        <f>IF(OR($B9="",NOT($A9)),"",IF($AC9,_xlfn.LET(_xlpm.n,$P9-$Q9,_xlpm.pW,(7-$AO9)/6,_xlpm.pC,(7-$AM9)/6,_xlpm.pT,MAX(_xlpm.pW,_xlpm.pC),_xlpm.rr,$AW9,_xlpm.n*IF(_xlpm.rr=2,_xlpm.pC+(1-_xlpm.pT)*_xlpm.pC,IF(_xlpm.rr=1,_xlpm.pC+_xlpm.pC/6,_xlpm.pC))),0))</f>
        <v>0</v>
      </c>
      <c r="T9" s="37">
        <f>IF(OR($B9="",NOT($A9)),"",($R9-$S9)*($AP9-1)/6)</f>
        <v>0.29629629629629628</v>
      </c>
      <c r="U9" s="37">
        <f>IF(OR($B9="",NOT($A9)),"",MAX(1,IF(LEFT($G9,1)="D",(VALUE(MID($G9,2,99))+1)/2,$G9)+$AJ9*($D$3="Yes")+$AU9+$AG$3))</f>
        <v>1</v>
      </c>
      <c r="V9" s="37">
        <f>IF(OR($B9="",NOT($A9)),"",($T9+$S9)*IF(N($J$6)&gt;0,MIN($U9,$J$6),$U9)*($Z$3-1)/6)</f>
        <v>0.29629629629629628</v>
      </c>
      <c r="W9" s="37">
        <f>IF(OR($B9="",NOT($A9),$AQ9=""),"",MIN($G$3,($T9+$S9)/$AQ9))</f>
        <v>0.14814814814814814</v>
      </c>
      <c r="X9" s="56" t="str">
        <f>IF(OR($B9="",NOT($A9)),"",TEXT($V9,"0.00")&amp;" dmg"&amp;IF($W9="","",", "&amp;TEXT($W9,"0.00")&amp;" kills"))</f>
        <v>0.30 dmg, 0.15 kills</v>
      </c>
      <c r="Z9" s="28" t="b" cm="1">
        <f t="array" ref="Z9">IF($B9="","",KW(($H9&amp;", "&amp;$AB$3),"Torrent")=TRUE)</f>
        <v>0</v>
      </c>
      <c r="AA9" s="28" t="b" cm="1">
        <f t="array" ref="AA9">IF($B9="","",KW(($H9&amp;", "&amp;$AB$3),"Lethal Hits")=TRUE)</f>
        <v>0</v>
      </c>
      <c r="AB9" s="28" cm="1">
        <f t="array" ref="AB9">IF($B9="","",N(KW(($H9&amp;", "&amp;$AB$3),"Sustained Hits")))</f>
        <v>0</v>
      </c>
      <c r="AC9" s="28" t="b" cm="1">
        <f t="array" ref="AC9">IF($B9="","",KW(($H9&amp;", "&amp;$AB$3),"Devastating Wounds")=TRUE)</f>
        <v>0</v>
      </c>
      <c r="AD9" s="28" t="b" cm="1">
        <f t="array" ref="AD9">IF($B9="","",KW(($H9&amp;", "&amp;$AB$3),"Twin-Linked")=TRUE)</f>
        <v>0</v>
      </c>
      <c r="AE9" s="28" t="b" cm="1">
        <f t="array" ref="AE9">IF($B9="","",KW(($H9&amp;", "&amp;$AB$3),"Lance")=TRUE)</f>
        <v>0</v>
      </c>
      <c r="AF9" s="28" t="b" cm="1">
        <f t="array" ref="AF9">IF($B9="","",KW(($H9&amp;", "&amp;$AB$3),"Heavy")=TRUE)</f>
        <v>0</v>
      </c>
      <c r="AG9" s="28" cm="1">
        <f t="array" ref="AG9">IF($B9="","",N(KW(($H9&amp;", "&amp;$AB$3),"Rapid Fire")))</f>
        <v>1</v>
      </c>
      <c r="AH9" s="28" cm="1">
        <f t="array" ref="AH9">IF($B9="","",N(KW(($H9&amp;", "&amp;$AB$3),"Blast")))</f>
        <v>0</v>
      </c>
      <c r="AI9" s="28" cm="1">
        <f t="array" ref="AI9">IF($B9="","",N(KW(($H9&amp;", "&amp;$AB$3),"Cleave")))</f>
        <v>0</v>
      </c>
      <c r="AJ9" s="28" cm="1">
        <f t="array" ref="AJ9">IF($B9="","",N(KW(($H9&amp;", "&amp;$AB$3),"Melta")))</f>
        <v>0</v>
      </c>
      <c r="AK9" s="28" t="b" cm="1">
        <f t="array" ref="AK9">IF($B9="","",KW(($H9&amp;", "&amp;$AB$3),"Ignores Cover")=TRUE)</f>
        <v>0</v>
      </c>
      <c r="AL9" s="28" t="b" cm="1">
        <f t="array" ref="AL9">IF($B9="","",KW(($H9&amp;", "&amp;$AB$3),"Psychic")=TRUE)</f>
        <v>0</v>
      </c>
      <c r="AM9" s="29" cm="1">
        <f t="array" ref="AM9">IF($B9="","",_xlfn.LET(_xlpm.src,$H9&amp;", "&amp;$AB$3,_xlpm.a,KWANTI(_xlpm.src,($N$6&amp;", "&amp;$AC$3)),_xlpm.c,KWMIN(_xlpm.src,"Critical Wounds"),MIN(_xlpm.a,IF(ISNUMBER(_xlpm.c),MEDIAN(2,6,_xlpm.c),6))))</f>
        <v>6</v>
      </c>
      <c r="AN9" s="29" cm="1">
        <f t="array" ref="AN9">IF($B9="","",IF($Z9,0,_xlfn.LET(_xlpm.src,$H9&amp;", "&amp;$AB$3,_xlpm.stat,$E$3="Yes",IF(KW(_xlpm.src,"Snap Shooting")=TRUE,IF(_xlpm.stat,4,6),_xlfn.LET(_xlpm.psy,$AL9,_xlpm.hv,$AF9*_xlpm.stat,_xlpm.dmg,-($H$3="Yes"),_xlpm.am,$AR9,_xlpm.tm,$AH$3,_xlpm.mods,IF(_xlpm.psy,MAX(0,_xlpm.hv)+MAX(0,_xlpm.am)+MAX(0,_xlpm.tm),_xlpm.hv+_xlpm.dmg+_xlpm.am+_xlpm.tm),_xlpm.cov,AND(OR($F$3="Yes",$AA$3),NOT($AK9),NOT(_xlpm.psy)),_xlpm.bs,MIN(6,MAX(2,$D9+IF(_xlpm.psy,MIN(0,$BA9),$BA9+_xlpm.cov))),MEDIAN(2,6,_xlpm.bs-MAX(-1,MIN(1,_xlpm.mods))))))))</f>
        <v>3</v>
      </c>
      <c r="AO9" s="29">
        <f t="shared" si="2"/>
        <v>3</v>
      </c>
      <c r="AP9" s="29">
        <f t="shared" si="3"/>
        <v>5</v>
      </c>
      <c r="AQ9" s="30">
        <f>IF(OR($B9="",N($J$6)&lt;=0),"",ROUNDUP($J$6/MIN($U9,$J$6),0)/(($Z$3-1)/6))</f>
        <v>2</v>
      </c>
      <c r="AR9" s="30" cm="1">
        <f t="array" ref="AR9">IF($B9="","",KWSUM(($H9&amp;", "&amp;$AB$3),"Hit Modifier"))</f>
        <v>0</v>
      </c>
      <c r="AS9" s="30" cm="1">
        <f t="array" ref="AS9">IF($B9="","",KWSUM(($H9&amp;", "&amp;$AB$3),"Wound Modifier"))</f>
        <v>0</v>
      </c>
      <c r="AT9" s="30" cm="1">
        <f t="array" ref="AT9">IF($B9="","",KWSUM(($H9&amp;", "&amp;$AB$3),"AP Modifier"))</f>
        <v>0</v>
      </c>
      <c r="AU9" s="30" cm="1">
        <f t="array" ref="AU9">IF($B9="","",KWSUM(($H9&amp;", "&amp;$AB$3),"Damage Modifier"))</f>
        <v>0</v>
      </c>
      <c r="AV9" s="30" cm="1">
        <f t="array" ref="AV9">IF($B9="","",_xlfn.LET(_xlpm.src,$H9&amp;", "&amp;$AB$3,IF(KW(_xlpm.src,"Snap Shooting")=TRUE,0,_xlfn.LET(_xlpm.full,ISNUMBER(_xlfn.XMATCH("Reroll Hits",TRIM(_xlfn.TEXTSPLIT(_xlpm.src,",")))),_xlpm.r,KW(_xlpm.src,"Reroll Hits"),IF(_xlpm.full,2,IF(N(_xlpm.r)&gt;=1,1,0))))))</f>
        <v>0</v>
      </c>
      <c r="AW9" s="30" cm="1">
        <f t="array" ref="AW9">IF($B9="","",_xlfn.LET(_xlpm.src,$H9&amp;", "&amp;$AB$3,_xlpm.full,OR($AD9,ISNUMBER(_xlfn.XMATCH("Reroll Wounds",TRIM(_xlfn.TEXTSPLIT(_xlpm.src,","))))),_xlpm.r,KW(_xlpm.src,"Reroll Wounds"),IF(_xlpm.full,2,IF(N(_xlpm.r)&gt;=1,1,0))))</f>
        <v>0</v>
      </c>
      <c r="AX9" s="30">
        <f t="shared" si="4"/>
        <v>0.16666666666666666</v>
      </c>
      <c r="AY9" s="30" cm="1">
        <f t="array" ref="AY9">IF($B9="","",KWSUM($H9&amp;", "&amp;$AB$3,"Attacks Modifier"))</f>
        <v>0</v>
      </c>
      <c r="AZ9" s="30" cm="1">
        <f t="array" ref="AZ9">IF($B9="","",KWSUM($H9&amp;", "&amp;$AB$3,"Strength Modifier"))</f>
        <v>0</v>
      </c>
      <c r="BA9" s="30" cm="1">
        <f t="array" ref="BA9">IF($B9="","",KWSUM($H9&amp;", "&amp;$AB$3,"BS Modifier"))</f>
        <v>0</v>
      </c>
      <c r="BB9" s="30" cm="1">
        <f t="array" ref="BB9">IF($B9="","",_xlfn.LET(_xlpm.src,$H9&amp;", "&amp;$AB$3,_xlpm.c,KWMIN(_xlpm.src,"Critical Hits"),IF(KW(_xlpm.src,"Snap Shooting")=TRUE,6,IF(ISNUMBER(_xlpm.c),MEDIAN(2,6,_xlpm.c),6))))</f>
        <v>6</v>
      </c>
      <c r="BC9" s="30" cm="1">
        <f t="array" ref="BC9">IF($B9="","",KWSUM($H9&amp;", "&amp;$AB$3,"Save Modifier"))</f>
        <v>0</v>
      </c>
    </row>
    <row r="10" spans="1:63" x14ac:dyDescent="0.3">
      <c r="A10" s="64" t="b">
        <v>1</v>
      </c>
      <c r="B10" s="55" t="str">
        <v>Plasma Gun - Supercharged</v>
      </c>
      <c r="C10" s="38">
        <v>1</v>
      </c>
      <c r="D10" s="38">
        <v>3</v>
      </c>
      <c r="E10" s="38">
        <v>8</v>
      </c>
      <c r="F10" s="38">
        <v>-3</v>
      </c>
      <c r="G10" s="38">
        <v>2</v>
      </c>
      <c r="H10" s="1" t="str">
        <v>Rapid Fire 1</v>
      </c>
      <c r="I10" s="9"/>
      <c r="J10" s="34"/>
      <c r="K10" s="34"/>
      <c r="L10" s="34"/>
      <c r="M10" s="34"/>
      <c r="N10" s="11"/>
      <c r="O10" s="37">
        <f t="shared" si="0"/>
        <v>1</v>
      </c>
      <c r="P10" s="37">
        <f t="shared" si="1"/>
        <v>0.66666666666666663</v>
      </c>
      <c r="Q10" s="37">
        <f>IF(OR($B10="",NOT($A10)),"",IF(AND($AA10,NOT($Z10)),$O10*$AX10,0))</f>
        <v>0</v>
      </c>
      <c r="R10" s="37">
        <f>IF(OR($B10="",NOT($A10)),"",_xlfn.LET(_xlpm.n,$P10-$Q10,_xlpm.pW,(7-$AO10)/6,_xlpm.pC,(7-$AM10)/6,_xlpm.pT,MAX(_xlpm.pW,_xlpm.pC),_xlpm.rr,$AW10,_xlpm.n*IF(_xlpm.rr=2,1-(1-_xlpm.pT)^2,IF(_xlpm.rr=1,_xlpm.pT+_xlpm.pT/6,_xlpm.pT))+$Q10))</f>
        <v>0.44444444444444442</v>
      </c>
      <c r="S10" s="37">
        <f>IF(OR($B10="",NOT($A10)),"",IF($AC10,_xlfn.LET(_xlpm.n,$P10-$Q10,_xlpm.pW,(7-$AO10)/6,_xlpm.pC,(7-$AM10)/6,_xlpm.pT,MAX(_xlpm.pW,_xlpm.pC),_xlpm.rr,$AW10,_xlpm.n*IF(_xlpm.rr=2,_xlpm.pC+(1-_xlpm.pT)*_xlpm.pC,IF(_xlpm.rr=1,_xlpm.pC+_xlpm.pC/6,_xlpm.pC))),0))</f>
        <v>0</v>
      </c>
      <c r="T10" s="37">
        <f>IF(OR($B10="",NOT($A10)),"",($R10-$S10)*($AP10-1)/6)</f>
        <v>0.37037037037037041</v>
      </c>
      <c r="U10" s="37">
        <f>IF(OR($B10="",NOT($A10)),"",MAX(1,IF(LEFT($G10,1)="D",(VALUE(MID($G10,2,99))+1)/2,$G10)+$AJ10*($D$3="Yes")+$AU10+$AG$3))</f>
        <v>2</v>
      </c>
      <c r="V10" s="37">
        <f>IF(OR($B10="",NOT($A10)),"",($T10+$S10)*IF(N($J$6)&gt;0,MIN($U10,$J$6),$U10)*($Z$3-1)/6)</f>
        <v>0.74074074074074081</v>
      </c>
      <c r="W10" s="37">
        <f>IF(OR($B10="",NOT($A10),$AQ10=""),"",MIN($G$3,($T10+$S10)/$AQ10))</f>
        <v>0.37037037037037041</v>
      </c>
      <c r="X10" s="56" t="str">
        <f>IF(OR($B10="",NOT($A10)),"",TEXT($V10,"0.00")&amp;" dmg"&amp;IF($W10="","",", "&amp;TEXT($W10,"0.00")&amp;" kills"))</f>
        <v>0.74 dmg, 0.37 kills</v>
      </c>
      <c r="Z10" s="28" t="b" cm="1">
        <f t="array" ref="Z10">IF($B10="","",KW(($H10&amp;", "&amp;$AB$3),"Torrent")=TRUE)</f>
        <v>0</v>
      </c>
      <c r="AA10" s="28" t="b" cm="1">
        <f t="array" ref="AA10">IF($B10="","",KW(($H10&amp;", "&amp;$AB$3),"Lethal Hits")=TRUE)</f>
        <v>0</v>
      </c>
      <c r="AB10" s="28" cm="1">
        <f t="array" ref="AB10">IF($B10="","",N(KW(($H10&amp;", "&amp;$AB$3),"Sustained Hits")))</f>
        <v>0</v>
      </c>
      <c r="AC10" s="28" t="b" cm="1">
        <f t="array" ref="AC10">IF($B10="","",KW(($H10&amp;", "&amp;$AB$3),"Devastating Wounds")=TRUE)</f>
        <v>0</v>
      </c>
      <c r="AD10" s="28" t="b" cm="1">
        <f t="array" ref="AD10">IF($B10="","",KW(($H10&amp;", "&amp;$AB$3),"Twin-Linked")=TRUE)</f>
        <v>0</v>
      </c>
      <c r="AE10" s="28" t="b" cm="1">
        <f t="array" ref="AE10">IF($B10="","",KW(($H10&amp;", "&amp;$AB$3),"Lance")=TRUE)</f>
        <v>0</v>
      </c>
      <c r="AF10" s="28" t="b" cm="1">
        <f t="array" ref="AF10">IF($B10="","",KW(($H10&amp;", "&amp;$AB$3),"Heavy")=TRUE)</f>
        <v>0</v>
      </c>
      <c r="AG10" s="28" cm="1">
        <f t="array" ref="AG10">IF($B10="","",N(KW(($H10&amp;", "&amp;$AB$3),"Rapid Fire")))</f>
        <v>1</v>
      </c>
      <c r="AH10" s="28" cm="1">
        <f t="array" ref="AH10">IF($B10="","",N(KW(($H10&amp;", "&amp;$AB$3),"Blast")))</f>
        <v>0</v>
      </c>
      <c r="AI10" s="28" cm="1">
        <f t="array" ref="AI10">IF($B10="","",N(KW(($H10&amp;", "&amp;$AB$3),"Cleave")))</f>
        <v>0</v>
      </c>
      <c r="AJ10" s="28" cm="1">
        <f t="array" ref="AJ10">IF($B10="","",N(KW(($H10&amp;", "&amp;$AB$3),"Melta")))</f>
        <v>0</v>
      </c>
      <c r="AK10" s="28" t="b" cm="1">
        <f t="array" ref="AK10">IF($B10="","",KW(($H10&amp;", "&amp;$AB$3),"Ignores Cover")=TRUE)</f>
        <v>0</v>
      </c>
      <c r="AL10" s="28" t="b" cm="1">
        <f t="array" ref="AL10">IF($B10="","",KW(($H10&amp;", "&amp;$AB$3),"Psychic")=TRUE)</f>
        <v>0</v>
      </c>
      <c r="AM10" s="29" cm="1">
        <f t="array" ref="AM10">IF($B10="","",_xlfn.LET(_xlpm.src,$H10&amp;", "&amp;$AB$3,_xlpm.a,KWANTI(_xlpm.src,($N$6&amp;", "&amp;$AC$3)),_xlpm.c,KWMIN(_xlpm.src,"Critical Wounds"),MIN(_xlpm.a,IF(ISNUMBER(_xlpm.c),MEDIAN(2,6,_xlpm.c),6))))</f>
        <v>6</v>
      </c>
      <c r="AN10" s="29" cm="1">
        <f t="array" ref="AN10">IF($B10="","",IF($Z10,0,_xlfn.LET(_xlpm.src,$H10&amp;", "&amp;$AB$3,_xlpm.stat,$E$3="Yes",IF(KW(_xlpm.src,"Snap Shooting")=TRUE,IF(_xlpm.stat,4,6),_xlfn.LET(_xlpm.psy,$AL10,_xlpm.hv,$AF10*_xlpm.stat,_xlpm.dmg,-($H$3="Yes"),_xlpm.am,$AR10,_xlpm.tm,$AH$3,_xlpm.mods,IF(_xlpm.psy,MAX(0,_xlpm.hv)+MAX(0,_xlpm.am)+MAX(0,_xlpm.tm),_xlpm.hv+_xlpm.dmg+_xlpm.am+_xlpm.tm),_xlpm.cov,AND(OR($F$3="Yes",$AA$3),NOT($AK10),NOT(_xlpm.psy)),_xlpm.bs,MIN(6,MAX(2,$D10+IF(_xlpm.psy,MIN(0,$BA10),$BA10+_xlpm.cov))),MEDIAN(2,6,_xlpm.bs-MAX(-1,MIN(1,_xlpm.mods))))))))</f>
        <v>3</v>
      </c>
      <c r="AO10" s="29">
        <f t="shared" si="2"/>
        <v>3</v>
      </c>
      <c r="AP10" s="29">
        <f t="shared" si="3"/>
        <v>6</v>
      </c>
      <c r="AQ10" s="30">
        <f>IF(OR($B10="",N($J$6)&lt;=0),"",ROUNDUP($J$6/MIN($U10,$J$6),0)/(($Z$3-1)/6))</f>
        <v>1</v>
      </c>
      <c r="AR10" s="30" cm="1">
        <f t="array" ref="AR10">IF($B10="","",KWSUM(($H10&amp;", "&amp;$AB$3),"Hit Modifier"))</f>
        <v>0</v>
      </c>
      <c r="AS10" s="30" cm="1">
        <f t="array" ref="AS10">IF($B10="","",KWSUM(($H10&amp;", "&amp;$AB$3),"Wound Modifier"))</f>
        <v>0</v>
      </c>
      <c r="AT10" s="30" cm="1">
        <f t="array" ref="AT10">IF($B10="","",KWSUM(($H10&amp;", "&amp;$AB$3),"AP Modifier"))</f>
        <v>0</v>
      </c>
      <c r="AU10" s="30" cm="1">
        <f t="array" ref="AU10">IF($B10="","",KWSUM(($H10&amp;", "&amp;$AB$3),"Damage Modifier"))</f>
        <v>0</v>
      </c>
      <c r="AV10" s="30" cm="1">
        <f t="array" ref="AV10">IF($B10="","",_xlfn.LET(_xlpm.src,$H10&amp;", "&amp;$AB$3,IF(KW(_xlpm.src,"Snap Shooting")=TRUE,0,_xlfn.LET(_xlpm.full,ISNUMBER(_xlfn.XMATCH("Reroll Hits",TRIM(_xlfn.TEXTSPLIT(_xlpm.src,",")))),_xlpm.r,KW(_xlpm.src,"Reroll Hits"),IF(_xlpm.full,2,IF(N(_xlpm.r)&gt;=1,1,0))))))</f>
        <v>0</v>
      </c>
      <c r="AW10" s="30" cm="1">
        <f t="array" ref="AW10">IF($B10="","",_xlfn.LET(_xlpm.src,$H10&amp;", "&amp;$AB$3,_xlpm.full,OR($AD10,ISNUMBER(_xlfn.XMATCH("Reroll Wounds",TRIM(_xlfn.TEXTSPLIT(_xlpm.src,","))))),_xlpm.r,KW(_xlpm.src,"Reroll Wounds"),IF(_xlpm.full,2,IF(N(_xlpm.r)&gt;=1,1,0))))</f>
        <v>0</v>
      </c>
      <c r="AX10" s="30">
        <f t="shared" si="4"/>
        <v>0.16666666666666666</v>
      </c>
      <c r="AY10" s="30" cm="1">
        <f t="array" ref="AY10">IF($B10="","",KWSUM($H10&amp;", "&amp;$AB$3,"Attacks Modifier"))</f>
        <v>0</v>
      </c>
      <c r="AZ10" s="30" cm="1">
        <f t="array" ref="AZ10">IF($B10="","",KWSUM($H10&amp;", "&amp;$AB$3,"Strength Modifier"))</f>
        <v>0</v>
      </c>
      <c r="BA10" s="30" cm="1">
        <f t="array" ref="BA10">IF($B10="","",KWSUM($H10&amp;", "&amp;$AB$3,"BS Modifier"))</f>
        <v>0</v>
      </c>
      <c r="BB10" s="30" cm="1">
        <f t="array" ref="BB10">IF($B10="","",_xlfn.LET(_xlpm.src,$H10&amp;", "&amp;$AB$3,_xlpm.c,KWMIN(_xlpm.src,"Critical Hits"),IF(KW(_xlpm.src,"Snap Shooting")=TRUE,6,IF(ISNUMBER(_xlpm.c),MEDIAN(2,6,_xlpm.c),6))))</f>
        <v>6</v>
      </c>
      <c r="BC10" s="30" cm="1">
        <f t="array" ref="BC10">IF($B10="","",KWSUM($H10&amp;", "&amp;$AB$3,"Save Modifier"))</f>
        <v>0</v>
      </c>
    </row>
    <row r="11" spans="1:63" x14ac:dyDescent="0.3">
      <c r="A11" s="64" t="b">
        <v>1</v>
      </c>
      <c r="B11" s="55" t="str">
        <v>Plasma Pistol - Standard</v>
      </c>
      <c r="C11" s="38">
        <v>1</v>
      </c>
      <c r="D11" s="38">
        <v>3</v>
      </c>
      <c r="E11" s="38">
        <v>7</v>
      </c>
      <c r="F11" s="38">
        <v>-2</v>
      </c>
      <c r="G11" s="38">
        <v>1</v>
      </c>
      <c r="H11" s="1" t="str">
        <v/>
      </c>
      <c r="I11" s="9"/>
      <c r="J11" s="34"/>
      <c r="K11" s="34"/>
      <c r="L11" s="34"/>
      <c r="M11" s="34"/>
      <c r="N11" s="11"/>
      <c r="O11" s="37">
        <f t="shared" si="0"/>
        <v>1</v>
      </c>
      <c r="P11" s="37">
        <f t="shared" si="1"/>
        <v>0.66666666666666663</v>
      </c>
      <c r="Q11" s="37">
        <f>IF(OR($B11="",NOT($A11)),"",IF(AND($AA11,NOT($Z11)),$O11*$AX11,0))</f>
        <v>0</v>
      </c>
      <c r="R11" s="37">
        <f>IF(OR($B11="",NOT($A11)),"",_xlfn.LET(_xlpm.n,$P11-$Q11,_xlpm.pW,(7-$AO11)/6,_xlpm.pC,(7-$AM11)/6,_xlpm.pT,MAX(_xlpm.pW,_xlpm.pC),_xlpm.rr,$AW11,_xlpm.n*IF(_xlpm.rr=2,1-(1-_xlpm.pT)^2,IF(_xlpm.rr=1,_xlpm.pT+_xlpm.pT/6,_xlpm.pT))+$Q11))</f>
        <v>0.44444444444444442</v>
      </c>
      <c r="S11" s="37">
        <f>IF(OR($B11="",NOT($A11)),"",IF($AC11,_xlfn.LET(_xlpm.n,$P11-$Q11,_xlpm.pW,(7-$AO11)/6,_xlpm.pC,(7-$AM11)/6,_xlpm.pT,MAX(_xlpm.pW,_xlpm.pC),_xlpm.rr,$AW11,_xlpm.n*IF(_xlpm.rr=2,_xlpm.pC+(1-_xlpm.pT)*_xlpm.pC,IF(_xlpm.rr=1,_xlpm.pC+_xlpm.pC/6,_xlpm.pC))),0))</f>
        <v>0</v>
      </c>
      <c r="T11" s="37">
        <f>IF(OR($B11="",NOT($A11)),"",($R11-$S11)*($AP11-1)/6)</f>
        <v>0.29629629629629628</v>
      </c>
      <c r="U11" s="37">
        <f>IF(OR($B11="",NOT($A11)),"",MAX(1,IF(LEFT($G11,1)="D",(VALUE(MID($G11,2,99))+1)/2,$G11)+$AJ11*($D$3="Yes")+$AU11+$AG$3))</f>
        <v>1</v>
      </c>
      <c r="V11" s="37">
        <f>IF(OR($B11="",NOT($A11)),"",($T11+$S11)*IF(N($J$6)&gt;0,MIN($U11,$J$6),$U11)*($Z$3-1)/6)</f>
        <v>0.29629629629629628</v>
      </c>
      <c r="W11" s="37">
        <f>IF(OR($B11="",NOT($A11),$AQ11=""),"",MIN($G$3,($T11+$S11)/$AQ11))</f>
        <v>0.14814814814814814</v>
      </c>
      <c r="X11" s="56" t="str">
        <f>IF(OR($B11="",NOT($A11)),"",TEXT($V11,"0.00")&amp;" dmg"&amp;IF($W11="","",", "&amp;TEXT($W11,"0.00")&amp;" kills"))</f>
        <v>0.30 dmg, 0.15 kills</v>
      </c>
      <c r="Z11" s="28" t="b" cm="1">
        <f t="array" ref="Z11">IF($B11="","",KW(($H11&amp;", "&amp;$AB$3),"Torrent")=TRUE)</f>
        <v>0</v>
      </c>
      <c r="AA11" s="28" t="b" cm="1">
        <f t="array" ref="AA11">IF($B11="","",KW(($H11&amp;", "&amp;$AB$3),"Lethal Hits")=TRUE)</f>
        <v>0</v>
      </c>
      <c r="AB11" s="28" cm="1">
        <f t="array" ref="AB11">IF($B11="","",N(KW(($H11&amp;", "&amp;$AB$3),"Sustained Hits")))</f>
        <v>0</v>
      </c>
      <c r="AC11" s="28" t="b" cm="1">
        <f t="array" ref="AC11">IF($B11="","",KW(($H11&amp;", "&amp;$AB$3),"Devastating Wounds")=TRUE)</f>
        <v>0</v>
      </c>
      <c r="AD11" s="28" t="b" cm="1">
        <f t="array" ref="AD11">IF($B11="","",KW(($H11&amp;", "&amp;$AB$3),"Twin-Linked")=TRUE)</f>
        <v>0</v>
      </c>
      <c r="AE11" s="28" t="b" cm="1">
        <f t="array" ref="AE11">IF($B11="","",KW(($H11&amp;", "&amp;$AB$3),"Lance")=TRUE)</f>
        <v>0</v>
      </c>
      <c r="AF11" s="28" t="b" cm="1">
        <f t="array" ref="AF11">IF($B11="","",KW(($H11&amp;", "&amp;$AB$3),"Heavy")=TRUE)</f>
        <v>0</v>
      </c>
      <c r="AG11" s="28" cm="1">
        <f t="array" ref="AG11">IF($B11="","",N(KW(($H11&amp;", "&amp;$AB$3),"Rapid Fire")))</f>
        <v>0</v>
      </c>
      <c r="AH11" s="28" cm="1">
        <f t="array" ref="AH11">IF($B11="","",N(KW(($H11&amp;", "&amp;$AB$3),"Blast")))</f>
        <v>0</v>
      </c>
      <c r="AI11" s="28" cm="1">
        <f t="array" ref="AI11">IF($B11="","",N(KW(($H11&amp;", "&amp;$AB$3),"Cleave")))</f>
        <v>0</v>
      </c>
      <c r="AJ11" s="28" cm="1">
        <f t="array" ref="AJ11">IF($B11="","",N(KW(($H11&amp;", "&amp;$AB$3),"Melta")))</f>
        <v>0</v>
      </c>
      <c r="AK11" s="28" t="b" cm="1">
        <f t="array" ref="AK11">IF($B11="","",KW(($H11&amp;", "&amp;$AB$3),"Ignores Cover")=TRUE)</f>
        <v>0</v>
      </c>
      <c r="AL11" s="28" t="b" cm="1">
        <f t="array" ref="AL11">IF($B11="","",KW(($H11&amp;", "&amp;$AB$3),"Psychic")=TRUE)</f>
        <v>0</v>
      </c>
      <c r="AM11" s="29" cm="1">
        <f t="array" ref="AM11">IF($B11="","",_xlfn.LET(_xlpm.src,$H11&amp;", "&amp;$AB$3,_xlpm.a,KWANTI(_xlpm.src,($N$6&amp;", "&amp;$AC$3)),_xlpm.c,KWMIN(_xlpm.src,"Critical Wounds"),MIN(_xlpm.a,IF(ISNUMBER(_xlpm.c),MEDIAN(2,6,_xlpm.c),6))))</f>
        <v>6</v>
      </c>
      <c r="AN11" s="29" cm="1">
        <f t="array" ref="AN11">IF($B11="","",IF($Z11,0,_xlfn.LET(_xlpm.src,$H11&amp;", "&amp;$AB$3,_xlpm.stat,$E$3="Yes",IF(KW(_xlpm.src,"Snap Shooting")=TRUE,IF(_xlpm.stat,4,6),_xlfn.LET(_xlpm.psy,$AL11,_xlpm.hv,$AF11*_xlpm.stat,_xlpm.dmg,-($H$3="Yes"),_xlpm.am,$AR11,_xlpm.tm,$AH$3,_xlpm.mods,IF(_xlpm.psy,MAX(0,_xlpm.hv)+MAX(0,_xlpm.am)+MAX(0,_xlpm.tm),_xlpm.hv+_xlpm.dmg+_xlpm.am+_xlpm.tm),_xlpm.cov,AND(OR($F$3="Yes",$AA$3),NOT($AK11),NOT(_xlpm.psy)),_xlpm.bs,MIN(6,MAX(2,$D11+IF(_xlpm.psy,MIN(0,$BA11),$BA11+_xlpm.cov))),MEDIAN(2,6,_xlpm.bs-MAX(-1,MIN(1,_xlpm.mods))))))))</f>
        <v>3</v>
      </c>
      <c r="AO11" s="29">
        <f t="shared" si="2"/>
        <v>3</v>
      </c>
      <c r="AP11" s="29">
        <f t="shared" si="3"/>
        <v>5</v>
      </c>
      <c r="AQ11" s="30">
        <f>IF(OR($B11="",N($J$6)&lt;=0),"",ROUNDUP($J$6/MIN($U11,$J$6),0)/(($Z$3-1)/6))</f>
        <v>2</v>
      </c>
      <c r="AR11" s="30" cm="1">
        <f t="array" ref="AR11">IF($B11="","",KWSUM(($H11&amp;", "&amp;$AB$3),"Hit Modifier"))</f>
        <v>0</v>
      </c>
      <c r="AS11" s="30" cm="1">
        <f t="array" ref="AS11">IF($B11="","",KWSUM(($H11&amp;", "&amp;$AB$3),"Wound Modifier"))</f>
        <v>0</v>
      </c>
      <c r="AT11" s="30" cm="1">
        <f t="array" ref="AT11">IF($B11="","",KWSUM(($H11&amp;", "&amp;$AB$3),"AP Modifier"))</f>
        <v>0</v>
      </c>
      <c r="AU11" s="30" cm="1">
        <f t="array" ref="AU11">IF($B11="","",KWSUM(($H11&amp;", "&amp;$AB$3),"Damage Modifier"))</f>
        <v>0</v>
      </c>
      <c r="AV11" s="30" cm="1">
        <f t="array" ref="AV11">IF($B11="","",_xlfn.LET(_xlpm.src,$H11&amp;", "&amp;$AB$3,IF(KW(_xlpm.src,"Snap Shooting")=TRUE,0,_xlfn.LET(_xlpm.full,ISNUMBER(_xlfn.XMATCH("Reroll Hits",TRIM(_xlfn.TEXTSPLIT(_xlpm.src,",")))),_xlpm.r,KW(_xlpm.src,"Reroll Hits"),IF(_xlpm.full,2,IF(N(_xlpm.r)&gt;=1,1,0))))))</f>
        <v>0</v>
      </c>
      <c r="AW11" s="30" cm="1">
        <f t="array" ref="AW11">IF($B11="","",_xlfn.LET(_xlpm.src,$H11&amp;", "&amp;$AB$3,_xlpm.full,OR($AD11,ISNUMBER(_xlfn.XMATCH("Reroll Wounds",TRIM(_xlfn.TEXTSPLIT(_xlpm.src,","))))),_xlpm.r,KW(_xlpm.src,"Reroll Wounds"),IF(_xlpm.full,2,IF(N(_xlpm.r)&gt;=1,1,0))))</f>
        <v>0</v>
      </c>
      <c r="AX11" s="30">
        <f t="shared" si="4"/>
        <v>0.16666666666666666</v>
      </c>
      <c r="AY11" s="30" cm="1">
        <f t="array" ref="AY11">IF($B11="","",KWSUM($H11&amp;", "&amp;$AB$3,"Attacks Modifier"))</f>
        <v>0</v>
      </c>
      <c r="AZ11" s="30" cm="1">
        <f t="array" ref="AZ11">IF($B11="","",KWSUM($H11&amp;", "&amp;$AB$3,"Strength Modifier"))</f>
        <v>0</v>
      </c>
      <c r="BA11" s="30" cm="1">
        <f t="array" ref="BA11">IF($B11="","",KWSUM($H11&amp;", "&amp;$AB$3,"BS Modifier"))</f>
        <v>0</v>
      </c>
      <c r="BB11" s="30" cm="1">
        <f t="array" ref="BB11">IF($B11="","",_xlfn.LET(_xlpm.src,$H11&amp;", "&amp;$AB$3,_xlpm.c,KWMIN(_xlpm.src,"Critical Hits"),IF(KW(_xlpm.src,"Snap Shooting")=TRUE,6,IF(ISNUMBER(_xlpm.c),MEDIAN(2,6,_xlpm.c),6))))</f>
        <v>6</v>
      </c>
      <c r="BC11" s="30" cm="1">
        <f t="array" ref="BC11">IF($B11="","",KWSUM($H11&amp;", "&amp;$AB$3,"Save Modifier"))</f>
        <v>0</v>
      </c>
    </row>
    <row r="12" spans="1:63" x14ac:dyDescent="0.3">
      <c r="A12" s="64" t="b">
        <v>1</v>
      </c>
      <c r="B12" s="55" t="str">
        <v>Plasma Pistol Supercharged</v>
      </c>
      <c r="C12" s="38">
        <v>1</v>
      </c>
      <c r="D12" s="38">
        <v>3</v>
      </c>
      <c r="E12" s="38">
        <v>8</v>
      </c>
      <c r="F12" s="38">
        <v>-3</v>
      </c>
      <c r="G12" s="38">
        <v>2</v>
      </c>
      <c r="H12" s="1" t="str">
        <v/>
      </c>
      <c r="I12" s="9"/>
      <c r="J12" s="34"/>
      <c r="K12" s="34"/>
      <c r="L12" s="34"/>
      <c r="M12" s="34"/>
      <c r="N12" s="11"/>
      <c r="O12" s="37">
        <f t="shared" si="0"/>
        <v>1</v>
      </c>
      <c r="P12" s="37">
        <f t="shared" si="1"/>
        <v>0.66666666666666663</v>
      </c>
      <c r="Q12" s="37">
        <f>IF(OR($B12="",NOT($A12)),"",IF(AND($AA12,NOT($Z12)),$O12*$AX12,0))</f>
        <v>0</v>
      </c>
      <c r="R12" s="37">
        <f>IF(OR($B12="",NOT($A12)),"",_xlfn.LET(_xlpm.n,$P12-$Q12,_xlpm.pW,(7-$AO12)/6,_xlpm.pC,(7-$AM12)/6,_xlpm.pT,MAX(_xlpm.pW,_xlpm.pC),_xlpm.rr,$AW12,_xlpm.n*IF(_xlpm.rr=2,1-(1-_xlpm.pT)^2,IF(_xlpm.rr=1,_xlpm.pT+_xlpm.pT/6,_xlpm.pT))+$Q12))</f>
        <v>0.44444444444444442</v>
      </c>
      <c r="S12" s="37">
        <f>IF(OR($B12="",NOT($A12)),"",IF($AC12,_xlfn.LET(_xlpm.n,$P12-$Q12,_xlpm.pW,(7-$AO12)/6,_xlpm.pC,(7-$AM12)/6,_xlpm.pT,MAX(_xlpm.pW,_xlpm.pC),_xlpm.rr,$AW12,_xlpm.n*IF(_xlpm.rr=2,_xlpm.pC+(1-_xlpm.pT)*_xlpm.pC,IF(_xlpm.rr=1,_xlpm.pC+_xlpm.pC/6,_xlpm.pC))),0))</f>
        <v>0</v>
      </c>
      <c r="T12" s="37">
        <f>IF(OR($B12="",NOT($A12)),"",($R12-$S12)*($AP12-1)/6)</f>
        <v>0.37037037037037041</v>
      </c>
      <c r="U12" s="37">
        <f>IF(OR($B12="",NOT($A12)),"",MAX(1,IF(LEFT($G12,1)="D",(VALUE(MID($G12,2,99))+1)/2,$G12)+$AJ12*($D$3="Yes")+$AU12+$AG$3))</f>
        <v>2</v>
      </c>
      <c r="V12" s="37">
        <f>IF(OR($B12="",NOT($A12)),"",($T12+$S12)*IF(N($J$6)&gt;0,MIN($U12,$J$6),$U12)*($Z$3-1)/6)</f>
        <v>0.74074074074074081</v>
      </c>
      <c r="W12" s="37">
        <f>IF(OR($B12="",NOT($A12),$AQ12=""),"",MIN($G$3,($T12+$S12)/$AQ12))</f>
        <v>0.37037037037037041</v>
      </c>
      <c r="X12" s="56" t="str">
        <f>IF(OR($B12="",NOT($A12)),"",TEXT($V12,"0.00")&amp;" dmg"&amp;IF($W12="","",", "&amp;TEXT($W12,"0.00")&amp;" kills"))</f>
        <v>0.74 dmg, 0.37 kills</v>
      </c>
      <c r="Z12" s="28" t="b" cm="1">
        <f t="array" ref="Z12">IF($B12="","",KW(($H12&amp;", "&amp;$AB$3),"Torrent")=TRUE)</f>
        <v>0</v>
      </c>
      <c r="AA12" s="28" t="b" cm="1">
        <f t="array" ref="AA12">IF($B12="","",KW(($H12&amp;", "&amp;$AB$3),"Lethal Hits")=TRUE)</f>
        <v>0</v>
      </c>
      <c r="AB12" s="28" cm="1">
        <f t="array" ref="AB12">IF($B12="","",N(KW(($H12&amp;", "&amp;$AB$3),"Sustained Hits")))</f>
        <v>0</v>
      </c>
      <c r="AC12" s="28" t="b" cm="1">
        <f t="array" ref="AC12">IF($B12="","",KW(($H12&amp;", "&amp;$AB$3),"Devastating Wounds")=TRUE)</f>
        <v>0</v>
      </c>
      <c r="AD12" s="28" t="b" cm="1">
        <f t="array" ref="AD12">IF($B12="","",KW(($H12&amp;", "&amp;$AB$3),"Twin-Linked")=TRUE)</f>
        <v>0</v>
      </c>
      <c r="AE12" s="28" t="b" cm="1">
        <f t="array" ref="AE12">IF($B12="","",KW(($H12&amp;", "&amp;$AB$3),"Lance")=TRUE)</f>
        <v>0</v>
      </c>
      <c r="AF12" s="28" t="b" cm="1">
        <f t="array" ref="AF12">IF($B12="","",KW(($H12&amp;", "&amp;$AB$3),"Heavy")=TRUE)</f>
        <v>0</v>
      </c>
      <c r="AG12" s="28" cm="1">
        <f t="array" ref="AG12">IF($B12="","",N(KW(($H12&amp;", "&amp;$AB$3),"Rapid Fire")))</f>
        <v>0</v>
      </c>
      <c r="AH12" s="28" cm="1">
        <f t="array" ref="AH12">IF($B12="","",N(KW(($H12&amp;", "&amp;$AB$3),"Blast")))</f>
        <v>0</v>
      </c>
      <c r="AI12" s="28" cm="1">
        <f t="array" ref="AI12">IF($B12="","",N(KW(($H12&amp;", "&amp;$AB$3),"Cleave")))</f>
        <v>0</v>
      </c>
      <c r="AJ12" s="28" cm="1">
        <f t="array" ref="AJ12">IF($B12="","",N(KW(($H12&amp;", "&amp;$AB$3),"Melta")))</f>
        <v>0</v>
      </c>
      <c r="AK12" s="28" t="b" cm="1">
        <f t="array" ref="AK12">IF($B12="","",KW(($H12&amp;", "&amp;$AB$3),"Ignores Cover")=TRUE)</f>
        <v>0</v>
      </c>
      <c r="AL12" s="28" t="b" cm="1">
        <f t="array" ref="AL12">IF($B12="","",KW(($H12&amp;", "&amp;$AB$3),"Psychic")=TRUE)</f>
        <v>0</v>
      </c>
      <c r="AM12" s="29" cm="1">
        <f t="array" ref="AM12">IF($B12="","",_xlfn.LET(_xlpm.src,$H12&amp;", "&amp;$AB$3,_xlpm.a,KWANTI(_xlpm.src,($N$6&amp;", "&amp;$AC$3)),_xlpm.c,KWMIN(_xlpm.src,"Critical Wounds"),MIN(_xlpm.a,IF(ISNUMBER(_xlpm.c),MEDIAN(2,6,_xlpm.c),6))))</f>
        <v>6</v>
      </c>
      <c r="AN12" s="29" cm="1">
        <f t="array" ref="AN12">IF($B12="","",IF($Z12,0,_xlfn.LET(_xlpm.src,$H12&amp;", "&amp;$AB$3,_xlpm.stat,$E$3="Yes",IF(KW(_xlpm.src,"Snap Shooting")=TRUE,IF(_xlpm.stat,4,6),_xlfn.LET(_xlpm.psy,$AL12,_xlpm.hv,$AF12*_xlpm.stat,_xlpm.dmg,-($H$3="Yes"),_xlpm.am,$AR12,_xlpm.tm,$AH$3,_xlpm.mods,IF(_xlpm.psy,MAX(0,_xlpm.hv)+MAX(0,_xlpm.am)+MAX(0,_xlpm.tm),_xlpm.hv+_xlpm.dmg+_xlpm.am+_xlpm.tm),_xlpm.cov,AND(OR($F$3="Yes",$AA$3),NOT($AK12),NOT(_xlpm.psy)),_xlpm.bs,MIN(6,MAX(2,$D12+IF(_xlpm.psy,MIN(0,$BA12),$BA12+_xlpm.cov))),MEDIAN(2,6,_xlpm.bs-MAX(-1,MIN(1,_xlpm.mods))))))))</f>
        <v>3</v>
      </c>
      <c r="AO12" s="29">
        <f t="shared" si="2"/>
        <v>3</v>
      </c>
      <c r="AP12" s="29">
        <f t="shared" si="3"/>
        <v>6</v>
      </c>
      <c r="AQ12" s="30">
        <f>IF(OR($B12="",N($J$6)&lt;=0),"",ROUNDUP($J$6/MIN($U12,$J$6),0)/(($Z$3-1)/6))</f>
        <v>1</v>
      </c>
      <c r="AR12" s="30" cm="1">
        <f t="array" ref="AR12">IF($B12="","",KWSUM(($H12&amp;", "&amp;$AB$3),"Hit Modifier"))</f>
        <v>0</v>
      </c>
      <c r="AS12" s="30" cm="1">
        <f t="array" ref="AS12">IF($B12="","",KWSUM(($H12&amp;", "&amp;$AB$3),"Wound Modifier"))</f>
        <v>0</v>
      </c>
      <c r="AT12" s="30" cm="1">
        <f t="array" ref="AT12">IF($B12="","",KWSUM(($H12&amp;", "&amp;$AB$3),"AP Modifier"))</f>
        <v>0</v>
      </c>
      <c r="AU12" s="30" cm="1">
        <f t="array" ref="AU12">IF($B12="","",KWSUM(($H12&amp;", "&amp;$AB$3),"Damage Modifier"))</f>
        <v>0</v>
      </c>
      <c r="AV12" s="30" cm="1">
        <f t="array" ref="AV12">IF($B12="","",_xlfn.LET(_xlpm.src,$H12&amp;", "&amp;$AB$3,IF(KW(_xlpm.src,"Snap Shooting")=TRUE,0,_xlfn.LET(_xlpm.full,ISNUMBER(_xlfn.XMATCH("Reroll Hits",TRIM(_xlfn.TEXTSPLIT(_xlpm.src,",")))),_xlpm.r,KW(_xlpm.src,"Reroll Hits"),IF(_xlpm.full,2,IF(N(_xlpm.r)&gt;=1,1,0))))))</f>
        <v>0</v>
      </c>
      <c r="AW12" s="30" cm="1">
        <f t="array" ref="AW12">IF($B12="","",_xlfn.LET(_xlpm.src,$H12&amp;", "&amp;$AB$3,_xlpm.full,OR($AD12,ISNUMBER(_xlfn.XMATCH("Reroll Wounds",TRIM(_xlfn.TEXTSPLIT(_xlpm.src,","))))),_xlpm.r,KW(_xlpm.src,"Reroll Wounds"),IF(_xlpm.full,2,IF(N(_xlpm.r)&gt;=1,1,0))))</f>
        <v>0</v>
      </c>
      <c r="AX12" s="30">
        <f t="shared" si="4"/>
        <v>0.16666666666666666</v>
      </c>
      <c r="AY12" s="30" cm="1">
        <f t="array" ref="AY12">IF($B12="","",KWSUM($H12&amp;", "&amp;$AB$3,"Attacks Modifier"))</f>
        <v>0</v>
      </c>
      <c r="AZ12" s="30" cm="1">
        <f t="array" ref="AZ12">IF($B12="","",KWSUM($H12&amp;", "&amp;$AB$3,"Strength Modifier"))</f>
        <v>0</v>
      </c>
      <c r="BA12" s="30" cm="1">
        <f t="array" ref="BA12">IF($B12="","",KWSUM($H12&amp;", "&amp;$AB$3,"BS Modifier"))</f>
        <v>0</v>
      </c>
      <c r="BB12" s="30" cm="1">
        <f t="array" ref="BB12">IF($B12="","",_xlfn.LET(_xlpm.src,$H12&amp;", "&amp;$AB$3,_xlpm.c,KWMIN(_xlpm.src,"Critical Hits"),IF(KW(_xlpm.src,"Snap Shooting")=TRUE,6,IF(ISNUMBER(_xlpm.c),MEDIAN(2,6,_xlpm.c),6))))</f>
        <v>6</v>
      </c>
      <c r="BC12" s="30" cm="1">
        <f t="array" ref="BC12">IF($B12="","",KWSUM($H12&amp;", "&amp;$AB$3,"Save Modifier"))</f>
        <v>0</v>
      </c>
    </row>
    <row r="13" spans="1:63" x14ac:dyDescent="0.3">
      <c r="A13" s="64" t="b">
        <v>1</v>
      </c>
      <c r="B13" s="55"/>
      <c r="C13" s="38"/>
      <c r="D13" s="38"/>
      <c r="E13" s="38"/>
      <c r="F13" s="38"/>
      <c r="G13" s="38"/>
      <c r="H13" s="1"/>
      <c r="I13" s="9"/>
      <c r="J13" s="34"/>
      <c r="K13" s="34"/>
      <c r="L13" s="34"/>
      <c r="M13" s="34"/>
      <c r="N13" s="11"/>
      <c r="O13" s="37" t="str">
        <f t="shared" si="0"/>
        <v/>
      </c>
      <c r="P13" s="37" t="str">
        <f t="shared" si="1"/>
        <v/>
      </c>
      <c r="Q13" s="37" t="str">
        <f>IF(OR($B13="",NOT($A13)),"",IF(AND($AA13,NOT($Z13)),$O13*$AX13,0))</f>
        <v/>
      </c>
      <c r="R13" s="37" t="str">
        <f>IF(OR($B13="",NOT($A13)),"",_xlfn.LET(_xlpm.n,$P13-$Q13,_xlpm.pW,(7-$AO13)/6,_xlpm.pC,(7-$AM13)/6,_xlpm.pT,MAX(_xlpm.pW,_xlpm.pC),_xlpm.rr,$AW13,_xlpm.n*IF(_xlpm.rr=2,1-(1-_xlpm.pT)^2,IF(_xlpm.rr=1,_xlpm.pT+_xlpm.pT/6,_xlpm.pT))+$Q13))</f>
        <v/>
      </c>
      <c r="S13" s="37" t="str">
        <f>IF(OR($B13="",NOT($A13)),"",IF($AC13,_xlfn.LET(_xlpm.n,$P13-$Q13,_xlpm.pW,(7-$AO13)/6,_xlpm.pC,(7-$AM13)/6,_xlpm.pT,MAX(_xlpm.pW,_xlpm.pC),_xlpm.rr,$AW13,_xlpm.n*IF(_xlpm.rr=2,_xlpm.pC+(1-_xlpm.pT)*_xlpm.pC,IF(_xlpm.rr=1,_xlpm.pC+_xlpm.pC/6,_xlpm.pC))),0))</f>
        <v/>
      </c>
      <c r="T13" s="37" t="str">
        <f>IF(OR($B13="",NOT($A13)),"",($R13-$S13)*($AP13-1)/6)</f>
        <v/>
      </c>
      <c r="U13" s="37" t="str">
        <f>IF(OR($B13="",NOT($A13)),"",MAX(1,IF(LEFT($G13,1)="D",(VALUE(MID($G13,2,99))+1)/2,$G13)+$AJ13*($D$3="Yes")+$AU13+$AG$3))</f>
        <v/>
      </c>
      <c r="V13" s="37" t="str">
        <f>IF(OR($B13="",NOT($A13)),"",($T13+$S13)*IF(N($J$6)&gt;0,MIN($U13,$J$6),$U13)*($Z$3-1)/6)</f>
        <v/>
      </c>
      <c r="W13" s="37" t="str">
        <f>IF(OR($B13="",NOT($A13),$AQ13=""),"",MIN($G$3,($T13+$S13)/$AQ13))</f>
        <v/>
      </c>
      <c r="X13" s="56" t="str">
        <f>IF(OR($B13="",NOT($A13)),"",TEXT($V13,"0.00")&amp;" dmg"&amp;IF($W13="","",", "&amp;TEXT($W13,"0.00")&amp;" kills"))</f>
        <v/>
      </c>
      <c r="Z13" s="28" t="str" cm="1">
        <f t="array" ref="Z13">IF($B13="","",KW(($H13&amp;", "&amp;$AB$3),"Torrent")=TRUE)</f>
        <v/>
      </c>
      <c r="AA13" s="28" t="str" cm="1">
        <f t="array" ref="AA13">IF($B13="","",KW(($H13&amp;", "&amp;$AB$3),"Lethal Hits")=TRUE)</f>
        <v/>
      </c>
      <c r="AB13" s="28" t="str" cm="1">
        <f t="array" ref="AB13">IF($B13="","",N(KW(($H13&amp;", "&amp;$AB$3),"Sustained Hits")))</f>
        <v/>
      </c>
      <c r="AC13" s="28" t="str" cm="1">
        <f t="array" ref="AC13">IF($B13="","",KW(($H13&amp;", "&amp;$AB$3),"Devastating Wounds")=TRUE)</f>
        <v/>
      </c>
      <c r="AD13" s="28" t="str" cm="1">
        <f t="array" ref="AD13">IF($B13="","",KW(($H13&amp;", "&amp;$AB$3),"Twin-Linked")=TRUE)</f>
        <v/>
      </c>
      <c r="AE13" s="28" t="str" cm="1">
        <f t="array" ref="AE13">IF($B13="","",KW(($H13&amp;", "&amp;$AB$3),"Lance")=TRUE)</f>
        <v/>
      </c>
      <c r="AF13" s="28" t="str" cm="1">
        <f t="array" ref="AF13">IF($B13="","",KW(($H13&amp;", "&amp;$AB$3),"Heavy")=TRUE)</f>
        <v/>
      </c>
      <c r="AG13" s="28" t="str" cm="1">
        <f t="array" ref="AG13">IF($B13="","",N(KW(($H13&amp;", "&amp;$AB$3),"Rapid Fire")))</f>
        <v/>
      </c>
      <c r="AH13" s="28" t="str" cm="1">
        <f t="array" ref="AH13">IF($B13="","",N(KW(($H13&amp;", "&amp;$AB$3),"Blast")))</f>
        <v/>
      </c>
      <c r="AI13" s="28" t="str" cm="1">
        <f t="array" ref="AI13">IF($B13="","",N(KW(($H13&amp;", "&amp;$AB$3),"Cleave")))</f>
        <v/>
      </c>
      <c r="AJ13" s="28" t="str" cm="1">
        <f t="array" ref="AJ13">IF($B13="","",N(KW(($H13&amp;", "&amp;$AB$3),"Melta")))</f>
        <v/>
      </c>
      <c r="AK13" s="28" t="str" cm="1">
        <f t="array" ref="AK13">IF($B13="","",KW(($H13&amp;", "&amp;$AB$3),"Ignores Cover")=TRUE)</f>
        <v/>
      </c>
      <c r="AL13" s="28" t="str" cm="1">
        <f t="array" ref="AL13">IF($B13="","",KW(($H13&amp;", "&amp;$AB$3),"Psychic")=TRUE)</f>
        <v/>
      </c>
      <c r="AM13" s="29" t="str" cm="1">
        <f t="array" ref="AM13">IF($B13="","",_xlfn.LET(_xlpm.src,$H13&amp;", "&amp;$AB$3,_xlpm.a,KWANTI(_xlpm.src,($N$6&amp;", "&amp;$AC$3)),_xlpm.c,KWMIN(_xlpm.src,"Critical Wounds"),MIN(_xlpm.a,IF(ISNUMBER(_xlpm.c),MEDIAN(2,6,_xlpm.c),6))))</f>
        <v/>
      </c>
      <c r="AN13" s="29" t="str" cm="1">
        <f t="array" ref="AN13">IF($B13="","",IF($Z13,0,_xlfn.LET(_xlpm.src,$H13&amp;", "&amp;$AB$3,_xlpm.stat,$E$3="Yes",IF(KW(_xlpm.src,"Snap Shooting")=TRUE,IF(_xlpm.stat,4,6),_xlfn.LET(_xlpm.psy,$AL13,_xlpm.hv,$AF13*_xlpm.stat,_xlpm.dmg,-($H$3="Yes"),_xlpm.am,$AR13,_xlpm.tm,$AH$3,_xlpm.mods,IF(_xlpm.psy,MAX(0,_xlpm.hv)+MAX(0,_xlpm.am)+MAX(0,_xlpm.tm),_xlpm.hv+_xlpm.dmg+_xlpm.am+_xlpm.tm),_xlpm.cov,AND(OR($F$3="Yes",$AA$3),NOT($AK13),NOT(_xlpm.psy)),_xlpm.bs,MIN(6,MAX(2,$D13+IF(_xlpm.psy,MIN(0,$BA13),$BA13+_xlpm.cov))),MEDIAN(2,6,_xlpm.bs-MAX(-1,MIN(1,_xlpm.mods))))))))</f>
        <v/>
      </c>
      <c r="AO13" s="29" t="str">
        <f t="shared" si="2"/>
        <v/>
      </c>
      <c r="AP13" s="29" t="str">
        <f t="shared" si="3"/>
        <v/>
      </c>
      <c r="AQ13" s="30" t="str">
        <f>IF(OR($B13="",N($J$6)&lt;=0),"",ROUNDUP($J$6/MIN($U13,$J$6),0)/(($Z$3-1)/6))</f>
        <v/>
      </c>
      <c r="AR13" s="30" t="str" cm="1">
        <f t="array" ref="AR13">IF($B13="","",KWSUM(($H13&amp;", "&amp;$AB$3),"Hit Modifier"))</f>
        <v/>
      </c>
      <c r="AS13" s="30" t="str" cm="1">
        <f t="array" ref="AS13">IF($B13="","",KWSUM(($H13&amp;", "&amp;$AB$3),"Wound Modifier"))</f>
        <v/>
      </c>
      <c r="AT13" s="30" t="str" cm="1">
        <f t="array" ref="AT13">IF($B13="","",KWSUM(($H13&amp;", "&amp;$AB$3),"AP Modifier"))</f>
        <v/>
      </c>
      <c r="AU13" s="30" t="str" cm="1">
        <f t="array" ref="AU13">IF($B13="","",KWSUM(($H13&amp;", "&amp;$AB$3),"Damage Modifier"))</f>
        <v/>
      </c>
      <c r="AV13" s="30" t="str" cm="1">
        <f t="array" ref="AV13">IF($B13="","",_xlfn.LET(_xlpm.src,$H13&amp;", "&amp;$AB$3,IF(KW(_xlpm.src,"Snap Shooting")=TRUE,0,_xlfn.LET(_xlpm.full,ISNUMBER(_xlfn.XMATCH("Reroll Hits",TRIM(_xlfn.TEXTSPLIT(_xlpm.src,",")))),_xlpm.r,KW(_xlpm.src,"Reroll Hits"),IF(_xlpm.full,2,IF(N(_xlpm.r)&gt;=1,1,0))))))</f>
        <v/>
      </c>
      <c r="AW13" s="30" t="str" cm="1">
        <f t="array" ref="AW13">IF($B13="","",_xlfn.LET(_xlpm.src,$H13&amp;", "&amp;$AB$3,_xlpm.full,OR($AD13,ISNUMBER(_xlfn.XMATCH("Reroll Wounds",TRIM(_xlfn.TEXTSPLIT(_xlpm.src,","))))),_xlpm.r,KW(_xlpm.src,"Reroll Wounds"),IF(_xlpm.full,2,IF(N(_xlpm.r)&gt;=1,1,0))))</f>
        <v/>
      </c>
      <c r="AX13" s="30" t="str">
        <f t="shared" si="4"/>
        <v/>
      </c>
      <c r="AY13" s="30" t="str" cm="1">
        <f t="array" ref="AY13">IF($B13="","",KWSUM($H13&amp;", "&amp;$AB$3,"Attacks Modifier"))</f>
        <v/>
      </c>
      <c r="AZ13" s="30" t="str" cm="1">
        <f t="array" ref="AZ13">IF($B13="","",KWSUM($H13&amp;", "&amp;$AB$3,"Strength Modifier"))</f>
        <v/>
      </c>
      <c r="BA13" s="30" t="str" cm="1">
        <f t="array" ref="BA13">IF($B13="","",KWSUM($H13&amp;", "&amp;$AB$3,"BS Modifier"))</f>
        <v/>
      </c>
      <c r="BB13" s="30" t="str" cm="1">
        <f t="array" ref="BB13">IF($B13="","",_xlfn.LET(_xlpm.src,$H13&amp;", "&amp;$AB$3,_xlpm.c,KWMIN(_xlpm.src,"Critical Hits"),IF(KW(_xlpm.src,"Snap Shooting")=TRUE,6,IF(ISNUMBER(_xlpm.c),MEDIAN(2,6,_xlpm.c),6))))</f>
        <v/>
      </c>
      <c r="BC13" s="30" t="str" cm="1">
        <f t="array" ref="BC13">IF($B13="","",KWSUM($H13&amp;", "&amp;$AB$3,"Save Modifier"))</f>
        <v/>
      </c>
    </row>
    <row r="14" spans="1:63" x14ac:dyDescent="0.3">
      <c r="A14" s="64" t="b">
        <v>1</v>
      </c>
      <c r="B14" s="55"/>
      <c r="C14" s="38"/>
      <c r="D14" s="38"/>
      <c r="E14" s="38"/>
      <c r="F14" s="38"/>
      <c r="G14" s="38"/>
      <c r="H14" s="1"/>
      <c r="I14" s="9"/>
      <c r="J14" s="34"/>
      <c r="K14" s="34"/>
      <c r="L14" s="34"/>
      <c r="M14" s="34"/>
      <c r="N14" s="11"/>
      <c r="O14" s="37" t="str">
        <f t="shared" si="0"/>
        <v/>
      </c>
      <c r="P14" s="37" t="str">
        <f t="shared" si="1"/>
        <v/>
      </c>
      <c r="Q14" s="37" t="str">
        <f>IF(OR($B14="",NOT($A14)),"",IF(AND($AA14,NOT($Z14)),$O14*$AX14,0))</f>
        <v/>
      </c>
      <c r="R14" s="37" t="str">
        <f>IF(OR($B14="",NOT($A14)),"",_xlfn.LET(_xlpm.n,$P14-$Q14,_xlpm.pW,(7-$AO14)/6,_xlpm.pC,(7-$AM14)/6,_xlpm.pT,MAX(_xlpm.pW,_xlpm.pC),_xlpm.rr,$AW14,_xlpm.n*IF(_xlpm.rr=2,1-(1-_xlpm.pT)^2,IF(_xlpm.rr=1,_xlpm.pT+_xlpm.pT/6,_xlpm.pT))+$Q14))</f>
        <v/>
      </c>
      <c r="S14" s="37" t="str">
        <f>IF(OR($B14="",NOT($A14)),"",IF($AC14,_xlfn.LET(_xlpm.n,$P14-$Q14,_xlpm.pW,(7-$AO14)/6,_xlpm.pC,(7-$AM14)/6,_xlpm.pT,MAX(_xlpm.pW,_xlpm.pC),_xlpm.rr,$AW14,_xlpm.n*IF(_xlpm.rr=2,_xlpm.pC+(1-_xlpm.pT)*_xlpm.pC,IF(_xlpm.rr=1,_xlpm.pC+_xlpm.pC/6,_xlpm.pC))),0))</f>
        <v/>
      </c>
      <c r="T14" s="37" t="str">
        <f>IF(OR($B14="",NOT($A14)),"",($R14-$S14)*($AP14-1)/6)</f>
        <v/>
      </c>
      <c r="U14" s="37" t="str">
        <f>IF(OR($B14="",NOT($A14)),"",MAX(1,IF(LEFT($G14,1)="D",(VALUE(MID($G14,2,99))+1)/2,$G14)+$AJ14*($D$3="Yes")+$AU14+$AG$3))</f>
        <v/>
      </c>
      <c r="V14" s="37" t="str">
        <f>IF(OR($B14="",NOT($A14)),"",($T14+$S14)*IF(N($J$6)&gt;0,MIN($U14,$J$6),$U14)*($Z$3-1)/6)</f>
        <v/>
      </c>
      <c r="W14" s="37" t="str">
        <f>IF(OR($B14="",NOT($A14),$AQ14=""),"",MIN($G$3,($T14+$S14)/$AQ14))</f>
        <v/>
      </c>
      <c r="X14" s="56" t="str">
        <f>IF(OR($B14="",NOT($A14)),"",TEXT($V14,"0.00")&amp;" dmg"&amp;IF($W14="","",", "&amp;TEXT($W14,"0.00")&amp;" kills"))</f>
        <v/>
      </c>
      <c r="Z14" s="28" t="str" cm="1">
        <f t="array" ref="Z14">IF($B14="","",KW(($H14&amp;", "&amp;$AB$3),"Torrent")=TRUE)</f>
        <v/>
      </c>
      <c r="AA14" s="28" t="str" cm="1">
        <f t="array" ref="AA14">IF($B14="","",KW(($H14&amp;", "&amp;$AB$3),"Lethal Hits")=TRUE)</f>
        <v/>
      </c>
      <c r="AB14" s="28" t="str" cm="1">
        <f t="array" ref="AB14">IF($B14="","",N(KW(($H14&amp;", "&amp;$AB$3),"Sustained Hits")))</f>
        <v/>
      </c>
      <c r="AC14" s="28" t="str" cm="1">
        <f t="array" ref="AC14">IF($B14="","",KW(($H14&amp;", "&amp;$AB$3),"Devastating Wounds")=TRUE)</f>
        <v/>
      </c>
      <c r="AD14" s="28" t="str" cm="1">
        <f t="array" ref="AD14">IF($B14="","",KW(($H14&amp;", "&amp;$AB$3),"Twin-Linked")=TRUE)</f>
        <v/>
      </c>
      <c r="AE14" s="28" t="str" cm="1">
        <f t="array" ref="AE14">IF($B14="","",KW(($H14&amp;", "&amp;$AB$3),"Lance")=TRUE)</f>
        <v/>
      </c>
      <c r="AF14" s="28" t="str" cm="1">
        <f t="array" ref="AF14">IF($B14="","",KW(($H14&amp;", "&amp;$AB$3),"Heavy")=TRUE)</f>
        <v/>
      </c>
      <c r="AG14" s="28" t="str" cm="1">
        <f t="array" ref="AG14">IF($B14="","",N(KW(($H14&amp;", "&amp;$AB$3),"Rapid Fire")))</f>
        <v/>
      </c>
      <c r="AH14" s="28" t="str" cm="1">
        <f t="array" ref="AH14">IF($B14="","",N(KW(($H14&amp;", "&amp;$AB$3),"Blast")))</f>
        <v/>
      </c>
      <c r="AI14" s="28" t="str" cm="1">
        <f t="array" ref="AI14">IF($B14="","",N(KW(($H14&amp;", "&amp;$AB$3),"Cleave")))</f>
        <v/>
      </c>
      <c r="AJ14" s="28" t="str" cm="1">
        <f t="array" ref="AJ14">IF($B14="","",N(KW(($H14&amp;", "&amp;$AB$3),"Melta")))</f>
        <v/>
      </c>
      <c r="AK14" s="28" t="str" cm="1">
        <f t="array" ref="AK14">IF($B14="","",KW(($H14&amp;", "&amp;$AB$3),"Ignores Cover")=TRUE)</f>
        <v/>
      </c>
      <c r="AL14" s="28" t="str" cm="1">
        <f t="array" ref="AL14">IF($B14="","",KW(($H14&amp;", "&amp;$AB$3),"Psychic")=TRUE)</f>
        <v/>
      </c>
      <c r="AM14" s="29" t="str" cm="1">
        <f t="array" ref="AM14">IF($B14="","",_xlfn.LET(_xlpm.src,$H14&amp;", "&amp;$AB$3,_xlpm.a,KWANTI(_xlpm.src,($N$6&amp;", "&amp;$AC$3)),_xlpm.c,KWMIN(_xlpm.src,"Critical Wounds"),MIN(_xlpm.a,IF(ISNUMBER(_xlpm.c),MEDIAN(2,6,_xlpm.c),6))))</f>
        <v/>
      </c>
      <c r="AN14" s="29" t="str" cm="1">
        <f t="array" ref="AN14">IF($B14="","",IF($Z14,0,_xlfn.LET(_xlpm.src,$H14&amp;", "&amp;$AB$3,_xlpm.stat,$E$3="Yes",IF(KW(_xlpm.src,"Snap Shooting")=TRUE,IF(_xlpm.stat,4,6),_xlfn.LET(_xlpm.psy,$AL14,_xlpm.hv,$AF14*_xlpm.stat,_xlpm.dmg,-($H$3="Yes"),_xlpm.am,$AR14,_xlpm.tm,$AH$3,_xlpm.mods,IF(_xlpm.psy,MAX(0,_xlpm.hv)+MAX(0,_xlpm.am)+MAX(0,_xlpm.tm),_xlpm.hv+_xlpm.dmg+_xlpm.am+_xlpm.tm),_xlpm.cov,AND(OR($F$3="Yes",$AA$3),NOT($AK14),NOT(_xlpm.psy)),_xlpm.bs,MIN(6,MAX(2,$D14+IF(_xlpm.psy,MIN(0,$BA14),$BA14+_xlpm.cov))),MEDIAN(2,6,_xlpm.bs-MAX(-1,MIN(1,_xlpm.mods))))))))</f>
        <v/>
      </c>
      <c r="AO14" s="29" t="str">
        <f t="shared" si="2"/>
        <v/>
      </c>
      <c r="AP14" s="29" t="str">
        <f t="shared" si="3"/>
        <v/>
      </c>
      <c r="AQ14" s="30" t="str">
        <f>IF(OR($B14="",N($J$6)&lt;=0),"",ROUNDUP($J$6/MIN($U14,$J$6),0)/(($Z$3-1)/6))</f>
        <v/>
      </c>
      <c r="AR14" s="30" t="str" cm="1">
        <f t="array" ref="AR14">IF($B14="","",KWSUM(($H14&amp;", "&amp;$AB$3),"Hit Modifier"))</f>
        <v/>
      </c>
      <c r="AS14" s="30" t="str" cm="1">
        <f t="array" ref="AS14">IF($B14="","",KWSUM(($H14&amp;", "&amp;$AB$3),"Wound Modifier"))</f>
        <v/>
      </c>
      <c r="AT14" s="30" t="str" cm="1">
        <f t="array" ref="AT14">IF($B14="","",KWSUM(($H14&amp;", "&amp;$AB$3),"AP Modifier"))</f>
        <v/>
      </c>
      <c r="AU14" s="30" t="str" cm="1">
        <f t="array" ref="AU14">IF($B14="","",KWSUM(($H14&amp;", "&amp;$AB$3),"Damage Modifier"))</f>
        <v/>
      </c>
      <c r="AV14" s="30" t="str" cm="1">
        <f t="array" ref="AV14">IF($B14="","",_xlfn.LET(_xlpm.src,$H14&amp;", "&amp;$AB$3,IF(KW(_xlpm.src,"Snap Shooting")=TRUE,0,_xlfn.LET(_xlpm.full,ISNUMBER(_xlfn.XMATCH("Reroll Hits",TRIM(_xlfn.TEXTSPLIT(_xlpm.src,",")))),_xlpm.r,KW(_xlpm.src,"Reroll Hits"),IF(_xlpm.full,2,IF(N(_xlpm.r)&gt;=1,1,0))))))</f>
        <v/>
      </c>
      <c r="AW14" s="30" t="str" cm="1">
        <f t="array" ref="AW14">IF($B14="","",_xlfn.LET(_xlpm.src,$H14&amp;", "&amp;$AB$3,_xlpm.full,OR($AD14,ISNUMBER(_xlfn.XMATCH("Reroll Wounds",TRIM(_xlfn.TEXTSPLIT(_xlpm.src,","))))),_xlpm.r,KW(_xlpm.src,"Reroll Wounds"),IF(_xlpm.full,2,IF(N(_xlpm.r)&gt;=1,1,0))))</f>
        <v/>
      </c>
      <c r="AX14" s="30" t="str">
        <f t="shared" si="4"/>
        <v/>
      </c>
      <c r="AY14" s="30" t="str" cm="1">
        <f t="array" ref="AY14">IF($B14="","",KWSUM($H14&amp;", "&amp;$AB$3,"Attacks Modifier"))</f>
        <v/>
      </c>
      <c r="AZ14" s="30" t="str" cm="1">
        <f t="array" ref="AZ14">IF($B14="","",KWSUM($H14&amp;", "&amp;$AB$3,"Strength Modifier"))</f>
        <v/>
      </c>
      <c r="BA14" s="30" t="str" cm="1">
        <f t="array" ref="BA14">IF($B14="","",KWSUM($H14&amp;", "&amp;$AB$3,"BS Modifier"))</f>
        <v/>
      </c>
      <c r="BB14" s="30" t="str" cm="1">
        <f t="array" ref="BB14">IF($B14="","",_xlfn.LET(_xlpm.src,$H14&amp;", "&amp;$AB$3,_xlpm.c,KWMIN(_xlpm.src,"Critical Hits"),IF(KW(_xlpm.src,"Snap Shooting")=TRUE,6,IF(ISNUMBER(_xlpm.c),MEDIAN(2,6,_xlpm.c),6))))</f>
        <v/>
      </c>
      <c r="BC14" s="30" t="str" cm="1">
        <f t="array" ref="BC14">IF($B14="","",KWSUM($H14&amp;", "&amp;$AB$3,"Save Modifier"))</f>
        <v/>
      </c>
    </row>
    <row r="15" spans="1:63" x14ac:dyDescent="0.3">
      <c r="A15" s="64" t="b">
        <v>1</v>
      </c>
      <c r="B15" s="55"/>
      <c r="C15" s="38"/>
      <c r="D15" s="38"/>
      <c r="E15" s="38"/>
      <c r="F15" s="38"/>
      <c r="G15" s="38"/>
      <c r="H15" s="1"/>
      <c r="I15" s="9"/>
      <c r="J15" s="34"/>
      <c r="K15" s="34"/>
      <c r="L15" s="34"/>
      <c r="M15" s="34"/>
      <c r="N15" s="11"/>
      <c r="O15" s="37" t="str">
        <f t="shared" si="0"/>
        <v/>
      </c>
      <c r="P15" s="37" t="str">
        <f t="shared" si="1"/>
        <v/>
      </c>
      <c r="Q15" s="37" t="str">
        <f>IF(OR($B15="",NOT($A15)),"",IF(AND($AA15,NOT($Z15)),$O15*$AX15,0))</f>
        <v/>
      </c>
      <c r="R15" s="37" t="str">
        <f>IF(OR($B15="",NOT($A15)),"",_xlfn.LET(_xlpm.n,$P15-$Q15,_xlpm.pW,(7-$AO15)/6,_xlpm.pC,(7-$AM15)/6,_xlpm.pT,MAX(_xlpm.pW,_xlpm.pC),_xlpm.rr,$AW15,_xlpm.n*IF(_xlpm.rr=2,1-(1-_xlpm.pT)^2,IF(_xlpm.rr=1,_xlpm.pT+_xlpm.pT/6,_xlpm.pT))+$Q15))</f>
        <v/>
      </c>
      <c r="S15" s="37" t="str">
        <f>IF(OR($B15="",NOT($A15)),"",IF($AC15,_xlfn.LET(_xlpm.n,$P15-$Q15,_xlpm.pW,(7-$AO15)/6,_xlpm.pC,(7-$AM15)/6,_xlpm.pT,MAX(_xlpm.pW,_xlpm.pC),_xlpm.rr,$AW15,_xlpm.n*IF(_xlpm.rr=2,_xlpm.pC+(1-_xlpm.pT)*_xlpm.pC,IF(_xlpm.rr=1,_xlpm.pC+_xlpm.pC/6,_xlpm.pC))),0))</f>
        <v/>
      </c>
      <c r="T15" s="37" t="str">
        <f>IF(OR($B15="",NOT($A15)),"",($R15-$S15)*($AP15-1)/6)</f>
        <v/>
      </c>
      <c r="U15" s="37" t="str">
        <f>IF(OR($B15="",NOT($A15)),"",MAX(1,IF(LEFT($G15,1)="D",(VALUE(MID($G15,2,99))+1)/2,$G15)+$AJ15*($D$3="Yes")+$AU15+$AG$3))</f>
        <v/>
      </c>
      <c r="V15" s="37" t="str">
        <f>IF(OR($B15="",NOT($A15)),"",($T15+$S15)*IF(N($J$6)&gt;0,MIN($U15,$J$6),$U15)*($Z$3-1)/6)</f>
        <v/>
      </c>
      <c r="W15" s="37" t="str">
        <f>IF(OR($B15="",NOT($A15),$AQ15=""),"",MIN($G$3,($T15+$S15)/$AQ15))</f>
        <v/>
      </c>
      <c r="X15" s="56" t="str">
        <f>IF(OR($B15="",NOT($A15)),"",TEXT($V15,"0.00")&amp;" dmg"&amp;IF($W15="","",", "&amp;TEXT($W15,"0.00")&amp;" kills"))</f>
        <v/>
      </c>
      <c r="Z15" s="28" t="str" cm="1">
        <f t="array" ref="Z15">IF($B15="","",KW(($H15&amp;", "&amp;$AB$3),"Torrent")=TRUE)</f>
        <v/>
      </c>
      <c r="AA15" s="28" t="str" cm="1">
        <f t="array" ref="AA15">IF($B15="","",KW(($H15&amp;", "&amp;$AB$3),"Lethal Hits")=TRUE)</f>
        <v/>
      </c>
      <c r="AB15" s="28" t="str" cm="1">
        <f t="array" ref="AB15">IF($B15="","",N(KW(($H15&amp;", "&amp;$AB$3),"Sustained Hits")))</f>
        <v/>
      </c>
      <c r="AC15" s="28" t="str" cm="1">
        <f t="array" ref="AC15">IF($B15="","",KW(($H15&amp;", "&amp;$AB$3),"Devastating Wounds")=TRUE)</f>
        <v/>
      </c>
      <c r="AD15" s="28" t="str" cm="1">
        <f t="array" ref="AD15">IF($B15="","",KW(($H15&amp;", "&amp;$AB$3),"Twin-Linked")=TRUE)</f>
        <v/>
      </c>
      <c r="AE15" s="28" t="str" cm="1">
        <f t="array" ref="AE15">IF($B15="","",KW(($H15&amp;", "&amp;$AB$3),"Lance")=TRUE)</f>
        <v/>
      </c>
      <c r="AF15" s="28" t="str" cm="1">
        <f t="array" ref="AF15">IF($B15="","",KW(($H15&amp;", "&amp;$AB$3),"Heavy")=TRUE)</f>
        <v/>
      </c>
      <c r="AG15" s="28" t="str" cm="1">
        <f t="array" ref="AG15">IF($B15="","",N(KW(($H15&amp;", "&amp;$AB$3),"Rapid Fire")))</f>
        <v/>
      </c>
      <c r="AH15" s="28" t="str" cm="1">
        <f t="array" ref="AH15">IF($B15="","",N(KW(($H15&amp;", "&amp;$AB$3),"Blast")))</f>
        <v/>
      </c>
      <c r="AI15" s="28" t="str" cm="1">
        <f t="array" ref="AI15">IF($B15="","",N(KW(($H15&amp;", "&amp;$AB$3),"Cleave")))</f>
        <v/>
      </c>
      <c r="AJ15" s="28" t="str" cm="1">
        <f t="array" ref="AJ15">IF($B15="","",N(KW(($H15&amp;", "&amp;$AB$3),"Melta")))</f>
        <v/>
      </c>
      <c r="AK15" s="28" t="str" cm="1">
        <f t="array" ref="AK15">IF($B15="","",KW(($H15&amp;", "&amp;$AB$3),"Ignores Cover")=TRUE)</f>
        <v/>
      </c>
      <c r="AL15" s="28" t="str" cm="1">
        <f t="array" ref="AL15">IF($B15="","",KW(($H15&amp;", "&amp;$AB$3),"Psychic")=TRUE)</f>
        <v/>
      </c>
      <c r="AM15" s="29" t="str" cm="1">
        <f t="array" ref="AM15">IF($B15="","",_xlfn.LET(_xlpm.src,$H15&amp;", "&amp;$AB$3,_xlpm.a,KWANTI(_xlpm.src,($N$6&amp;", "&amp;$AC$3)),_xlpm.c,KWMIN(_xlpm.src,"Critical Wounds"),MIN(_xlpm.a,IF(ISNUMBER(_xlpm.c),MEDIAN(2,6,_xlpm.c),6))))</f>
        <v/>
      </c>
      <c r="AN15" s="29" t="str" cm="1">
        <f t="array" ref="AN15">IF($B15="","",IF($Z15,0,_xlfn.LET(_xlpm.src,$H15&amp;", "&amp;$AB$3,_xlpm.stat,$E$3="Yes",IF(KW(_xlpm.src,"Snap Shooting")=TRUE,IF(_xlpm.stat,4,6),_xlfn.LET(_xlpm.psy,$AL15,_xlpm.hv,$AF15*_xlpm.stat,_xlpm.dmg,-($H$3="Yes"),_xlpm.am,$AR15,_xlpm.tm,$AH$3,_xlpm.mods,IF(_xlpm.psy,MAX(0,_xlpm.hv)+MAX(0,_xlpm.am)+MAX(0,_xlpm.tm),_xlpm.hv+_xlpm.dmg+_xlpm.am+_xlpm.tm),_xlpm.cov,AND(OR($F$3="Yes",$AA$3),NOT($AK15),NOT(_xlpm.psy)),_xlpm.bs,MIN(6,MAX(2,$D15+IF(_xlpm.psy,MIN(0,$BA15),$BA15+_xlpm.cov))),MEDIAN(2,6,_xlpm.bs-MAX(-1,MIN(1,_xlpm.mods))))))))</f>
        <v/>
      </c>
      <c r="AO15" s="29" t="str">
        <f t="shared" si="2"/>
        <v/>
      </c>
      <c r="AP15" s="29" t="str">
        <f t="shared" si="3"/>
        <v/>
      </c>
      <c r="AQ15" s="30" t="str">
        <f>IF(OR($B15="",N($J$6)&lt;=0),"",ROUNDUP($J$6/MIN($U15,$J$6),0)/(($Z$3-1)/6))</f>
        <v/>
      </c>
      <c r="AR15" s="30" t="str" cm="1">
        <f t="array" ref="AR15">IF($B15="","",KWSUM(($H15&amp;", "&amp;$AB$3),"Hit Modifier"))</f>
        <v/>
      </c>
      <c r="AS15" s="30" t="str" cm="1">
        <f t="array" ref="AS15">IF($B15="","",KWSUM(($H15&amp;", "&amp;$AB$3),"Wound Modifier"))</f>
        <v/>
      </c>
      <c r="AT15" s="30" t="str" cm="1">
        <f t="array" ref="AT15">IF($B15="","",KWSUM(($H15&amp;", "&amp;$AB$3),"AP Modifier"))</f>
        <v/>
      </c>
      <c r="AU15" s="30" t="str" cm="1">
        <f t="array" ref="AU15">IF($B15="","",KWSUM(($H15&amp;", "&amp;$AB$3),"Damage Modifier"))</f>
        <v/>
      </c>
      <c r="AV15" s="30" t="str" cm="1">
        <f t="array" ref="AV15">IF($B15="","",_xlfn.LET(_xlpm.src,$H15&amp;", "&amp;$AB$3,IF(KW(_xlpm.src,"Snap Shooting")=TRUE,0,_xlfn.LET(_xlpm.full,ISNUMBER(_xlfn.XMATCH("Reroll Hits",TRIM(_xlfn.TEXTSPLIT(_xlpm.src,",")))),_xlpm.r,KW(_xlpm.src,"Reroll Hits"),IF(_xlpm.full,2,IF(N(_xlpm.r)&gt;=1,1,0))))))</f>
        <v/>
      </c>
      <c r="AW15" s="30" t="str" cm="1">
        <f t="array" ref="AW15">IF($B15="","",_xlfn.LET(_xlpm.src,$H15&amp;", "&amp;$AB$3,_xlpm.full,OR($AD15,ISNUMBER(_xlfn.XMATCH("Reroll Wounds",TRIM(_xlfn.TEXTSPLIT(_xlpm.src,","))))),_xlpm.r,KW(_xlpm.src,"Reroll Wounds"),IF(_xlpm.full,2,IF(N(_xlpm.r)&gt;=1,1,0))))</f>
        <v/>
      </c>
      <c r="AX15" s="30" t="str">
        <f t="shared" si="4"/>
        <v/>
      </c>
      <c r="AY15" s="30" t="str" cm="1">
        <f t="array" ref="AY15">IF($B15="","",KWSUM($H15&amp;", "&amp;$AB$3,"Attacks Modifier"))</f>
        <v/>
      </c>
      <c r="AZ15" s="30" t="str" cm="1">
        <f t="array" ref="AZ15">IF($B15="","",KWSUM($H15&amp;", "&amp;$AB$3,"Strength Modifier"))</f>
        <v/>
      </c>
      <c r="BA15" s="30" t="str" cm="1">
        <f t="array" ref="BA15">IF($B15="","",KWSUM($H15&amp;", "&amp;$AB$3,"BS Modifier"))</f>
        <v/>
      </c>
      <c r="BB15" s="30" t="str" cm="1">
        <f t="array" ref="BB15">IF($B15="","",_xlfn.LET(_xlpm.src,$H15&amp;", "&amp;$AB$3,_xlpm.c,KWMIN(_xlpm.src,"Critical Hits"),IF(KW(_xlpm.src,"Snap Shooting")=TRUE,6,IF(ISNUMBER(_xlpm.c),MEDIAN(2,6,_xlpm.c),6))))</f>
        <v/>
      </c>
      <c r="BC15" s="30" t="str" cm="1">
        <f t="array" ref="BC15">IF($B15="","",KWSUM($H15&amp;", "&amp;$AB$3,"Save Modifier"))</f>
        <v/>
      </c>
    </row>
    <row r="16" spans="1:63" x14ac:dyDescent="0.3">
      <c r="A16" s="64" t="b">
        <v>1</v>
      </c>
      <c r="B16" s="55"/>
      <c r="C16" s="38"/>
      <c r="D16" s="38"/>
      <c r="E16" s="38"/>
      <c r="F16" s="38"/>
      <c r="G16" s="38"/>
      <c r="H16" s="1"/>
      <c r="I16" s="9"/>
      <c r="J16" s="34"/>
      <c r="K16" s="34"/>
      <c r="L16" s="34"/>
      <c r="M16" s="34"/>
      <c r="N16" s="11"/>
      <c r="O16" s="37" t="str">
        <f t="shared" si="0"/>
        <v/>
      </c>
      <c r="P16" s="37" t="str">
        <f t="shared" si="1"/>
        <v/>
      </c>
      <c r="Q16" s="37" t="str">
        <f>IF(OR($B16="",NOT($A16)),"",IF(AND($AA16,NOT($Z16)),$O16*$AX16,0))</f>
        <v/>
      </c>
      <c r="R16" s="37" t="str">
        <f>IF(OR($B16="",NOT($A16)),"",_xlfn.LET(_xlpm.n,$P16-$Q16,_xlpm.pW,(7-$AO16)/6,_xlpm.pC,(7-$AM16)/6,_xlpm.pT,MAX(_xlpm.pW,_xlpm.pC),_xlpm.rr,$AW16,_xlpm.n*IF(_xlpm.rr=2,1-(1-_xlpm.pT)^2,IF(_xlpm.rr=1,_xlpm.pT+_xlpm.pT/6,_xlpm.pT))+$Q16))</f>
        <v/>
      </c>
      <c r="S16" s="37" t="str">
        <f>IF(OR($B16="",NOT($A16)),"",IF($AC16,_xlfn.LET(_xlpm.n,$P16-$Q16,_xlpm.pW,(7-$AO16)/6,_xlpm.pC,(7-$AM16)/6,_xlpm.pT,MAX(_xlpm.pW,_xlpm.pC),_xlpm.rr,$AW16,_xlpm.n*IF(_xlpm.rr=2,_xlpm.pC+(1-_xlpm.pT)*_xlpm.pC,IF(_xlpm.rr=1,_xlpm.pC+_xlpm.pC/6,_xlpm.pC))),0))</f>
        <v/>
      </c>
      <c r="T16" s="37" t="str">
        <f>IF(OR($B16="",NOT($A16)),"",($R16-$S16)*($AP16-1)/6)</f>
        <v/>
      </c>
      <c r="U16" s="37" t="str">
        <f>IF(OR($B16="",NOT($A16)),"",MAX(1,IF(LEFT($G16,1)="D",(VALUE(MID($G16,2,99))+1)/2,$G16)+$AJ16*($D$3="Yes")+$AU16+$AG$3))</f>
        <v/>
      </c>
      <c r="V16" s="37" t="str">
        <f>IF(OR($B16="",NOT($A16)),"",($T16+$S16)*IF(N($J$6)&gt;0,MIN($U16,$J$6),$U16)*($Z$3-1)/6)</f>
        <v/>
      </c>
      <c r="W16" s="37" t="str">
        <f>IF(OR($B16="",NOT($A16),$AQ16=""),"",MIN($G$3,($T16+$S16)/$AQ16))</f>
        <v/>
      </c>
      <c r="X16" s="56" t="str">
        <f>IF(OR($B16="",NOT($A16)),"",TEXT($V16,"0.00")&amp;" dmg"&amp;IF($W16="","",", "&amp;TEXT($W16,"0.00")&amp;" kills"))</f>
        <v/>
      </c>
      <c r="Z16" s="28" t="str" cm="1">
        <f t="array" ref="Z16">IF($B16="","",KW(($H16&amp;", "&amp;$AB$3),"Torrent")=TRUE)</f>
        <v/>
      </c>
      <c r="AA16" s="28" t="str" cm="1">
        <f t="array" ref="AA16">IF($B16="","",KW(($H16&amp;", "&amp;$AB$3),"Lethal Hits")=TRUE)</f>
        <v/>
      </c>
      <c r="AB16" s="28" t="str" cm="1">
        <f t="array" ref="AB16">IF($B16="","",N(KW(($H16&amp;", "&amp;$AB$3),"Sustained Hits")))</f>
        <v/>
      </c>
      <c r="AC16" s="28" t="str" cm="1">
        <f t="array" ref="AC16">IF($B16="","",KW(($H16&amp;", "&amp;$AB$3),"Devastating Wounds")=TRUE)</f>
        <v/>
      </c>
      <c r="AD16" s="28" t="str" cm="1">
        <f t="array" ref="AD16">IF($B16="","",KW(($H16&amp;", "&amp;$AB$3),"Twin-Linked")=TRUE)</f>
        <v/>
      </c>
      <c r="AE16" s="28" t="str" cm="1">
        <f t="array" ref="AE16">IF($B16="","",KW(($H16&amp;", "&amp;$AB$3),"Lance")=TRUE)</f>
        <v/>
      </c>
      <c r="AF16" s="28" t="str" cm="1">
        <f t="array" ref="AF16">IF($B16="","",KW(($H16&amp;", "&amp;$AB$3),"Heavy")=TRUE)</f>
        <v/>
      </c>
      <c r="AG16" s="28" t="str" cm="1">
        <f t="array" ref="AG16">IF($B16="","",N(KW(($H16&amp;", "&amp;$AB$3),"Rapid Fire")))</f>
        <v/>
      </c>
      <c r="AH16" s="28" t="str" cm="1">
        <f t="array" ref="AH16">IF($B16="","",N(KW(($H16&amp;", "&amp;$AB$3),"Blast")))</f>
        <v/>
      </c>
      <c r="AI16" s="28" t="str" cm="1">
        <f t="array" ref="AI16">IF($B16="","",N(KW(($H16&amp;", "&amp;$AB$3),"Cleave")))</f>
        <v/>
      </c>
      <c r="AJ16" s="28" t="str" cm="1">
        <f t="array" ref="AJ16">IF($B16="","",N(KW(($H16&amp;", "&amp;$AB$3),"Melta")))</f>
        <v/>
      </c>
      <c r="AK16" s="28" t="str" cm="1">
        <f t="array" ref="AK16">IF($B16="","",KW(($H16&amp;", "&amp;$AB$3),"Ignores Cover")=TRUE)</f>
        <v/>
      </c>
      <c r="AL16" s="28" t="str" cm="1">
        <f t="array" ref="AL16">IF($B16="","",KW(($H16&amp;", "&amp;$AB$3),"Psychic")=TRUE)</f>
        <v/>
      </c>
      <c r="AM16" s="29" t="str" cm="1">
        <f t="array" ref="AM16">IF($B16="","",_xlfn.LET(_xlpm.src,$H16&amp;", "&amp;$AB$3,_xlpm.a,KWANTI(_xlpm.src,($N$6&amp;", "&amp;$AC$3)),_xlpm.c,KWMIN(_xlpm.src,"Critical Wounds"),MIN(_xlpm.a,IF(ISNUMBER(_xlpm.c),MEDIAN(2,6,_xlpm.c),6))))</f>
        <v/>
      </c>
      <c r="AN16" s="29" t="str" cm="1">
        <f t="array" ref="AN16">IF($B16="","",IF($Z16,0,_xlfn.LET(_xlpm.src,$H16&amp;", "&amp;$AB$3,_xlpm.stat,$E$3="Yes",IF(KW(_xlpm.src,"Snap Shooting")=TRUE,IF(_xlpm.stat,4,6),_xlfn.LET(_xlpm.psy,$AL16,_xlpm.hv,$AF16*_xlpm.stat,_xlpm.dmg,-($H$3="Yes"),_xlpm.am,$AR16,_xlpm.tm,$AH$3,_xlpm.mods,IF(_xlpm.psy,MAX(0,_xlpm.hv)+MAX(0,_xlpm.am)+MAX(0,_xlpm.tm),_xlpm.hv+_xlpm.dmg+_xlpm.am+_xlpm.tm),_xlpm.cov,AND(OR($F$3="Yes",$AA$3),NOT($AK16),NOT(_xlpm.psy)),_xlpm.bs,MIN(6,MAX(2,$D16+IF(_xlpm.psy,MIN(0,$BA16),$BA16+_xlpm.cov))),MEDIAN(2,6,_xlpm.bs-MAX(-1,MIN(1,_xlpm.mods))))))))</f>
        <v/>
      </c>
      <c r="AO16" s="29" t="str">
        <f t="shared" si="2"/>
        <v/>
      </c>
      <c r="AP16" s="29" t="str">
        <f t="shared" si="3"/>
        <v/>
      </c>
      <c r="AQ16" s="30" t="str">
        <f>IF(OR($B16="",N($J$6)&lt;=0),"",ROUNDUP($J$6/MIN($U16,$J$6),0)/(($Z$3-1)/6))</f>
        <v/>
      </c>
      <c r="AR16" s="30" t="str" cm="1">
        <f t="array" ref="AR16">IF($B16="","",KWSUM(($H16&amp;", "&amp;$AB$3),"Hit Modifier"))</f>
        <v/>
      </c>
      <c r="AS16" s="30" t="str" cm="1">
        <f t="array" ref="AS16">IF($B16="","",KWSUM(($H16&amp;", "&amp;$AB$3),"Wound Modifier"))</f>
        <v/>
      </c>
      <c r="AT16" s="30" t="str" cm="1">
        <f t="array" ref="AT16">IF($B16="","",KWSUM(($H16&amp;", "&amp;$AB$3),"AP Modifier"))</f>
        <v/>
      </c>
      <c r="AU16" s="30" t="str" cm="1">
        <f t="array" ref="AU16">IF($B16="","",KWSUM(($H16&amp;", "&amp;$AB$3),"Damage Modifier"))</f>
        <v/>
      </c>
      <c r="AV16" s="30" t="str" cm="1">
        <f t="array" ref="AV16">IF($B16="","",_xlfn.LET(_xlpm.src,$H16&amp;", "&amp;$AB$3,IF(KW(_xlpm.src,"Snap Shooting")=TRUE,0,_xlfn.LET(_xlpm.full,ISNUMBER(_xlfn.XMATCH("Reroll Hits",TRIM(_xlfn.TEXTSPLIT(_xlpm.src,",")))),_xlpm.r,KW(_xlpm.src,"Reroll Hits"),IF(_xlpm.full,2,IF(N(_xlpm.r)&gt;=1,1,0))))))</f>
        <v/>
      </c>
      <c r="AW16" s="30" t="str" cm="1">
        <f t="array" ref="AW16">IF($B16="","",_xlfn.LET(_xlpm.src,$H16&amp;", "&amp;$AB$3,_xlpm.full,OR($AD16,ISNUMBER(_xlfn.XMATCH("Reroll Wounds",TRIM(_xlfn.TEXTSPLIT(_xlpm.src,","))))),_xlpm.r,KW(_xlpm.src,"Reroll Wounds"),IF(_xlpm.full,2,IF(N(_xlpm.r)&gt;=1,1,0))))</f>
        <v/>
      </c>
      <c r="AX16" s="30" t="str">
        <f t="shared" si="4"/>
        <v/>
      </c>
      <c r="AY16" s="30" t="str" cm="1">
        <f t="array" ref="AY16">IF($B16="","",KWSUM($H16&amp;", "&amp;$AB$3,"Attacks Modifier"))</f>
        <v/>
      </c>
      <c r="AZ16" s="30" t="str" cm="1">
        <f t="array" ref="AZ16">IF($B16="","",KWSUM($H16&amp;", "&amp;$AB$3,"Strength Modifier"))</f>
        <v/>
      </c>
      <c r="BA16" s="30" t="str" cm="1">
        <f t="array" ref="BA16">IF($B16="","",KWSUM($H16&amp;", "&amp;$AB$3,"BS Modifier"))</f>
        <v/>
      </c>
      <c r="BB16" s="30" t="str" cm="1">
        <f t="array" ref="BB16">IF($B16="","",_xlfn.LET(_xlpm.src,$H16&amp;", "&amp;$AB$3,_xlpm.c,KWMIN(_xlpm.src,"Critical Hits"),IF(KW(_xlpm.src,"Snap Shooting")=TRUE,6,IF(ISNUMBER(_xlpm.c),MEDIAN(2,6,_xlpm.c),6))))</f>
        <v/>
      </c>
      <c r="BC16" s="30" t="str" cm="1">
        <f t="array" ref="BC16">IF($B16="","",KWSUM($H16&amp;", "&amp;$AB$3,"Save Modifier"))</f>
        <v/>
      </c>
    </row>
    <row r="17" spans="1:55" x14ac:dyDescent="0.3">
      <c r="A17" s="64" t="b">
        <v>1</v>
      </c>
      <c r="B17" s="55"/>
      <c r="C17" s="38"/>
      <c r="D17" s="38"/>
      <c r="E17" s="38"/>
      <c r="F17" s="38"/>
      <c r="G17" s="38"/>
      <c r="H17" s="1"/>
      <c r="I17" s="9"/>
      <c r="J17" s="34"/>
      <c r="K17" s="34"/>
      <c r="L17" s="34"/>
      <c r="M17" s="34"/>
      <c r="N17" s="11"/>
      <c r="O17" s="37" t="str">
        <f t="shared" si="0"/>
        <v/>
      </c>
      <c r="P17" s="37" t="str">
        <f t="shared" si="1"/>
        <v/>
      </c>
      <c r="Q17" s="37" t="str">
        <f>IF(OR($B17="",NOT($A17)),"",IF(AND($AA17,NOT($Z17)),$O17*$AX17,0))</f>
        <v/>
      </c>
      <c r="R17" s="37" t="str">
        <f>IF(OR($B17="",NOT($A17)),"",_xlfn.LET(_xlpm.n,$P17-$Q17,_xlpm.pW,(7-$AO17)/6,_xlpm.pC,(7-$AM17)/6,_xlpm.pT,MAX(_xlpm.pW,_xlpm.pC),_xlpm.rr,$AW17,_xlpm.n*IF(_xlpm.rr=2,1-(1-_xlpm.pT)^2,IF(_xlpm.rr=1,_xlpm.pT+_xlpm.pT/6,_xlpm.pT))+$Q17))</f>
        <v/>
      </c>
      <c r="S17" s="37" t="str">
        <f>IF(OR($B17="",NOT($A17)),"",IF($AC17,_xlfn.LET(_xlpm.n,$P17-$Q17,_xlpm.pW,(7-$AO17)/6,_xlpm.pC,(7-$AM17)/6,_xlpm.pT,MAX(_xlpm.pW,_xlpm.pC),_xlpm.rr,$AW17,_xlpm.n*IF(_xlpm.rr=2,_xlpm.pC+(1-_xlpm.pT)*_xlpm.pC,IF(_xlpm.rr=1,_xlpm.pC+_xlpm.pC/6,_xlpm.pC))),0))</f>
        <v/>
      </c>
      <c r="T17" s="37" t="str">
        <f>IF(OR($B17="",NOT($A17)),"",($R17-$S17)*($AP17-1)/6)</f>
        <v/>
      </c>
      <c r="U17" s="37" t="str">
        <f>IF(OR($B17="",NOT($A17)),"",MAX(1,IF(LEFT($G17,1)="D",(VALUE(MID($G17,2,99))+1)/2,$G17)+$AJ17*($D$3="Yes")+$AU17+$AG$3))</f>
        <v/>
      </c>
      <c r="V17" s="37" t="str">
        <f>IF(OR($B17="",NOT($A17)),"",($T17+$S17)*IF(N($J$6)&gt;0,MIN($U17,$J$6),$U17)*($Z$3-1)/6)</f>
        <v/>
      </c>
      <c r="W17" s="37" t="str">
        <f>IF(OR($B17="",NOT($A17),$AQ17=""),"",MIN($G$3,($T17+$S17)/$AQ17))</f>
        <v/>
      </c>
      <c r="X17" s="56" t="str">
        <f>IF(OR($B17="",NOT($A17)),"",TEXT($V17,"0.00")&amp;" dmg"&amp;IF($W17="","",", "&amp;TEXT($W17,"0.00")&amp;" kills"))</f>
        <v/>
      </c>
      <c r="Z17" s="28" t="str" cm="1">
        <f t="array" ref="Z17">IF($B17="","",KW(($H17&amp;", "&amp;$AB$3),"Torrent")=TRUE)</f>
        <v/>
      </c>
      <c r="AA17" s="28" t="str" cm="1">
        <f t="array" ref="AA17">IF($B17="","",KW(($H17&amp;", "&amp;$AB$3),"Lethal Hits")=TRUE)</f>
        <v/>
      </c>
      <c r="AB17" s="28" t="str" cm="1">
        <f t="array" ref="AB17">IF($B17="","",N(KW(($H17&amp;", "&amp;$AB$3),"Sustained Hits")))</f>
        <v/>
      </c>
      <c r="AC17" s="28" t="str" cm="1">
        <f t="array" ref="AC17">IF($B17="","",KW(($H17&amp;", "&amp;$AB$3),"Devastating Wounds")=TRUE)</f>
        <v/>
      </c>
      <c r="AD17" s="28" t="str" cm="1">
        <f t="array" ref="AD17">IF($B17="","",KW(($H17&amp;", "&amp;$AB$3),"Twin-Linked")=TRUE)</f>
        <v/>
      </c>
      <c r="AE17" s="28" t="str" cm="1">
        <f t="array" ref="AE17">IF($B17="","",KW(($H17&amp;", "&amp;$AB$3),"Lance")=TRUE)</f>
        <v/>
      </c>
      <c r="AF17" s="28" t="str" cm="1">
        <f t="array" ref="AF17">IF($B17="","",KW(($H17&amp;", "&amp;$AB$3),"Heavy")=TRUE)</f>
        <v/>
      </c>
      <c r="AG17" s="28" t="str" cm="1">
        <f t="array" ref="AG17">IF($B17="","",N(KW(($H17&amp;", "&amp;$AB$3),"Rapid Fire")))</f>
        <v/>
      </c>
      <c r="AH17" s="28" t="str" cm="1">
        <f t="array" ref="AH17">IF($B17="","",N(KW(($H17&amp;", "&amp;$AB$3),"Blast")))</f>
        <v/>
      </c>
      <c r="AI17" s="28" t="str" cm="1">
        <f t="array" ref="AI17">IF($B17="","",N(KW(($H17&amp;", "&amp;$AB$3),"Cleave")))</f>
        <v/>
      </c>
      <c r="AJ17" s="28" t="str" cm="1">
        <f t="array" ref="AJ17">IF($B17="","",N(KW(($H17&amp;", "&amp;$AB$3),"Melta")))</f>
        <v/>
      </c>
      <c r="AK17" s="28" t="str" cm="1">
        <f t="array" ref="AK17">IF($B17="","",KW(($H17&amp;", "&amp;$AB$3),"Ignores Cover")=TRUE)</f>
        <v/>
      </c>
      <c r="AL17" s="28" t="str" cm="1">
        <f t="array" ref="AL17">IF($B17="","",KW(($H17&amp;", "&amp;$AB$3),"Psychic")=TRUE)</f>
        <v/>
      </c>
      <c r="AM17" s="29" t="str" cm="1">
        <f t="array" ref="AM17">IF($B17="","",_xlfn.LET(_xlpm.src,$H17&amp;", "&amp;$AB$3,_xlpm.a,KWANTI(_xlpm.src,($N$6&amp;", "&amp;$AC$3)),_xlpm.c,KWMIN(_xlpm.src,"Critical Wounds"),MIN(_xlpm.a,IF(ISNUMBER(_xlpm.c),MEDIAN(2,6,_xlpm.c),6))))</f>
        <v/>
      </c>
      <c r="AN17" s="29" t="str" cm="1">
        <f t="array" ref="AN17">IF($B17="","",IF($Z17,0,_xlfn.LET(_xlpm.src,$H17&amp;", "&amp;$AB$3,_xlpm.stat,$E$3="Yes",IF(KW(_xlpm.src,"Snap Shooting")=TRUE,IF(_xlpm.stat,4,6),_xlfn.LET(_xlpm.psy,$AL17,_xlpm.hv,$AF17*_xlpm.stat,_xlpm.dmg,-($H$3="Yes"),_xlpm.am,$AR17,_xlpm.tm,$AH$3,_xlpm.mods,IF(_xlpm.psy,MAX(0,_xlpm.hv)+MAX(0,_xlpm.am)+MAX(0,_xlpm.tm),_xlpm.hv+_xlpm.dmg+_xlpm.am+_xlpm.tm),_xlpm.cov,AND(OR($F$3="Yes",$AA$3),NOT($AK17),NOT(_xlpm.psy)),_xlpm.bs,MIN(6,MAX(2,$D17+IF(_xlpm.psy,MIN(0,$BA17),$BA17+_xlpm.cov))),MEDIAN(2,6,_xlpm.bs-MAX(-1,MIN(1,_xlpm.mods))))))))</f>
        <v/>
      </c>
      <c r="AO17" s="29" t="str">
        <f t="shared" si="2"/>
        <v/>
      </c>
      <c r="AP17" s="29" t="str">
        <f t="shared" si="3"/>
        <v/>
      </c>
      <c r="AQ17" s="30" t="str">
        <f>IF(OR($B17="",N($J$6)&lt;=0),"",ROUNDUP($J$6/MIN($U17,$J$6),0)/(($Z$3-1)/6))</f>
        <v/>
      </c>
      <c r="AR17" s="30" t="str" cm="1">
        <f t="array" ref="AR17">IF($B17="","",KWSUM(($H17&amp;", "&amp;$AB$3),"Hit Modifier"))</f>
        <v/>
      </c>
      <c r="AS17" s="30" t="str" cm="1">
        <f t="array" ref="AS17">IF($B17="","",KWSUM(($H17&amp;", "&amp;$AB$3),"Wound Modifier"))</f>
        <v/>
      </c>
      <c r="AT17" s="30" t="str" cm="1">
        <f t="array" ref="AT17">IF($B17="","",KWSUM(($H17&amp;", "&amp;$AB$3),"AP Modifier"))</f>
        <v/>
      </c>
      <c r="AU17" s="30" t="str" cm="1">
        <f t="array" ref="AU17">IF($B17="","",KWSUM(($H17&amp;", "&amp;$AB$3),"Damage Modifier"))</f>
        <v/>
      </c>
      <c r="AV17" s="30" t="str" cm="1">
        <f t="array" ref="AV17">IF($B17="","",_xlfn.LET(_xlpm.src,$H17&amp;", "&amp;$AB$3,IF(KW(_xlpm.src,"Snap Shooting")=TRUE,0,_xlfn.LET(_xlpm.full,ISNUMBER(_xlfn.XMATCH("Reroll Hits",TRIM(_xlfn.TEXTSPLIT(_xlpm.src,",")))),_xlpm.r,KW(_xlpm.src,"Reroll Hits"),IF(_xlpm.full,2,IF(N(_xlpm.r)&gt;=1,1,0))))))</f>
        <v/>
      </c>
      <c r="AW17" s="30" t="str" cm="1">
        <f t="array" ref="AW17">IF($B17="","",_xlfn.LET(_xlpm.src,$H17&amp;", "&amp;$AB$3,_xlpm.full,OR($AD17,ISNUMBER(_xlfn.XMATCH("Reroll Wounds",TRIM(_xlfn.TEXTSPLIT(_xlpm.src,","))))),_xlpm.r,KW(_xlpm.src,"Reroll Wounds"),IF(_xlpm.full,2,IF(N(_xlpm.r)&gt;=1,1,0))))</f>
        <v/>
      </c>
      <c r="AX17" s="30" t="str">
        <f t="shared" si="4"/>
        <v/>
      </c>
      <c r="AY17" s="30" t="str" cm="1">
        <f t="array" ref="AY17">IF($B17="","",KWSUM($H17&amp;", "&amp;$AB$3,"Attacks Modifier"))</f>
        <v/>
      </c>
      <c r="AZ17" s="30" t="str" cm="1">
        <f t="array" ref="AZ17">IF($B17="","",KWSUM($H17&amp;", "&amp;$AB$3,"Strength Modifier"))</f>
        <v/>
      </c>
      <c r="BA17" s="30" t="str" cm="1">
        <f t="array" ref="BA17">IF($B17="","",KWSUM($H17&amp;", "&amp;$AB$3,"BS Modifier"))</f>
        <v/>
      </c>
      <c r="BB17" s="30" t="str" cm="1">
        <f t="array" ref="BB17">IF($B17="","",_xlfn.LET(_xlpm.src,$H17&amp;", "&amp;$AB$3,_xlpm.c,KWMIN(_xlpm.src,"Critical Hits"),IF(KW(_xlpm.src,"Snap Shooting")=TRUE,6,IF(ISNUMBER(_xlpm.c),MEDIAN(2,6,_xlpm.c),6))))</f>
        <v/>
      </c>
      <c r="BC17" s="30" t="str" cm="1">
        <f t="array" ref="BC17">IF($B17="","",KWSUM($H17&amp;", "&amp;$AB$3,"Save Modifier"))</f>
        <v/>
      </c>
    </row>
    <row r="18" spans="1:55" x14ac:dyDescent="0.3">
      <c r="A18" s="64" t="b">
        <v>1</v>
      </c>
      <c r="B18" s="55"/>
      <c r="C18" s="38"/>
      <c r="D18" s="38"/>
      <c r="E18" s="38"/>
      <c r="F18" s="38"/>
      <c r="G18" s="38"/>
      <c r="H18" s="1"/>
      <c r="I18" s="9"/>
      <c r="J18" s="34"/>
      <c r="K18" s="34"/>
      <c r="L18" s="34"/>
      <c r="M18" s="34"/>
      <c r="N18" s="11"/>
      <c r="O18" s="37" t="str">
        <f t="shared" si="0"/>
        <v/>
      </c>
      <c r="P18" s="37" t="str">
        <f t="shared" si="1"/>
        <v/>
      </c>
      <c r="Q18" s="37" t="str">
        <f>IF(OR($B18="",NOT($A18)),"",IF(AND($AA18,NOT($Z18)),$O18*$AX18,0))</f>
        <v/>
      </c>
      <c r="R18" s="37" t="str">
        <f>IF(OR($B18="",NOT($A18)),"",_xlfn.LET(_xlpm.n,$P18-$Q18,_xlpm.pW,(7-$AO18)/6,_xlpm.pC,(7-$AM18)/6,_xlpm.pT,MAX(_xlpm.pW,_xlpm.pC),_xlpm.rr,$AW18,_xlpm.n*IF(_xlpm.rr=2,1-(1-_xlpm.pT)^2,IF(_xlpm.rr=1,_xlpm.pT+_xlpm.pT/6,_xlpm.pT))+$Q18))</f>
        <v/>
      </c>
      <c r="S18" s="37" t="str">
        <f>IF(OR($B18="",NOT($A18)),"",IF($AC18,_xlfn.LET(_xlpm.n,$P18-$Q18,_xlpm.pW,(7-$AO18)/6,_xlpm.pC,(7-$AM18)/6,_xlpm.pT,MAX(_xlpm.pW,_xlpm.pC),_xlpm.rr,$AW18,_xlpm.n*IF(_xlpm.rr=2,_xlpm.pC+(1-_xlpm.pT)*_xlpm.pC,IF(_xlpm.rr=1,_xlpm.pC+_xlpm.pC/6,_xlpm.pC))),0))</f>
        <v/>
      </c>
      <c r="T18" s="37" t="str">
        <f>IF(OR($B18="",NOT($A18)),"",($R18-$S18)*($AP18-1)/6)</f>
        <v/>
      </c>
      <c r="U18" s="37" t="str">
        <f>IF(OR($B18="",NOT($A18)),"",MAX(1,IF(LEFT($G18,1)="D",(VALUE(MID($G18,2,99))+1)/2,$G18)+$AJ18*($D$3="Yes")+$AU18+$AG$3))</f>
        <v/>
      </c>
      <c r="V18" s="37" t="str">
        <f>IF(OR($B18="",NOT($A18)),"",($T18+$S18)*IF(N($J$6)&gt;0,MIN($U18,$J$6),$U18)*($Z$3-1)/6)</f>
        <v/>
      </c>
      <c r="W18" s="37" t="str">
        <f>IF(OR($B18="",NOT($A18),$AQ18=""),"",MIN($G$3,($T18+$S18)/$AQ18))</f>
        <v/>
      </c>
      <c r="X18" s="56" t="str">
        <f>IF(OR($B18="",NOT($A18)),"",TEXT($V18,"0.00")&amp;" dmg"&amp;IF($W18="","",", "&amp;TEXT($W18,"0.00")&amp;" kills"))</f>
        <v/>
      </c>
      <c r="Z18" s="28" t="str" cm="1">
        <f t="array" ref="Z18">IF($B18="","",KW(($H18&amp;", "&amp;$AB$3),"Torrent")=TRUE)</f>
        <v/>
      </c>
      <c r="AA18" s="28" t="str" cm="1">
        <f t="array" ref="AA18">IF($B18="","",KW(($H18&amp;", "&amp;$AB$3),"Lethal Hits")=TRUE)</f>
        <v/>
      </c>
      <c r="AB18" s="28" t="str" cm="1">
        <f t="array" ref="AB18">IF($B18="","",N(KW(($H18&amp;", "&amp;$AB$3),"Sustained Hits")))</f>
        <v/>
      </c>
      <c r="AC18" s="28" t="str" cm="1">
        <f t="array" ref="AC18">IF($B18="","",KW(($H18&amp;", "&amp;$AB$3),"Devastating Wounds")=TRUE)</f>
        <v/>
      </c>
      <c r="AD18" s="28" t="str" cm="1">
        <f t="array" ref="AD18">IF($B18="","",KW(($H18&amp;", "&amp;$AB$3),"Twin-Linked")=TRUE)</f>
        <v/>
      </c>
      <c r="AE18" s="28" t="str" cm="1">
        <f t="array" ref="AE18">IF($B18="","",KW(($H18&amp;", "&amp;$AB$3),"Lance")=TRUE)</f>
        <v/>
      </c>
      <c r="AF18" s="28" t="str" cm="1">
        <f t="array" ref="AF18">IF($B18="","",KW(($H18&amp;", "&amp;$AB$3),"Heavy")=TRUE)</f>
        <v/>
      </c>
      <c r="AG18" s="28" t="str" cm="1">
        <f t="array" ref="AG18">IF($B18="","",N(KW(($H18&amp;", "&amp;$AB$3),"Rapid Fire")))</f>
        <v/>
      </c>
      <c r="AH18" s="28" t="str" cm="1">
        <f t="array" ref="AH18">IF($B18="","",N(KW(($H18&amp;", "&amp;$AB$3),"Blast")))</f>
        <v/>
      </c>
      <c r="AI18" s="28" t="str" cm="1">
        <f t="array" ref="AI18">IF($B18="","",N(KW(($H18&amp;", "&amp;$AB$3),"Cleave")))</f>
        <v/>
      </c>
      <c r="AJ18" s="28" t="str" cm="1">
        <f t="array" ref="AJ18">IF($B18="","",N(KW(($H18&amp;", "&amp;$AB$3),"Melta")))</f>
        <v/>
      </c>
      <c r="AK18" s="28" t="str" cm="1">
        <f t="array" ref="AK18">IF($B18="","",KW(($H18&amp;", "&amp;$AB$3),"Ignores Cover")=TRUE)</f>
        <v/>
      </c>
      <c r="AL18" s="28" t="str" cm="1">
        <f t="array" ref="AL18">IF($B18="","",KW(($H18&amp;", "&amp;$AB$3),"Psychic")=TRUE)</f>
        <v/>
      </c>
      <c r="AM18" s="29" t="str" cm="1">
        <f t="array" ref="AM18">IF($B18="","",_xlfn.LET(_xlpm.src,$H18&amp;", "&amp;$AB$3,_xlpm.a,KWANTI(_xlpm.src,($N$6&amp;", "&amp;$AC$3)),_xlpm.c,KWMIN(_xlpm.src,"Critical Wounds"),MIN(_xlpm.a,IF(ISNUMBER(_xlpm.c),MEDIAN(2,6,_xlpm.c),6))))</f>
        <v/>
      </c>
      <c r="AN18" s="29" t="str" cm="1">
        <f t="array" ref="AN18">IF($B18="","",IF($Z18,0,_xlfn.LET(_xlpm.src,$H18&amp;", "&amp;$AB$3,_xlpm.stat,$E$3="Yes",IF(KW(_xlpm.src,"Snap Shooting")=TRUE,IF(_xlpm.stat,4,6),_xlfn.LET(_xlpm.psy,$AL18,_xlpm.hv,$AF18*_xlpm.stat,_xlpm.dmg,-($H$3="Yes"),_xlpm.am,$AR18,_xlpm.tm,$AH$3,_xlpm.mods,IF(_xlpm.psy,MAX(0,_xlpm.hv)+MAX(0,_xlpm.am)+MAX(0,_xlpm.tm),_xlpm.hv+_xlpm.dmg+_xlpm.am+_xlpm.tm),_xlpm.cov,AND(OR($F$3="Yes",$AA$3),NOT($AK18),NOT(_xlpm.psy)),_xlpm.bs,MIN(6,MAX(2,$D18+IF(_xlpm.psy,MIN(0,$BA18),$BA18+_xlpm.cov))),MEDIAN(2,6,_xlpm.bs-MAX(-1,MIN(1,_xlpm.mods))))))))</f>
        <v/>
      </c>
      <c r="AO18" s="29" t="str">
        <f t="shared" si="2"/>
        <v/>
      </c>
      <c r="AP18" s="29" t="str">
        <f t="shared" si="3"/>
        <v/>
      </c>
      <c r="AQ18" s="30" t="str">
        <f>IF(OR($B18="",N($J$6)&lt;=0),"",ROUNDUP($J$6/MIN($U18,$J$6),0)/(($Z$3-1)/6))</f>
        <v/>
      </c>
      <c r="AR18" s="30" t="str" cm="1">
        <f t="array" ref="AR18">IF($B18="","",KWSUM(($H18&amp;", "&amp;$AB$3),"Hit Modifier"))</f>
        <v/>
      </c>
      <c r="AS18" s="30" t="str" cm="1">
        <f t="array" ref="AS18">IF($B18="","",KWSUM(($H18&amp;", "&amp;$AB$3),"Wound Modifier"))</f>
        <v/>
      </c>
      <c r="AT18" s="30" t="str" cm="1">
        <f t="array" ref="AT18">IF($B18="","",KWSUM(($H18&amp;", "&amp;$AB$3),"AP Modifier"))</f>
        <v/>
      </c>
      <c r="AU18" s="30" t="str" cm="1">
        <f t="array" ref="AU18">IF($B18="","",KWSUM(($H18&amp;", "&amp;$AB$3),"Damage Modifier"))</f>
        <v/>
      </c>
      <c r="AV18" s="30" t="str" cm="1">
        <f t="array" ref="AV18">IF($B18="","",_xlfn.LET(_xlpm.src,$H18&amp;", "&amp;$AB$3,IF(KW(_xlpm.src,"Snap Shooting")=TRUE,0,_xlfn.LET(_xlpm.full,ISNUMBER(_xlfn.XMATCH("Reroll Hits",TRIM(_xlfn.TEXTSPLIT(_xlpm.src,",")))),_xlpm.r,KW(_xlpm.src,"Reroll Hits"),IF(_xlpm.full,2,IF(N(_xlpm.r)&gt;=1,1,0))))))</f>
        <v/>
      </c>
      <c r="AW18" s="30" t="str" cm="1">
        <f t="array" ref="AW18">IF($B18="","",_xlfn.LET(_xlpm.src,$H18&amp;", "&amp;$AB$3,_xlpm.full,OR($AD18,ISNUMBER(_xlfn.XMATCH("Reroll Wounds",TRIM(_xlfn.TEXTSPLIT(_xlpm.src,","))))),_xlpm.r,KW(_xlpm.src,"Reroll Wounds"),IF(_xlpm.full,2,IF(N(_xlpm.r)&gt;=1,1,0))))</f>
        <v/>
      </c>
      <c r="AX18" s="30" t="str">
        <f t="shared" si="4"/>
        <v/>
      </c>
      <c r="AY18" s="30" t="str" cm="1">
        <f t="array" ref="AY18">IF($B18="","",KWSUM($H18&amp;", "&amp;$AB$3,"Attacks Modifier"))</f>
        <v/>
      </c>
      <c r="AZ18" s="30" t="str" cm="1">
        <f t="array" ref="AZ18">IF($B18="","",KWSUM($H18&amp;", "&amp;$AB$3,"Strength Modifier"))</f>
        <v/>
      </c>
      <c r="BA18" s="30" t="str" cm="1">
        <f t="array" ref="BA18">IF($B18="","",KWSUM($H18&amp;", "&amp;$AB$3,"BS Modifier"))</f>
        <v/>
      </c>
      <c r="BB18" s="30" t="str" cm="1">
        <f t="array" ref="BB18">IF($B18="","",_xlfn.LET(_xlpm.src,$H18&amp;", "&amp;$AB$3,_xlpm.c,KWMIN(_xlpm.src,"Critical Hits"),IF(KW(_xlpm.src,"Snap Shooting")=TRUE,6,IF(ISNUMBER(_xlpm.c),MEDIAN(2,6,_xlpm.c),6))))</f>
        <v/>
      </c>
      <c r="BC18" s="30" t="str" cm="1">
        <f t="array" ref="BC18">IF($B18="","",KWSUM($H18&amp;", "&amp;$AB$3,"Save Modifier"))</f>
        <v/>
      </c>
    </row>
    <row r="19" spans="1:55" x14ac:dyDescent="0.3">
      <c r="A19" s="64" t="b">
        <v>1</v>
      </c>
      <c r="B19" s="55"/>
      <c r="C19" s="38"/>
      <c r="D19" s="38"/>
      <c r="E19" s="38"/>
      <c r="F19" s="38"/>
      <c r="G19" s="38"/>
      <c r="H19" s="1"/>
      <c r="I19" s="9"/>
      <c r="J19" s="34"/>
      <c r="K19" s="34"/>
      <c r="L19" s="34"/>
      <c r="M19" s="34"/>
      <c r="N19" s="11"/>
      <c r="O19" s="37" t="str">
        <f t="shared" si="0"/>
        <v/>
      </c>
      <c r="P19" s="37" t="str">
        <f t="shared" si="1"/>
        <v/>
      </c>
      <c r="Q19" s="37" t="str">
        <f>IF(OR($B19="",NOT($A19)),"",IF(AND($AA19,NOT($Z19)),$O19*$AX19,0))</f>
        <v/>
      </c>
      <c r="R19" s="37" t="str">
        <f>IF(OR($B19="",NOT($A19)),"",_xlfn.LET(_xlpm.n,$P19-$Q19,_xlpm.pW,(7-$AO19)/6,_xlpm.pC,(7-$AM19)/6,_xlpm.pT,MAX(_xlpm.pW,_xlpm.pC),_xlpm.rr,$AW19,_xlpm.n*IF(_xlpm.rr=2,1-(1-_xlpm.pT)^2,IF(_xlpm.rr=1,_xlpm.pT+_xlpm.pT/6,_xlpm.pT))+$Q19))</f>
        <v/>
      </c>
      <c r="S19" s="37" t="str">
        <f>IF(OR($B19="",NOT($A19)),"",IF($AC19,_xlfn.LET(_xlpm.n,$P19-$Q19,_xlpm.pW,(7-$AO19)/6,_xlpm.pC,(7-$AM19)/6,_xlpm.pT,MAX(_xlpm.pW,_xlpm.pC),_xlpm.rr,$AW19,_xlpm.n*IF(_xlpm.rr=2,_xlpm.pC+(1-_xlpm.pT)*_xlpm.pC,IF(_xlpm.rr=1,_xlpm.pC+_xlpm.pC/6,_xlpm.pC))),0))</f>
        <v/>
      </c>
      <c r="T19" s="37" t="str">
        <f>IF(OR($B19="",NOT($A19)),"",($R19-$S19)*($AP19-1)/6)</f>
        <v/>
      </c>
      <c r="U19" s="37" t="str">
        <f>IF(OR($B19="",NOT($A19)),"",MAX(1,IF(LEFT($G19,1)="D",(VALUE(MID($G19,2,99))+1)/2,$G19)+$AJ19*($D$3="Yes")+$AU19+$AG$3))</f>
        <v/>
      </c>
      <c r="V19" s="37" t="str">
        <f>IF(OR($B19="",NOT($A19)),"",($T19+$S19)*IF(N($J$6)&gt;0,MIN($U19,$J$6),$U19)*($Z$3-1)/6)</f>
        <v/>
      </c>
      <c r="W19" s="37" t="str">
        <f>IF(OR($B19="",NOT($A19),$AQ19=""),"",MIN($G$3,($T19+$S19)/$AQ19))</f>
        <v/>
      </c>
      <c r="X19" s="56" t="str">
        <f>IF(OR($B19="",NOT($A19)),"",TEXT($V19,"0.00")&amp;" dmg"&amp;IF($W19="","",", "&amp;TEXT($W19,"0.00")&amp;" kills"))</f>
        <v/>
      </c>
      <c r="Z19" s="28" t="str" cm="1">
        <f t="array" ref="Z19">IF($B19="","",KW(($H19&amp;", "&amp;$AB$3),"Torrent")=TRUE)</f>
        <v/>
      </c>
      <c r="AA19" s="28" t="str" cm="1">
        <f t="array" ref="AA19">IF($B19="","",KW(($H19&amp;", "&amp;$AB$3),"Lethal Hits")=TRUE)</f>
        <v/>
      </c>
      <c r="AB19" s="28" t="str" cm="1">
        <f t="array" ref="AB19">IF($B19="","",N(KW(($H19&amp;", "&amp;$AB$3),"Sustained Hits")))</f>
        <v/>
      </c>
      <c r="AC19" s="28" t="str" cm="1">
        <f t="array" ref="AC19">IF($B19="","",KW(($H19&amp;", "&amp;$AB$3),"Devastating Wounds")=TRUE)</f>
        <v/>
      </c>
      <c r="AD19" s="28" t="str" cm="1">
        <f t="array" ref="AD19">IF($B19="","",KW(($H19&amp;", "&amp;$AB$3),"Twin-Linked")=TRUE)</f>
        <v/>
      </c>
      <c r="AE19" s="28" t="str" cm="1">
        <f t="array" ref="AE19">IF($B19="","",KW(($H19&amp;", "&amp;$AB$3),"Lance")=TRUE)</f>
        <v/>
      </c>
      <c r="AF19" s="28" t="str" cm="1">
        <f t="array" ref="AF19">IF($B19="","",KW(($H19&amp;", "&amp;$AB$3),"Heavy")=TRUE)</f>
        <v/>
      </c>
      <c r="AG19" s="28" t="str" cm="1">
        <f t="array" ref="AG19">IF($B19="","",N(KW(($H19&amp;", "&amp;$AB$3),"Rapid Fire")))</f>
        <v/>
      </c>
      <c r="AH19" s="28" t="str" cm="1">
        <f t="array" ref="AH19">IF($B19="","",N(KW(($H19&amp;", "&amp;$AB$3),"Blast")))</f>
        <v/>
      </c>
      <c r="AI19" s="28" t="str" cm="1">
        <f t="array" ref="AI19">IF($B19="","",N(KW(($H19&amp;", "&amp;$AB$3),"Cleave")))</f>
        <v/>
      </c>
      <c r="AJ19" s="28" t="str" cm="1">
        <f t="array" ref="AJ19">IF($B19="","",N(KW(($H19&amp;", "&amp;$AB$3),"Melta")))</f>
        <v/>
      </c>
      <c r="AK19" s="28" t="str" cm="1">
        <f t="array" ref="AK19">IF($B19="","",KW(($H19&amp;", "&amp;$AB$3),"Ignores Cover")=TRUE)</f>
        <v/>
      </c>
      <c r="AL19" s="28" t="str" cm="1">
        <f t="array" ref="AL19">IF($B19="","",KW(($H19&amp;", "&amp;$AB$3),"Psychic")=TRUE)</f>
        <v/>
      </c>
      <c r="AM19" s="29" t="str" cm="1">
        <f t="array" ref="AM19">IF($B19="","",_xlfn.LET(_xlpm.src,$H19&amp;", "&amp;$AB$3,_xlpm.a,KWANTI(_xlpm.src,($N$6&amp;", "&amp;$AC$3)),_xlpm.c,KWMIN(_xlpm.src,"Critical Wounds"),MIN(_xlpm.a,IF(ISNUMBER(_xlpm.c),MEDIAN(2,6,_xlpm.c),6))))</f>
        <v/>
      </c>
      <c r="AN19" s="29" t="str" cm="1">
        <f t="array" ref="AN19">IF($B19="","",IF($Z19,0,_xlfn.LET(_xlpm.src,$H19&amp;", "&amp;$AB$3,_xlpm.stat,$E$3="Yes",IF(KW(_xlpm.src,"Snap Shooting")=TRUE,IF(_xlpm.stat,4,6),_xlfn.LET(_xlpm.psy,$AL19,_xlpm.hv,$AF19*_xlpm.stat,_xlpm.dmg,-($H$3="Yes"),_xlpm.am,$AR19,_xlpm.tm,$AH$3,_xlpm.mods,IF(_xlpm.psy,MAX(0,_xlpm.hv)+MAX(0,_xlpm.am)+MAX(0,_xlpm.tm),_xlpm.hv+_xlpm.dmg+_xlpm.am+_xlpm.tm),_xlpm.cov,AND(OR($F$3="Yes",$AA$3),NOT($AK19),NOT(_xlpm.psy)),_xlpm.bs,MIN(6,MAX(2,$D19+IF(_xlpm.psy,MIN(0,$BA19),$BA19+_xlpm.cov))),MEDIAN(2,6,_xlpm.bs-MAX(-1,MIN(1,_xlpm.mods))))))))</f>
        <v/>
      </c>
      <c r="AO19" s="29" t="str">
        <f t="shared" si="2"/>
        <v/>
      </c>
      <c r="AP19" s="29" t="str">
        <f t="shared" si="3"/>
        <v/>
      </c>
      <c r="AQ19" s="30" t="str">
        <f>IF(OR($B19="",N($J$6)&lt;=0),"",ROUNDUP($J$6/MIN($U19,$J$6),0)/(($Z$3-1)/6))</f>
        <v/>
      </c>
      <c r="AR19" s="30" t="str" cm="1">
        <f t="array" ref="AR19">IF($B19="","",KWSUM(($H19&amp;", "&amp;$AB$3),"Hit Modifier"))</f>
        <v/>
      </c>
      <c r="AS19" s="30" t="str" cm="1">
        <f t="array" ref="AS19">IF($B19="","",KWSUM(($H19&amp;", "&amp;$AB$3),"Wound Modifier"))</f>
        <v/>
      </c>
      <c r="AT19" s="30" t="str" cm="1">
        <f t="array" ref="AT19">IF($B19="","",KWSUM(($H19&amp;", "&amp;$AB$3),"AP Modifier"))</f>
        <v/>
      </c>
      <c r="AU19" s="30" t="str" cm="1">
        <f t="array" ref="AU19">IF($B19="","",KWSUM(($H19&amp;", "&amp;$AB$3),"Damage Modifier"))</f>
        <v/>
      </c>
      <c r="AV19" s="30" t="str" cm="1">
        <f t="array" ref="AV19">IF($B19="","",_xlfn.LET(_xlpm.src,$H19&amp;", "&amp;$AB$3,IF(KW(_xlpm.src,"Snap Shooting")=TRUE,0,_xlfn.LET(_xlpm.full,ISNUMBER(_xlfn.XMATCH("Reroll Hits",TRIM(_xlfn.TEXTSPLIT(_xlpm.src,",")))),_xlpm.r,KW(_xlpm.src,"Reroll Hits"),IF(_xlpm.full,2,IF(N(_xlpm.r)&gt;=1,1,0))))))</f>
        <v/>
      </c>
      <c r="AW19" s="30" t="str" cm="1">
        <f t="array" ref="AW19">IF($B19="","",_xlfn.LET(_xlpm.src,$H19&amp;", "&amp;$AB$3,_xlpm.full,OR($AD19,ISNUMBER(_xlfn.XMATCH("Reroll Wounds",TRIM(_xlfn.TEXTSPLIT(_xlpm.src,","))))),_xlpm.r,KW(_xlpm.src,"Reroll Wounds"),IF(_xlpm.full,2,IF(N(_xlpm.r)&gt;=1,1,0))))</f>
        <v/>
      </c>
      <c r="AX19" s="30" t="str">
        <f t="shared" si="4"/>
        <v/>
      </c>
      <c r="AY19" s="30" t="str" cm="1">
        <f t="array" ref="AY19">IF($B19="","",KWSUM($H19&amp;", "&amp;$AB$3,"Attacks Modifier"))</f>
        <v/>
      </c>
      <c r="AZ19" s="30" t="str" cm="1">
        <f t="array" ref="AZ19">IF($B19="","",KWSUM($H19&amp;", "&amp;$AB$3,"Strength Modifier"))</f>
        <v/>
      </c>
      <c r="BA19" s="30" t="str" cm="1">
        <f t="array" ref="BA19">IF($B19="","",KWSUM($H19&amp;", "&amp;$AB$3,"BS Modifier"))</f>
        <v/>
      </c>
      <c r="BB19" s="30" t="str" cm="1">
        <f t="array" ref="BB19">IF($B19="","",_xlfn.LET(_xlpm.src,$H19&amp;", "&amp;$AB$3,_xlpm.c,KWMIN(_xlpm.src,"Critical Hits"),IF(KW(_xlpm.src,"Snap Shooting")=TRUE,6,IF(ISNUMBER(_xlpm.c),MEDIAN(2,6,_xlpm.c),6))))</f>
        <v/>
      </c>
      <c r="BC19" s="30" t="str" cm="1">
        <f t="array" ref="BC19">IF($B19="","",KWSUM($H19&amp;", "&amp;$AB$3,"Save Modifier"))</f>
        <v/>
      </c>
    </row>
    <row r="20" spans="1:55" x14ac:dyDescent="0.3">
      <c r="A20" s="64" t="b">
        <v>1</v>
      </c>
      <c r="B20" s="55"/>
      <c r="C20" s="38"/>
      <c r="D20" s="38"/>
      <c r="E20" s="38"/>
      <c r="F20" s="38"/>
      <c r="G20" s="38"/>
      <c r="H20" s="1"/>
      <c r="I20" s="9"/>
      <c r="J20" s="34"/>
      <c r="K20" s="34"/>
      <c r="L20" s="34"/>
      <c r="M20" s="34"/>
      <c r="N20" s="11"/>
      <c r="O20" s="37" t="str">
        <f t="shared" si="0"/>
        <v/>
      </c>
      <c r="P20" s="37" t="str">
        <f t="shared" si="1"/>
        <v/>
      </c>
      <c r="Q20" s="37" t="str">
        <f>IF(OR($B20="",NOT($A20)),"",IF(AND($AA20,NOT($Z20)),$O20*$AX20,0))</f>
        <v/>
      </c>
      <c r="R20" s="37" t="str">
        <f>IF(OR($B20="",NOT($A20)),"",_xlfn.LET(_xlpm.n,$P20-$Q20,_xlpm.pW,(7-$AO20)/6,_xlpm.pC,(7-$AM20)/6,_xlpm.pT,MAX(_xlpm.pW,_xlpm.pC),_xlpm.rr,$AW20,_xlpm.n*IF(_xlpm.rr=2,1-(1-_xlpm.pT)^2,IF(_xlpm.rr=1,_xlpm.pT+_xlpm.pT/6,_xlpm.pT))+$Q20))</f>
        <v/>
      </c>
      <c r="S20" s="37" t="str">
        <f>IF(OR($B20="",NOT($A20)),"",IF($AC20,_xlfn.LET(_xlpm.n,$P20-$Q20,_xlpm.pW,(7-$AO20)/6,_xlpm.pC,(7-$AM20)/6,_xlpm.pT,MAX(_xlpm.pW,_xlpm.pC),_xlpm.rr,$AW20,_xlpm.n*IF(_xlpm.rr=2,_xlpm.pC+(1-_xlpm.pT)*_xlpm.pC,IF(_xlpm.rr=1,_xlpm.pC+_xlpm.pC/6,_xlpm.pC))),0))</f>
        <v/>
      </c>
      <c r="T20" s="37" t="str">
        <f>IF(OR($B20="",NOT($A20)),"",($R20-$S20)*($AP20-1)/6)</f>
        <v/>
      </c>
      <c r="U20" s="37" t="str">
        <f>IF(OR($B20="",NOT($A20)),"",MAX(1,IF(LEFT($G20,1)="D",(VALUE(MID($G20,2,99))+1)/2,$G20)+$AJ20*($D$3="Yes")+$AU20+$AG$3))</f>
        <v/>
      </c>
      <c r="V20" s="37" t="str">
        <f>IF(OR($B20="",NOT($A20)),"",($T20+$S20)*IF(N($J$6)&gt;0,MIN($U20,$J$6),$U20)*($Z$3-1)/6)</f>
        <v/>
      </c>
      <c r="W20" s="37" t="str">
        <f>IF(OR($B20="",NOT($A20),$AQ20=""),"",MIN($G$3,($T20+$S20)/$AQ20))</f>
        <v/>
      </c>
      <c r="X20" s="56" t="str">
        <f>IF(OR($B20="",NOT($A20)),"",TEXT($V20,"0.00")&amp;" dmg"&amp;IF($W20="","",", "&amp;TEXT($W20,"0.00")&amp;" kills"))</f>
        <v/>
      </c>
      <c r="Z20" s="28" t="str" cm="1">
        <f t="array" ref="Z20">IF($B20="","",KW(($H20&amp;", "&amp;$AB$3),"Torrent")=TRUE)</f>
        <v/>
      </c>
      <c r="AA20" s="28" t="str" cm="1">
        <f t="array" ref="AA20">IF($B20="","",KW(($H20&amp;", "&amp;$AB$3),"Lethal Hits")=TRUE)</f>
        <v/>
      </c>
      <c r="AB20" s="28" t="str" cm="1">
        <f t="array" ref="AB20">IF($B20="","",N(KW(($H20&amp;", "&amp;$AB$3),"Sustained Hits")))</f>
        <v/>
      </c>
      <c r="AC20" s="28" t="str" cm="1">
        <f t="array" ref="AC20">IF($B20="","",KW(($H20&amp;", "&amp;$AB$3),"Devastating Wounds")=TRUE)</f>
        <v/>
      </c>
      <c r="AD20" s="28" t="str" cm="1">
        <f t="array" ref="AD20">IF($B20="","",KW(($H20&amp;", "&amp;$AB$3),"Twin-Linked")=TRUE)</f>
        <v/>
      </c>
      <c r="AE20" s="28" t="str" cm="1">
        <f t="array" ref="AE20">IF($B20="","",KW(($H20&amp;", "&amp;$AB$3),"Lance")=TRUE)</f>
        <v/>
      </c>
      <c r="AF20" s="28" t="str" cm="1">
        <f t="array" ref="AF20">IF($B20="","",KW(($H20&amp;", "&amp;$AB$3),"Heavy")=TRUE)</f>
        <v/>
      </c>
      <c r="AG20" s="28" t="str" cm="1">
        <f t="array" ref="AG20">IF($B20="","",N(KW(($H20&amp;", "&amp;$AB$3),"Rapid Fire")))</f>
        <v/>
      </c>
      <c r="AH20" s="28" t="str" cm="1">
        <f t="array" ref="AH20">IF($B20="","",N(KW(($H20&amp;", "&amp;$AB$3),"Blast")))</f>
        <v/>
      </c>
      <c r="AI20" s="28" t="str" cm="1">
        <f t="array" ref="AI20">IF($B20="","",N(KW(($H20&amp;", "&amp;$AB$3),"Cleave")))</f>
        <v/>
      </c>
      <c r="AJ20" s="28" t="str" cm="1">
        <f t="array" ref="AJ20">IF($B20="","",N(KW(($H20&amp;", "&amp;$AB$3),"Melta")))</f>
        <v/>
      </c>
      <c r="AK20" s="28" t="str" cm="1">
        <f t="array" ref="AK20">IF($B20="","",KW(($H20&amp;", "&amp;$AB$3),"Ignores Cover")=TRUE)</f>
        <v/>
      </c>
      <c r="AL20" s="28" t="str" cm="1">
        <f t="array" ref="AL20">IF($B20="","",KW(($H20&amp;", "&amp;$AB$3),"Psychic")=TRUE)</f>
        <v/>
      </c>
      <c r="AM20" s="29" t="str" cm="1">
        <f t="array" ref="AM20">IF($B20="","",_xlfn.LET(_xlpm.src,$H20&amp;", "&amp;$AB$3,_xlpm.a,KWANTI(_xlpm.src,($N$6&amp;", "&amp;$AC$3)),_xlpm.c,KWMIN(_xlpm.src,"Critical Wounds"),MIN(_xlpm.a,IF(ISNUMBER(_xlpm.c),MEDIAN(2,6,_xlpm.c),6))))</f>
        <v/>
      </c>
      <c r="AN20" s="29" t="str" cm="1">
        <f t="array" ref="AN20">IF($B20="","",IF($Z20,0,_xlfn.LET(_xlpm.src,$H20&amp;", "&amp;$AB$3,_xlpm.stat,$E$3="Yes",IF(KW(_xlpm.src,"Snap Shooting")=TRUE,IF(_xlpm.stat,4,6),_xlfn.LET(_xlpm.psy,$AL20,_xlpm.hv,$AF20*_xlpm.stat,_xlpm.dmg,-($H$3="Yes"),_xlpm.am,$AR20,_xlpm.tm,$AH$3,_xlpm.mods,IF(_xlpm.psy,MAX(0,_xlpm.hv)+MAX(0,_xlpm.am)+MAX(0,_xlpm.tm),_xlpm.hv+_xlpm.dmg+_xlpm.am+_xlpm.tm),_xlpm.cov,AND(OR($F$3="Yes",$AA$3),NOT($AK20),NOT(_xlpm.psy)),_xlpm.bs,MIN(6,MAX(2,$D20+IF(_xlpm.psy,MIN(0,$BA20),$BA20+_xlpm.cov))),MEDIAN(2,6,_xlpm.bs-MAX(-1,MIN(1,_xlpm.mods))))))))</f>
        <v/>
      </c>
      <c r="AO20" s="29" t="str">
        <f t="shared" si="2"/>
        <v/>
      </c>
      <c r="AP20" s="29" t="str">
        <f t="shared" si="3"/>
        <v/>
      </c>
      <c r="AQ20" s="30" t="str">
        <f>IF(OR($B20="",N($J$6)&lt;=0),"",ROUNDUP($J$6/MIN($U20,$J$6),0)/(($Z$3-1)/6))</f>
        <v/>
      </c>
      <c r="AR20" s="30" t="str" cm="1">
        <f t="array" ref="AR20">IF($B20="","",KWSUM(($H20&amp;", "&amp;$AB$3),"Hit Modifier"))</f>
        <v/>
      </c>
      <c r="AS20" s="30" t="str" cm="1">
        <f t="array" ref="AS20">IF($B20="","",KWSUM(($H20&amp;", "&amp;$AB$3),"Wound Modifier"))</f>
        <v/>
      </c>
      <c r="AT20" s="30" t="str" cm="1">
        <f t="array" ref="AT20">IF($B20="","",KWSUM(($H20&amp;", "&amp;$AB$3),"AP Modifier"))</f>
        <v/>
      </c>
      <c r="AU20" s="30" t="str" cm="1">
        <f t="array" ref="AU20">IF($B20="","",KWSUM(($H20&amp;", "&amp;$AB$3),"Damage Modifier"))</f>
        <v/>
      </c>
      <c r="AV20" s="30" t="str" cm="1">
        <f t="array" ref="AV20">IF($B20="","",_xlfn.LET(_xlpm.src,$H20&amp;", "&amp;$AB$3,IF(KW(_xlpm.src,"Snap Shooting")=TRUE,0,_xlfn.LET(_xlpm.full,ISNUMBER(_xlfn.XMATCH("Reroll Hits",TRIM(_xlfn.TEXTSPLIT(_xlpm.src,",")))),_xlpm.r,KW(_xlpm.src,"Reroll Hits"),IF(_xlpm.full,2,IF(N(_xlpm.r)&gt;=1,1,0))))))</f>
        <v/>
      </c>
      <c r="AW20" s="30" t="str" cm="1">
        <f t="array" ref="AW20">IF($B20="","",_xlfn.LET(_xlpm.src,$H20&amp;", "&amp;$AB$3,_xlpm.full,OR($AD20,ISNUMBER(_xlfn.XMATCH("Reroll Wounds",TRIM(_xlfn.TEXTSPLIT(_xlpm.src,","))))),_xlpm.r,KW(_xlpm.src,"Reroll Wounds"),IF(_xlpm.full,2,IF(N(_xlpm.r)&gt;=1,1,0))))</f>
        <v/>
      </c>
      <c r="AX20" s="30" t="str">
        <f t="shared" si="4"/>
        <v/>
      </c>
      <c r="AY20" s="30" t="str" cm="1">
        <f t="array" ref="AY20">IF($B20="","",KWSUM($H20&amp;", "&amp;$AB$3,"Attacks Modifier"))</f>
        <v/>
      </c>
      <c r="AZ20" s="30" t="str" cm="1">
        <f t="array" ref="AZ20">IF($B20="","",KWSUM($H20&amp;", "&amp;$AB$3,"Strength Modifier"))</f>
        <v/>
      </c>
      <c r="BA20" s="30" t="str" cm="1">
        <f t="array" ref="BA20">IF($B20="","",KWSUM($H20&amp;", "&amp;$AB$3,"BS Modifier"))</f>
        <v/>
      </c>
      <c r="BB20" s="30" t="str" cm="1">
        <f t="array" ref="BB20">IF($B20="","",_xlfn.LET(_xlpm.src,$H20&amp;", "&amp;$AB$3,_xlpm.c,KWMIN(_xlpm.src,"Critical Hits"),IF(KW(_xlpm.src,"Snap Shooting")=TRUE,6,IF(ISNUMBER(_xlpm.c),MEDIAN(2,6,_xlpm.c),6))))</f>
        <v/>
      </c>
      <c r="BC20" s="30" t="str" cm="1">
        <f t="array" ref="BC20">IF($B20="","",KWSUM($H20&amp;", "&amp;$AB$3,"Save Modifier"))</f>
        <v/>
      </c>
    </row>
    <row r="21" spans="1:55" x14ac:dyDescent="0.3">
      <c r="A21" s="64" t="b">
        <v>1</v>
      </c>
      <c r="B21" s="55"/>
      <c r="C21" s="38"/>
      <c r="D21" s="38"/>
      <c r="E21" s="38"/>
      <c r="F21" s="38"/>
      <c r="G21" s="38"/>
      <c r="H21" s="1"/>
      <c r="I21" s="9"/>
      <c r="J21" s="34"/>
      <c r="K21" s="34"/>
      <c r="L21" s="34"/>
      <c r="M21" s="34"/>
      <c r="N21" s="11"/>
      <c r="O21" s="37" t="str">
        <f t="shared" si="0"/>
        <v/>
      </c>
      <c r="P21" s="37" t="str">
        <f t="shared" si="1"/>
        <v/>
      </c>
      <c r="Q21" s="37" t="str">
        <f>IF(OR($B21="",NOT($A21)),"",IF(AND($AA21,NOT($Z21)),$O21*$AX21,0))</f>
        <v/>
      </c>
      <c r="R21" s="37" t="str">
        <f>IF(OR($B21="",NOT($A21)),"",_xlfn.LET(_xlpm.n,$P21-$Q21,_xlpm.pW,(7-$AO21)/6,_xlpm.pC,(7-$AM21)/6,_xlpm.pT,MAX(_xlpm.pW,_xlpm.pC),_xlpm.rr,$AW21,_xlpm.n*IF(_xlpm.rr=2,1-(1-_xlpm.pT)^2,IF(_xlpm.rr=1,_xlpm.pT+_xlpm.pT/6,_xlpm.pT))+$Q21))</f>
        <v/>
      </c>
      <c r="S21" s="37" t="str">
        <f>IF(OR($B21="",NOT($A21)),"",IF($AC21,_xlfn.LET(_xlpm.n,$P21-$Q21,_xlpm.pW,(7-$AO21)/6,_xlpm.pC,(7-$AM21)/6,_xlpm.pT,MAX(_xlpm.pW,_xlpm.pC),_xlpm.rr,$AW21,_xlpm.n*IF(_xlpm.rr=2,_xlpm.pC+(1-_xlpm.pT)*_xlpm.pC,IF(_xlpm.rr=1,_xlpm.pC+_xlpm.pC/6,_xlpm.pC))),0))</f>
        <v/>
      </c>
      <c r="T21" s="37" t="str">
        <f>IF(OR($B21="",NOT($A21)),"",($R21-$S21)*($AP21-1)/6)</f>
        <v/>
      </c>
      <c r="U21" s="37" t="str">
        <f>IF(OR($B21="",NOT($A21)),"",MAX(1,IF(LEFT($G21,1)="D",(VALUE(MID($G21,2,99))+1)/2,$G21)+$AJ21*($D$3="Yes")+$AU21+$AG$3))</f>
        <v/>
      </c>
      <c r="V21" s="37" t="str">
        <f>IF(OR($B21="",NOT($A21)),"",($T21+$S21)*IF(N($J$6)&gt;0,MIN($U21,$J$6),$U21)*($Z$3-1)/6)</f>
        <v/>
      </c>
      <c r="W21" s="37" t="str">
        <f>IF(OR($B21="",NOT($A21),$AQ21=""),"",MIN($G$3,($T21+$S21)/$AQ21))</f>
        <v/>
      </c>
      <c r="X21" s="56" t="str">
        <f>IF(OR($B21="",NOT($A21)),"",TEXT($V21,"0.00")&amp;" dmg"&amp;IF($W21="","",", "&amp;TEXT($W21,"0.00")&amp;" kills"))</f>
        <v/>
      </c>
      <c r="Z21" s="28" t="str" cm="1">
        <f t="array" ref="Z21">IF($B21="","",KW(($H21&amp;", "&amp;$AB$3),"Torrent")=TRUE)</f>
        <v/>
      </c>
      <c r="AA21" s="28" t="str" cm="1">
        <f t="array" ref="AA21">IF($B21="","",KW(($H21&amp;", "&amp;$AB$3),"Lethal Hits")=TRUE)</f>
        <v/>
      </c>
      <c r="AB21" s="28" t="str" cm="1">
        <f t="array" ref="AB21">IF($B21="","",N(KW(($H21&amp;", "&amp;$AB$3),"Sustained Hits")))</f>
        <v/>
      </c>
      <c r="AC21" s="28" t="str" cm="1">
        <f t="array" ref="AC21">IF($B21="","",KW(($H21&amp;", "&amp;$AB$3),"Devastating Wounds")=TRUE)</f>
        <v/>
      </c>
      <c r="AD21" s="28" t="str" cm="1">
        <f t="array" ref="AD21">IF($B21="","",KW(($H21&amp;", "&amp;$AB$3),"Twin-Linked")=TRUE)</f>
        <v/>
      </c>
      <c r="AE21" s="28" t="str" cm="1">
        <f t="array" ref="AE21">IF($B21="","",KW(($H21&amp;", "&amp;$AB$3),"Lance")=TRUE)</f>
        <v/>
      </c>
      <c r="AF21" s="28" t="str" cm="1">
        <f t="array" ref="AF21">IF($B21="","",KW(($H21&amp;", "&amp;$AB$3),"Heavy")=TRUE)</f>
        <v/>
      </c>
      <c r="AG21" s="28" t="str" cm="1">
        <f t="array" ref="AG21">IF($B21="","",N(KW(($H21&amp;", "&amp;$AB$3),"Rapid Fire")))</f>
        <v/>
      </c>
      <c r="AH21" s="28" t="str" cm="1">
        <f t="array" ref="AH21">IF($B21="","",N(KW(($H21&amp;", "&amp;$AB$3),"Blast")))</f>
        <v/>
      </c>
      <c r="AI21" s="28" t="str" cm="1">
        <f t="array" ref="AI21">IF($B21="","",N(KW(($H21&amp;", "&amp;$AB$3),"Cleave")))</f>
        <v/>
      </c>
      <c r="AJ21" s="28" t="str" cm="1">
        <f t="array" ref="AJ21">IF($B21="","",N(KW(($H21&amp;", "&amp;$AB$3),"Melta")))</f>
        <v/>
      </c>
      <c r="AK21" s="28" t="str" cm="1">
        <f t="array" ref="AK21">IF($B21="","",KW(($H21&amp;", "&amp;$AB$3),"Ignores Cover")=TRUE)</f>
        <v/>
      </c>
      <c r="AL21" s="28" t="str" cm="1">
        <f t="array" ref="AL21">IF($B21="","",KW(($H21&amp;", "&amp;$AB$3),"Psychic")=TRUE)</f>
        <v/>
      </c>
      <c r="AM21" s="29" t="str" cm="1">
        <f t="array" ref="AM21">IF($B21="","",_xlfn.LET(_xlpm.src,$H21&amp;", "&amp;$AB$3,_xlpm.a,KWANTI(_xlpm.src,($N$6&amp;", "&amp;$AC$3)),_xlpm.c,KWMIN(_xlpm.src,"Critical Wounds"),MIN(_xlpm.a,IF(ISNUMBER(_xlpm.c),MEDIAN(2,6,_xlpm.c),6))))</f>
        <v/>
      </c>
      <c r="AN21" s="29" t="str" cm="1">
        <f t="array" ref="AN21">IF($B21="","",IF($Z21,0,_xlfn.LET(_xlpm.src,$H21&amp;", "&amp;$AB$3,_xlpm.stat,$E$3="Yes",IF(KW(_xlpm.src,"Snap Shooting")=TRUE,IF(_xlpm.stat,4,6),_xlfn.LET(_xlpm.psy,$AL21,_xlpm.hv,$AF21*_xlpm.stat,_xlpm.dmg,-($H$3="Yes"),_xlpm.am,$AR21,_xlpm.tm,$AH$3,_xlpm.mods,IF(_xlpm.psy,MAX(0,_xlpm.hv)+MAX(0,_xlpm.am)+MAX(0,_xlpm.tm),_xlpm.hv+_xlpm.dmg+_xlpm.am+_xlpm.tm),_xlpm.cov,AND(OR($F$3="Yes",$AA$3),NOT($AK21),NOT(_xlpm.psy)),_xlpm.bs,MIN(6,MAX(2,$D21+IF(_xlpm.psy,MIN(0,$BA21),$BA21+_xlpm.cov))),MEDIAN(2,6,_xlpm.bs-MAX(-1,MIN(1,_xlpm.mods))))))))</f>
        <v/>
      </c>
      <c r="AO21" s="29" t="str">
        <f t="shared" si="2"/>
        <v/>
      </c>
      <c r="AP21" s="29" t="str">
        <f t="shared" si="3"/>
        <v/>
      </c>
      <c r="AQ21" s="30" t="str">
        <f>IF(OR($B21="",N($J$6)&lt;=0),"",ROUNDUP($J$6/MIN($U21,$J$6),0)/(($Z$3-1)/6))</f>
        <v/>
      </c>
      <c r="AR21" s="30" t="str" cm="1">
        <f t="array" ref="AR21">IF($B21="","",KWSUM(($H21&amp;", "&amp;$AB$3),"Hit Modifier"))</f>
        <v/>
      </c>
      <c r="AS21" s="30" t="str" cm="1">
        <f t="array" ref="AS21">IF($B21="","",KWSUM(($H21&amp;", "&amp;$AB$3),"Wound Modifier"))</f>
        <v/>
      </c>
      <c r="AT21" s="30" t="str" cm="1">
        <f t="array" ref="AT21">IF($B21="","",KWSUM(($H21&amp;", "&amp;$AB$3),"AP Modifier"))</f>
        <v/>
      </c>
      <c r="AU21" s="30" t="str" cm="1">
        <f t="array" ref="AU21">IF($B21="","",KWSUM(($H21&amp;", "&amp;$AB$3),"Damage Modifier"))</f>
        <v/>
      </c>
      <c r="AV21" s="30" t="str" cm="1">
        <f t="array" ref="AV21">IF($B21="","",_xlfn.LET(_xlpm.src,$H21&amp;", "&amp;$AB$3,IF(KW(_xlpm.src,"Snap Shooting")=TRUE,0,_xlfn.LET(_xlpm.full,ISNUMBER(_xlfn.XMATCH("Reroll Hits",TRIM(_xlfn.TEXTSPLIT(_xlpm.src,",")))),_xlpm.r,KW(_xlpm.src,"Reroll Hits"),IF(_xlpm.full,2,IF(N(_xlpm.r)&gt;=1,1,0))))))</f>
        <v/>
      </c>
      <c r="AW21" s="30" t="str" cm="1">
        <f t="array" ref="AW21">IF($B21="","",_xlfn.LET(_xlpm.src,$H21&amp;", "&amp;$AB$3,_xlpm.full,OR($AD21,ISNUMBER(_xlfn.XMATCH("Reroll Wounds",TRIM(_xlfn.TEXTSPLIT(_xlpm.src,","))))),_xlpm.r,KW(_xlpm.src,"Reroll Wounds"),IF(_xlpm.full,2,IF(N(_xlpm.r)&gt;=1,1,0))))</f>
        <v/>
      </c>
      <c r="AX21" s="30" t="str">
        <f t="shared" si="4"/>
        <v/>
      </c>
      <c r="AY21" s="30" t="str" cm="1">
        <f t="array" ref="AY21">IF($B21="","",KWSUM($H21&amp;", "&amp;$AB$3,"Attacks Modifier"))</f>
        <v/>
      </c>
      <c r="AZ21" s="30" t="str" cm="1">
        <f t="array" ref="AZ21">IF($B21="","",KWSUM($H21&amp;", "&amp;$AB$3,"Strength Modifier"))</f>
        <v/>
      </c>
      <c r="BA21" s="30" t="str" cm="1">
        <f t="array" ref="BA21">IF($B21="","",KWSUM($H21&amp;", "&amp;$AB$3,"BS Modifier"))</f>
        <v/>
      </c>
      <c r="BB21" s="30" t="str" cm="1">
        <f t="array" ref="BB21">IF($B21="","",_xlfn.LET(_xlpm.src,$H21&amp;", "&amp;$AB$3,_xlpm.c,KWMIN(_xlpm.src,"Critical Hits"),IF(KW(_xlpm.src,"Snap Shooting")=TRUE,6,IF(ISNUMBER(_xlpm.c),MEDIAN(2,6,_xlpm.c),6))))</f>
        <v/>
      </c>
      <c r="BC21" s="30" t="str" cm="1">
        <f t="array" ref="BC21">IF($B21="","",KWSUM($H21&amp;", "&amp;$AB$3,"Save Modifier"))</f>
        <v/>
      </c>
    </row>
    <row r="22" spans="1:55" x14ac:dyDescent="0.3">
      <c r="A22" s="64" t="b">
        <v>1</v>
      </c>
      <c r="B22" s="55"/>
      <c r="C22" s="38"/>
      <c r="D22" s="38"/>
      <c r="E22" s="38"/>
      <c r="F22" s="38"/>
      <c r="G22" s="38"/>
      <c r="H22" s="1"/>
      <c r="I22" s="9"/>
      <c r="J22" s="34"/>
      <c r="K22" s="34"/>
      <c r="L22" s="34"/>
      <c r="M22" s="34"/>
      <c r="N22" s="11"/>
      <c r="O22" s="37" t="str">
        <f t="shared" si="0"/>
        <v/>
      </c>
      <c r="P22" s="37" t="str">
        <f t="shared" si="1"/>
        <v/>
      </c>
      <c r="Q22" s="37" t="str">
        <f>IF(OR($B22="",NOT($A22)),"",IF(AND($AA22,NOT($Z22)),$O22*$AX22,0))</f>
        <v/>
      </c>
      <c r="R22" s="37" t="str">
        <f>IF(OR($B22="",NOT($A22)),"",_xlfn.LET(_xlpm.n,$P22-$Q22,_xlpm.pW,(7-$AO22)/6,_xlpm.pC,(7-$AM22)/6,_xlpm.pT,MAX(_xlpm.pW,_xlpm.pC),_xlpm.rr,$AW22,_xlpm.n*IF(_xlpm.rr=2,1-(1-_xlpm.pT)^2,IF(_xlpm.rr=1,_xlpm.pT+_xlpm.pT/6,_xlpm.pT))+$Q22))</f>
        <v/>
      </c>
      <c r="S22" s="37" t="str">
        <f>IF(OR($B22="",NOT($A22)),"",IF($AC22,_xlfn.LET(_xlpm.n,$P22-$Q22,_xlpm.pW,(7-$AO22)/6,_xlpm.pC,(7-$AM22)/6,_xlpm.pT,MAX(_xlpm.pW,_xlpm.pC),_xlpm.rr,$AW22,_xlpm.n*IF(_xlpm.rr=2,_xlpm.pC+(1-_xlpm.pT)*_xlpm.pC,IF(_xlpm.rr=1,_xlpm.pC+_xlpm.pC/6,_xlpm.pC))),0))</f>
        <v/>
      </c>
      <c r="T22" s="37" t="str">
        <f>IF(OR($B22="",NOT($A22)),"",($R22-$S22)*($AP22-1)/6)</f>
        <v/>
      </c>
      <c r="U22" s="37" t="str">
        <f>IF(OR($B22="",NOT($A22)),"",MAX(1,IF(LEFT($G22,1)="D",(VALUE(MID($G22,2,99))+1)/2,$G22)+$AJ22*($D$3="Yes")+$AU22+$AG$3))</f>
        <v/>
      </c>
      <c r="V22" s="37" t="str">
        <f>IF(OR($B22="",NOT($A22)),"",($T22+$S22)*IF(N($J$6)&gt;0,MIN($U22,$J$6),$U22)*($Z$3-1)/6)</f>
        <v/>
      </c>
      <c r="W22" s="37" t="str">
        <f>IF(OR($B22="",NOT($A22),$AQ22=""),"",MIN($G$3,($T22+$S22)/$AQ22))</f>
        <v/>
      </c>
      <c r="X22" s="56" t="str">
        <f>IF(OR($B22="",NOT($A22)),"",TEXT($V22,"0.00")&amp;" dmg"&amp;IF($W22="","",", "&amp;TEXT($W22,"0.00")&amp;" kills"))</f>
        <v/>
      </c>
      <c r="Z22" s="28" t="str" cm="1">
        <f t="array" ref="Z22">IF($B22="","",KW(($H22&amp;", "&amp;$AB$3),"Torrent")=TRUE)</f>
        <v/>
      </c>
      <c r="AA22" s="28" t="str" cm="1">
        <f t="array" ref="AA22">IF($B22="","",KW(($H22&amp;", "&amp;$AB$3),"Lethal Hits")=TRUE)</f>
        <v/>
      </c>
      <c r="AB22" s="28" t="str" cm="1">
        <f t="array" ref="AB22">IF($B22="","",N(KW(($H22&amp;", "&amp;$AB$3),"Sustained Hits")))</f>
        <v/>
      </c>
      <c r="AC22" s="28" t="str" cm="1">
        <f t="array" ref="AC22">IF($B22="","",KW(($H22&amp;", "&amp;$AB$3),"Devastating Wounds")=TRUE)</f>
        <v/>
      </c>
      <c r="AD22" s="28" t="str" cm="1">
        <f t="array" ref="AD22">IF($B22="","",KW(($H22&amp;", "&amp;$AB$3),"Twin-Linked")=TRUE)</f>
        <v/>
      </c>
      <c r="AE22" s="28" t="str" cm="1">
        <f t="array" ref="AE22">IF($B22="","",KW(($H22&amp;", "&amp;$AB$3),"Lance")=TRUE)</f>
        <v/>
      </c>
      <c r="AF22" s="28" t="str" cm="1">
        <f t="array" ref="AF22">IF($B22="","",KW(($H22&amp;", "&amp;$AB$3),"Heavy")=TRUE)</f>
        <v/>
      </c>
      <c r="AG22" s="28" t="str" cm="1">
        <f t="array" ref="AG22">IF($B22="","",N(KW(($H22&amp;", "&amp;$AB$3),"Rapid Fire")))</f>
        <v/>
      </c>
      <c r="AH22" s="28" t="str" cm="1">
        <f t="array" ref="AH22">IF($B22="","",N(KW(($H22&amp;", "&amp;$AB$3),"Blast")))</f>
        <v/>
      </c>
      <c r="AI22" s="28" t="str" cm="1">
        <f t="array" ref="AI22">IF($B22="","",N(KW(($H22&amp;", "&amp;$AB$3),"Cleave")))</f>
        <v/>
      </c>
      <c r="AJ22" s="28" t="str" cm="1">
        <f t="array" ref="AJ22">IF($B22="","",N(KW(($H22&amp;", "&amp;$AB$3),"Melta")))</f>
        <v/>
      </c>
      <c r="AK22" s="28" t="str" cm="1">
        <f t="array" ref="AK22">IF($B22="","",KW(($H22&amp;", "&amp;$AB$3),"Ignores Cover")=TRUE)</f>
        <v/>
      </c>
      <c r="AL22" s="28" t="str" cm="1">
        <f t="array" ref="AL22">IF($B22="","",KW(($H22&amp;", "&amp;$AB$3),"Psychic")=TRUE)</f>
        <v/>
      </c>
      <c r="AM22" s="29" t="str" cm="1">
        <f t="array" ref="AM22">IF($B22="","",_xlfn.LET(_xlpm.src,$H22&amp;", "&amp;$AB$3,_xlpm.a,KWANTI(_xlpm.src,($N$6&amp;", "&amp;$AC$3)),_xlpm.c,KWMIN(_xlpm.src,"Critical Wounds"),MIN(_xlpm.a,IF(ISNUMBER(_xlpm.c),MEDIAN(2,6,_xlpm.c),6))))</f>
        <v/>
      </c>
      <c r="AN22" s="29" t="str" cm="1">
        <f t="array" ref="AN22">IF($B22="","",IF($Z22,0,_xlfn.LET(_xlpm.src,$H22&amp;", "&amp;$AB$3,_xlpm.stat,$E$3="Yes",IF(KW(_xlpm.src,"Snap Shooting")=TRUE,IF(_xlpm.stat,4,6),_xlfn.LET(_xlpm.psy,$AL22,_xlpm.hv,$AF22*_xlpm.stat,_xlpm.dmg,-($H$3="Yes"),_xlpm.am,$AR22,_xlpm.tm,$AH$3,_xlpm.mods,IF(_xlpm.psy,MAX(0,_xlpm.hv)+MAX(0,_xlpm.am)+MAX(0,_xlpm.tm),_xlpm.hv+_xlpm.dmg+_xlpm.am+_xlpm.tm),_xlpm.cov,AND(OR($F$3="Yes",$AA$3),NOT($AK22),NOT(_xlpm.psy)),_xlpm.bs,MIN(6,MAX(2,$D22+IF(_xlpm.psy,MIN(0,$BA22),$BA22+_xlpm.cov))),MEDIAN(2,6,_xlpm.bs-MAX(-1,MIN(1,_xlpm.mods))))))))</f>
        <v/>
      </c>
      <c r="AO22" s="29" t="str">
        <f t="shared" si="2"/>
        <v/>
      </c>
      <c r="AP22" s="29" t="str">
        <f t="shared" si="3"/>
        <v/>
      </c>
      <c r="AQ22" s="30" t="str">
        <f>IF(OR($B22="",N($J$6)&lt;=0),"",ROUNDUP($J$6/MIN($U22,$J$6),0)/(($Z$3-1)/6))</f>
        <v/>
      </c>
      <c r="AR22" s="30" t="str" cm="1">
        <f t="array" ref="AR22">IF($B22="","",KWSUM(($H22&amp;", "&amp;$AB$3),"Hit Modifier"))</f>
        <v/>
      </c>
      <c r="AS22" s="30" t="str" cm="1">
        <f t="array" ref="AS22">IF($B22="","",KWSUM(($H22&amp;", "&amp;$AB$3),"Wound Modifier"))</f>
        <v/>
      </c>
      <c r="AT22" s="30" t="str" cm="1">
        <f t="array" ref="AT22">IF($B22="","",KWSUM(($H22&amp;", "&amp;$AB$3),"AP Modifier"))</f>
        <v/>
      </c>
      <c r="AU22" s="30" t="str" cm="1">
        <f t="array" ref="AU22">IF($B22="","",KWSUM(($H22&amp;", "&amp;$AB$3),"Damage Modifier"))</f>
        <v/>
      </c>
      <c r="AV22" s="30" t="str" cm="1">
        <f t="array" ref="AV22">IF($B22="","",_xlfn.LET(_xlpm.src,$H22&amp;", "&amp;$AB$3,IF(KW(_xlpm.src,"Snap Shooting")=TRUE,0,_xlfn.LET(_xlpm.full,ISNUMBER(_xlfn.XMATCH("Reroll Hits",TRIM(_xlfn.TEXTSPLIT(_xlpm.src,",")))),_xlpm.r,KW(_xlpm.src,"Reroll Hits"),IF(_xlpm.full,2,IF(N(_xlpm.r)&gt;=1,1,0))))))</f>
        <v/>
      </c>
      <c r="AW22" s="30" t="str" cm="1">
        <f t="array" ref="AW22">IF($B22="","",_xlfn.LET(_xlpm.src,$H22&amp;", "&amp;$AB$3,_xlpm.full,OR($AD22,ISNUMBER(_xlfn.XMATCH("Reroll Wounds",TRIM(_xlfn.TEXTSPLIT(_xlpm.src,","))))),_xlpm.r,KW(_xlpm.src,"Reroll Wounds"),IF(_xlpm.full,2,IF(N(_xlpm.r)&gt;=1,1,0))))</f>
        <v/>
      </c>
      <c r="AX22" s="30" t="str">
        <f t="shared" si="4"/>
        <v/>
      </c>
      <c r="AY22" s="30" t="str" cm="1">
        <f t="array" ref="AY22">IF($B22="","",KWSUM($H22&amp;", "&amp;$AB$3,"Attacks Modifier"))</f>
        <v/>
      </c>
      <c r="AZ22" s="30" t="str" cm="1">
        <f t="array" ref="AZ22">IF($B22="","",KWSUM($H22&amp;", "&amp;$AB$3,"Strength Modifier"))</f>
        <v/>
      </c>
      <c r="BA22" s="30" t="str" cm="1">
        <f t="array" ref="BA22">IF($B22="","",KWSUM($H22&amp;", "&amp;$AB$3,"BS Modifier"))</f>
        <v/>
      </c>
      <c r="BB22" s="30" t="str" cm="1">
        <f t="array" ref="BB22">IF($B22="","",_xlfn.LET(_xlpm.src,$H22&amp;", "&amp;$AB$3,_xlpm.c,KWMIN(_xlpm.src,"Critical Hits"),IF(KW(_xlpm.src,"Snap Shooting")=TRUE,6,IF(ISNUMBER(_xlpm.c),MEDIAN(2,6,_xlpm.c),6))))</f>
        <v/>
      </c>
      <c r="BC22" s="30" t="str" cm="1">
        <f t="array" ref="BC22">IF($B22="","",KWSUM($H22&amp;", "&amp;$AB$3,"Save Modifier"))</f>
        <v/>
      </c>
    </row>
    <row r="23" spans="1:55" x14ac:dyDescent="0.3">
      <c r="A23" s="64" t="b">
        <v>1</v>
      </c>
      <c r="B23" s="55"/>
      <c r="C23" s="38"/>
      <c r="D23" s="38"/>
      <c r="E23" s="38"/>
      <c r="F23" s="38"/>
      <c r="G23" s="38"/>
      <c r="H23" s="1"/>
      <c r="I23" s="9"/>
      <c r="J23" s="34"/>
      <c r="K23" s="34"/>
      <c r="L23" s="34"/>
      <c r="M23" s="34"/>
      <c r="N23" s="11"/>
      <c r="O23" s="37" t="str">
        <f t="shared" si="0"/>
        <v/>
      </c>
      <c r="P23" s="37" t="str">
        <f t="shared" si="1"/>
        <v/>
      </c>
      <c r="Q23" s="37" t="str">
        <f>IF(OR($B23="",NOT($A23)),"",IF(AND($AA23,NOT($Z23)),$O23*$AX23,0))</f>
        <v/>
      </c>
      <c r="R23" s="37" t="str">
        <f>IF(OR($B23="",NOT($A23)),"",_xlfn.LET(_xlpm.n,$P23-$Q23,_xlpm.pW,(7-$AO23)/6,_xlpm.pC,(7-$AM23)/6,_xlpm.pT,MAX(_xlpm.pW,_xlpm.pC),_xlpm.rr,$AW23,_xlpm.n*IF(_xlpm.rr=2,1-(1-_xlpm.pT)^2,IF(_xlpm.rr=1,_xlpm.pT+_xlpm.pT/6,_xlpm.pT))+$Q23))</f>
        <v/>
      </c>
      <c r="S23" s="37" t="str">
        <f>IF(OR($B23="",NOT($A23)),"",IF($AC23,_xlfn.LET(_xlpm.n,$P23-$Q23,_xlpm.pW,(7-$AO23)/6,_xlpm.pC,(7-$AM23)/6,_xlpm.pT,MAX(_xlpm.pW,_xlpm.pC),_xlpm.rr,$AW23,_xlpm.n*IF(_xlpm.rr=2,_xlpm.pC+(1-_xlpm.pT)*_xlpm.pC,IF(_xlpm.rr=1,_xlpm.pC+_xlpm.pC/6,_xlpm.pC))),0))</f>
        <v/>
      </c>
      <c r="T23" s="37" t="str">
        <f>IF(OR($B23="",NOT($A23)),"",($R23-$S23)*($AP23-1)/6)</f>
        <v/>
      </c>
      <c r="U23" s="37" t="str">
        <f>IF(OR($B23="",NOT($A23)),"",MAX(1,IF(LEFT($G23,1)="D",(VALUE(MID($G23,2,99))+1)/2,$G23)+$AJ23*($D$3="Yes")+$AU23+$AG$3))</f>
        <v/>
      </c>
      <c r="V23" s="37" t="str">
        <f>IF(OR($B23="",NOT($A23)),"",($T23+$S23)*IF(N($J$6)&gt;0,MIN($U23,$J$6),$U23)*($Z$3-1)/6)</f>
        <v/>
      </c>
      <c r="W23" s="37" t="str">
        <f>IF(OR($B23="",NOT($A23),$AQ23=""),"",MIN($G$3,($T23+$S23)/$AQ23))</f>
        <v/>
      </c>
      <c r="X23" s="56" t="str">
        <f>IF(OR($B23="",NOT($A23)),"",TEXT($V23,"0.00")&amp;" dmg"&amp;IF($W23="","",", "&amp;TEXT($W23,"0.00")&amp;" kills"))</f>
        <v/>
      </c>
      <c r="Z23" s="28" t="str" cm="1">
        <f t="array" ref="Z23">IF($B23="","",KW(($H23&amp;", "&amp;$AB$3),"Torrent")=TRUE)</f>
        <v/>
      </c>
      <c r="AA23" s="28" t="str" cm="1">
        <f t="array" ref="AA23">IF($B23="","",KW(($H23&amp;", "&amp;$AB$3),"Lethal Hits")=TRUE)</f>
        <v/>
      </c>
      <c r="AB23" s="28" t="str" cm="1">
        <f t="array" ref="AB23">IF($B23="","",N(KW(($H23&amp;", "&amp;$AB$3),"Sustained Hits")))</f>
        <v/>
      </c>
      <c r="AC23" s="28" t="str" cm="1">
        <f t="array" ref="AC23">IF($B23="","",KW(($H23&amp;", "&amp;$AB$3),"Devastating Wounds")=TRUE)</f>
        <v/>
      </c>
      <c r="AD23" s="28" t="str" cm="1">
        <f t="array" ref="AD23">IF($B23="","",KW(($H23&amp;", "&amp;$AB$3),"Twin-Linked")=TRUE)</f>
        <v/>
      </c>
      <c r="AE23" s="28" t="str" cm="1">
        <f t="array" ref="AE23">IF($B23="","",KW(($H23&amp;", "&amp;$AB$3),"Lance")=TRUE)</f>
        <v/>
      </c>
      <c r="AF23" s="28" t="str" cm="1">
        <f t="array" ref="AF23">IF($B23="","",KW(($H23&amp;", "&amp;$AB$3),"Heavy")=TRUE)</f>
        <v/>
      </c>
      <c r="AG23" s="28" t="str" cm="1">
        <f t="array" ref="AG23">IF($B23="","",N(KW(($H23&amp;", "&amp;$AB$3),"Rapid Fire")))</f>
        <v/>
      </c>
      <c r="AH23" s="28" t="str" cm="1">
        <f t="array" ref="AH23">IF($B23="","",N(KW(($H23&amp;", "&amp;$AB$3),"Blast")))</f>
        <v/>
      </c>
      <c r="AI23" s="28" t="str" cm="1">
        <f t="array" ref="AI23">IF($B23="","",N(KW(($H23&amp;", "&amp;$AB$3),"Cleave")))</f>
        <v/>
      </c>
      <c r="AJ23" s="28" t="str" cm="1">
        <f t="array" ref="AJ23">IF($B23="","",N(KW(($H23&amp;", "&amp;$AB$3),"Melta")))</f>
        <v/>
      </c>
      <c r="AK23" s="28" t="str" cm="1">
        <f t="array" ref="AK23">IF($B23="","",KW(($H23&amp;", "&amp;$AB$3),"Ignores Cover")=TRUE)</f>
        <v/>
      </c>
      <c r="AL23" s="28" t="str" cm="1">
        <f t="array" ref="AL23">IF($B23="","",KW(($H23&amp;", "&amp;$AB$3),"Psychic")=TRUE)</f>
        <v/>
      </c>
      <c r="AM23" s="29" t="str" cm="1">
        <f t="array" ref="AM23">IF($B23="","",_xlfn.LET(_xlpm.src,$H23&amp;", "&amp;$AB$3,_xlpm.a,KWANTI(_xlpm.src,($N$6&amp;", "&amp;$AC$3)),_xlpm.c,KWMIN(_xlpm.src,"Critical Wounds"),MIN(_xlpm.a,IF(ISNUMBER(_xlpm.c),MEDIAN(2,6,_xlpm.c),6))))</f>
        <v/>
      </c>
      <c r="AN23" s="29" t="str" cm="1">
        <f t="array" ref="AN23">IF($B23="","",IF($Z23,0,_xlfn.LET(_xlpm.src,$H23&amp;", "&amp;$AB$3,_xlpm.stat,$E$3="Yes",IF(KW(_xlpm.src,"Snap Shooting")=TRUE,IF(_xlpm.stat,4,6),_xlfn.LET(_xlpm.psy,$AL23,_xlpm.hv,$AF23*_xlpm.stat,_xlpm.dmg,-($H$3="Yes"),_xlpm.am,$AR23,_xlpm.tm,$AH$3,_xlpm.mods,IF(_xlpm.psy,MAX(0,_xlpm.hv)+MAX(0,_xlpm.am)+MAX(0,_xlpm.tm),_xlpm.hv+_xlpm.dmg+_xlpm.am+_xlpm.tm),_xlpm.cov,AND(OR($F$3="Yes",$AA$3),NOT($AK23),NOT(_xlpm.psy)),_xlpm.bs,MIN(6,MAX(2,$D23+IF(_xlpm.psy,MIN(0,$BA23),$BA23+_xlpm.cov))),MEDIAN(2,6,_xlpm.bs-MAX(-1,MIN(1,_xlpm.mods))))))))</f>
        <v/>
      </c>
      <c r="AO23" s="29" t="str">
        <f t="shared" si="2"/>
        <v/>
      </c>
      <c r="AP23" s="29" t="str">
        <f t="shared" si="3"/>
        <v/>
      </c>
      <c r="AQ23" s="30" t="str">
        <f>IF(OR($B23="",N($J$6)&lt;=0),"",ROUNDUP($J$6/MIN($U23,$J$6),0)/(($Z$3-1)/6))</f>
        <v/>
      </c>
      <c r="AR23" s="30" t="str" cm="1">
        <f t="array" ref="AR23">IF($B23="","",KWSUM(($H23&amp;", "&amp;$AB$3),"Hit Modifier"))</f>
        <v/>
      </c>
      <c r="AS23" s="30" t="str" cm="1">
        <f t="array" ref="AS23">IF($B23="","",KWSUM(($H23&amp;", "&amp;$AB$3),"Wound Modifier"))</f>
        <v/>
      </c>
      <c r="AT23" s="30" t="str" cm="1">
        <f t="array" ref="AT23">IF($B23="","",KWSUM(($H23&amp;", "&amp;$AB$3),"AP Modifier"))</f>
        <v/>
      </c>
      <c r="AU23" s="30" t="str" cm="1">
        <f t="array" ref="AU23">IF($B23="","",KWSUM(($H23&amp;", "&amp;$AB$3),"Damage Modifier"))</f>
        <v/>
      </c>
      <c r="AV23" s="30" t="str" cm="1">
        <f t="array" ref="AV23">IF($B23="","",_xlfn.LET(_xlpm.src,$H23&amp;", "&amp;$AB$3,IF(KW(_xlpm.src,"Snap Shooting")=TRUE,0,_xlfn.LET(_xlpm.full,ISNUMBER(_xlfn.XMATCH("Reroll Hits",TRIM(_xlfn.TEXTSPLIT(_xlpm.src,",")))),_xlpm.r,KW(_xlpm.src,"Reroll Hits"),IF(_xlpm.full,2,IF(N(_xlpm.r)&gt;=1,1,0))))))</f>
        <v/>
      </c>
      <c r="AW23" s="30" t="str" cm="1">
        <f t="array" ref="AW23">IF($B23="","",_xlfn.LET(_xlpm.src,$H23&amp;", "&amp;$AB$3,_xlpm.full,OR($AD23,ISNUMBER(_xlfn.XMATCH("Reroll Wounds",TRIM(_xlfn.TEXTSPLIT(_xlpm.src,","))))),_xlpm.r,KW(_xlpm.src,"Reroll Wounds"),IF(_xlpm.full,2,IF(N(_xlpm.r)&gt;=1,1,0))))</f>
        <v/>
      </c>
      <c r="AX23" s="30" t="str">
        <f t="shared" si="4"/>
        <v/>
      </c>
      <c r="AY23" s="30" t="str" cm="1">
        <f t="array" ref="AY23">IF($B23="","",KWSUM($H23&amp;", "&amp;$AB$3,"Attacks Modifier"))</f>
        <v/>
      </c>
      <c r="AZ23" s="30" t="str" cm="1">
        <f t="array" ref="AZ23">IF($B23="","",KWSUM($H23&amp;", "&amp;$AB$3,"Strength Modifier"))</f>
        <v/>
      </c>
      <c r="BA23" s="30" t="str" cm="1">
        <f t="array" ref="BA23">IF($B23="","",KWSUM($H23&amp;", "&amp;$AB$3,"BS Modifier"))</f>
        <v/>
      </c>
      <c r="BB23" s="30" t="str" cm="1">
        <f t="array" ref="BB23">IF($B23="","",_xlfn.LET(_xlpm.src,$H23&amp;", "&amp;$AB$3,_xlpm.c,KWMIN(_xlpm.src,"Critical Hits"),IF(KW(_xlpm.src,"Snap Shooting")=TRUE,6,IF(ISNUMBER(_xlpm.c),MEDIAN(2,6,_xlpm.c),6))))</f>
        <v/>
      </c>
      <c r="BC23" s="30" t="str" cm="1">
        <f t="array" ref="BC23">IF($B23="","",KWSUM($H23&amp;", "&amp;$AB$3,"Save Modifier"))</f>
        <v/>
      </c>
    </row>
    <row r="24" spans="1:55" x14ac:dyDescent="0.3">
      <c r="A24" s="64" t="b">
        <v>1</v>
      </c>
      <c r="B24" s="55"/>
      <c r="C24" s="38"/>
      <c r="D24" s="38"/>
      <c r="E24" s="38"/>
      <c r="F24" s="38"/>
      <c r="G24" s="38"/>
      <c r="H24" s="1"/>
      <c r="I24" s="9"/>
      <c r="J24" s="34"/>
      <c r="K24" s="34"/>
      <c r="L24" s="34"/>
      <c r="M24" s="34"/>
      <c r="N24" s="11"/>
      <c r="O24" s="37" t="str">
        <f t="shared" si="0"/>
        <v/>
      </c>
      <c r="P24" s="37" t="str">
        <f t="shared" si="1"/>
        <v/>
      </c>
      <c r="Q24" s="37" t="str">
        <f>IF(OR($B24="",NOT($A24)),"",IF(AND($AA24,NOT($Z24)),$O24*$AX24,0))</f>
        <v/>
      </c>
      <c r="R24" s="37" t="str">
        <f>IF(OR($B24="",NOT($A24)),"",_xlfn.LET(_xlpm.n,$P24-$Q24,_xlpm.pW,(7-$AO24)/6,_xlpm.pC,(7-$AM24)/6,_xlpm.pT,MAX(_xlpm.pW,_xlpm.pC),_xlpm.rr,$AW24,_xlpm.n*IF(_xlpm.rr=2,1-(1-_xlpm.pT)^2,IF(_xlpm.rr=1,_xlpm.pT+_xlpm.pT/6,_xlpm.pT))+$Q24))</f>
        <v/>
      </c>
      <c r="S24" s="37" t="str">
        <f>IF(OR($B24="",NOT($A24)),"",IF($AC24,_xlfn.LET(_xlpm.n,$P24-$Q24,_xlpm.pW,(7-$AO24)/6,_xlpm.pC,(7-$AM24)/6,_xlpm.pT,MAX(_xlpm.pW,_xlpm.pC),_xlpm.rr,$AW24,_xlpm.n*IF(_xlpm.rr=2,_xlpm.pC+(1-_xlpm.pT)*_xlpm.pC,IF(_xlpm.rr=1,_xlpm.pC+_xlpm.pC/6,_xlpm.pC))),0))</f>
        <v/>
      </c>
      <c r="T24" s="37" t="str">
        <f>IF(OR($B24="",NOT($A24)),"",($R24-$S24)*($AP24-1)/6)</f>
        <v/>
      </c>
      <c r="U24" s="37" t="str">
        <f>IF(OR($B24="",NOT($A24)),"",MAX(1,IF(LEFT($G24,1)="D",(VALUE(MID($G24,2,99))+1)/2,$G24)+$AJ24*($D$3="Yes")+$AU24+$AG$3))</f>
        <v/>
      </c>
      <c r="V24" s="37" t="str">
        <f>IF(OR($B24="",NOT($A24)),"",($T24+$S24)*IF(N($J$6)&gt;0,MIN($U24,$J$6),$U24)*($Z$3-1)/6)</f>
        <v/>
      </c>
      <c r="W24" s="37" t="str">
        <f>IF(OR($B24="",NOT($A24),$AQ24=""),"",MIN($G$3,($T24+$S24)/$AQ24))</f>
        <v/>
      </c>
      <c r="X24" s="56" t="str">
        <f>IF(OR($B24="",NOT($A24)),"",TEXT($V24,"0.00")&amp;" dmg"&amp;IF($W24="","",", "&amp;TEXT($W24,"0.00")&amp;" kills"))</f>
        <v/>
      </c>
      <c r="Z24" s="28" t="str" cm="1">
        <f t="array" ref="Z24">IF($B24="","",KW(($H24&amp;", "&amp;$AB$3),"Torrent")=TRUE)</f>
        <v/>
      </c>
      <c r="AA24" s="28" t="str" cm="1">
        <f t="array" ref="AA24">IF($B24="","",KW(($H24&amp;", "&amp;$AB$3),"Lethal Hits")=TRUE)</f>
        <v/>
      </c>
      <c r="AB24" s="28" t="str" cm="1">
        <f t="array" ref="AB24">IF($B24="","",N(KW(($H24&amp;", "&amp;$AB$3),"Sustained Hits")))</f>
        <v/>
      </c>
      <c r="AC24" s="28" t="str" cm="1">
        <f t="array" ref="AC24">IF($B24="","",KW(($H24&amp;", "&amp;$AB$3),"Devastating Wounds")=TRUE)</f>
        <v/>
      </c>
      <c r="AD24" s="28" t="str" cm="1">
        <f t="array" ref="AD24">IF($B24="","",KW(($H24&amp;", "&amp;$AB$3),"Twin-Linked")=TRUE)</f>
        <v/>
      </c>
      <c r="AE24" s="28" t="str" cm="1">
        <f t="array" ref="AE24">IF($B24="","",KW(($H24&amp;", "&amp;$AB$3),"Lance")=TRUE)</f>
        <v/>
      </c>
      <c r="AF24" s="28" t="str" cm="1">
        <f t="array" ref="AF24">IF($B24="","",KW(($H24&amp;", "&amp;$AB$3),"Heavy")=TRUE)</f>
        <v/>
      </c>
      <c r="AG24" s="28" t="str" cm="1">
        <f t="array" ref="AG24">IF($B24="","",N(KW(($H24&amp;", "&amp;$AB$3),"Rapid Fire")))</f>
        <v/>
      </c>
      <c r="AH24" s="28" t="str" cm="1">
        <f t="array" ref="AH24">IF($B24="","",N(KW(($H24&amp;", "&amp;$AB$3),"Blast")))</f>
        <v/>
      </c>
      <c r="AI24" s="28" t="str" cm="1">
        <f t="array" ref="AI24">IF($B24="","",N(KW(($H24&amp;", "&amp;$AB$3),"Cleave")))</f>
        <v/>
      </c>
      <c r="AJ24" s="28" t="str" cm="1">
        <f t="array" ref="AJ24">IF($B24="","",N(KW(($H24&amp;", "&amp;$AB$3),"Melta")))</f>
        <v/>
      </c>
      <c r="AK24" s="28" t="str" cm="1">
        <f t="array" ref="AK24">IF($B24="","",KW(($H24&amp;", "&amp;$AB$3),"Ignores Cover")=TRUE)</f>
        <v/>
      </c>
      <c r="AL24" s="28" t="str" cm="1">
        <f t="array" ref="AL24">IF($B24="","",KW(($H24&amp;", "&amp;$AB$3),"Psychic")=TRUE)</f>
        <v/>
      </c>
      <c r="AM24" s="29" t="str" cm="1">
        <f t="array" ref="AM24">IF($B24="","",_xlfn.LET(_xlpm.src,$H24&amp;", "&amp;$AB$3,_xlpm.a,KWANTI(_xlpm.src,($N$6&amp;", "&amp;$AC$3)),_xlpm.c,KWMIN(_xlpm.src,"Critical Wounds"),MIN(_xlpm.a,IF(ISNUMBER(_xlpm.c),MEDIAN(2,6,_xlpm.c),6))))</f>
        <v/>
      </c>
      <c r="AN24" s="29" t="str" cm="1">
        <f t="array" ref="AN24">IF($B24="","",IF($Z24,0,_xlfn.LET(_xlpm.src,$H24&amp;", "&amp;$AB$3,_xlpm.stat,$E$3="Yes",IF(KW(_xlpm.src,"Snap Shooting")=TRUE,IF(_xlpm.stat,4,6),_xlfn.LET(_xlpm.psy,$AL24,_xlpm.hv,$AF24*_xlpm.stat,_xlpm.dmg,-($H$3="Yes"),_xlpm.am,$AR24,_xlpm.tm,$AH$3,_xlpm.mods,IF(_xlpm.psy,MAX(0,_xlpm.hv)+MAX(0,_xlpm.am)+MAX(0,_xlpm.tm),_xlpm.hv+_xlpm.dmg+_xlpm.am+_xlpm.tm),_xlpm.cov,AND(OR($F$3="Yes",$AA$3),NOT($AK24),NOT(_xlpm.psy)),_xlpm.bs,MIN(6,MAX(2,$D24+IF(_xlpm.psy,MIN(0,$BA24),$BA24+_xlpm.cov))),MEDIAN(2,6,_xlpm.bs-MAX(-1,MIN(1,_xlpm.mods))))))))</f>
        <v/>
      </c>
      <c r="AO24" s="29" t="str">
        <f t="shared" si="2"/>
        <v/>
      </c>
      <c r="AP24" s="29" t="str">
        <f t="shared" si="3"/>
        <v/>
      </c>
      <c r="AQ24" s="30" t="str">
        <f>IF(OR($B24="",N($J$6)&lt;=0),"",ROUNDUP($J$6/MIN($U24,$J$6),0)/(($Z$3-1)/6))</f>
        <v/>
      </c>
      <c r="AR24" s="30" t="str" cm="1">
        <f t="array" ref="AR24">IF($B24="","",KWSUM(($H24&amp;", "&amp;$AB$3),"Hit Modifier"))</f>
        <v/>
      </c>
      <c r="AS24" s="30" t="str" cm="1">
        <f t="array" ref="AS24">IF($B24="","",KWSUM(($H24&amp;", "&amp;$AB$3),"Wound Modifier"))</f>
        <v/>
      </c>
      <c r="AT24" s="30" t="str" cm="1">
        <f t="array" ref="AT24">IF($B24="","",KWSUM(($H24&amp;", "&amp;$AB$3),"AP Modifier"))</f>
        <v/>
      </c>
      <c r="AU24" s="30" t="str" cm="1">
        <f t="array" ref="AU24">IF($B24="","",KWSUM(($H24&amp;", "&amp;$AB$3),"Damage Modifier"))</f>
        <v/>
      </c>
      <c r="AV24" s="30" t="str" cm="1">
        <f t="array" ref="AV24">IF($B24="","",_xlfn.LET(_xlpm.src,$H24&amp;", "&amp;$AB$3,IF(KW(_xlpm.src,"Snap Shooting")=TRUE,0,_xlfn.LET(_xlpm.full,ISNUMBER(_xlfn.XMATCH("Reroll Hits",TRIM(_xlfn.TEXTSPLIT(_xlpm.src,",")))),_xlpm.r,KW(_xlpm.src,"Reroll Hits"),IF(_xlpm.full,2,IF(N(_xlpm.r)&gt;=1,1,0))))))</f>
        <v/>
      </c>
      <c r="AW24" s="30" t="str" cm="1">
        <f t="array" ref="AW24">IF($B24="","",_xlfn.LET(_xlpm.src,$H24&amp;", "&amp;$AB$3,_xlpm.full,OR($AD24,ISNUMBER(_xlfn.XMATCH("Reroll Wounds",TRIM(_xlfn.TEXTSPLIT(_xlpm.src,","))))),_xlpm.r,KW(_xlpm.src,"Reroll Wounds"),IF(_xlpm.full,2,IF(N(_xlpm.r)&gt;=1,1,0))))</f>
        <v/>
      </c>
      <c r="AX24" s="30" t="str">
        <f t="shared" si="4"/>
        <v/>
      </c>
      <c r="AY24" s="30" t="str" cm="1">
        <f t="array" ref="AY24">IF($B24="","",KWSUM($H24&amp;", "&amp;$AB$3,"Attacks Modifier"))</f>
        <v/>
      </c>
      <c r="AZ24" s="30" t="str" cm="1">
        <f t="array" ref="AZ24">IF($B24="","",KWSUM($H24&amp;", "&amp;$AB$3,"Strength Modifier"))</f>
        <v/>
      </c>
      <c r="BA24" s="30" t="str" cm="1">
        <f t="array" ref="BA24">IF($B24="","",KWSUM($H24&amp;", "&amp;$AB$3,"BS Modifier"))</f>
        <v/>
      </c>
      <c r="BB24" s="30" t="str" cm="1">
        <f t="array" ref="BB24">IF($B24="","",_xlfn.LET(_xlpm.src,$H24&amp;", "&amp;$AB$3,_xlpm.c,KWMIN(_xlpm.src,"Critical Hits"),IF(KW(_xlpm.src,"Snap Shooting")=TRUE,6,IF(ISNUMBER(_xlpm.c),MEDIAN(2,6,_xlpm.c),6))))</f>
        <v/>
      </c>
      <c r="BC24" s="30" t="str" cm="1">
        <f t="array" ref="BC24">IF($B24="","",KWSUM($H24&amp;", "&amp;$AB$3,"Save Modifier"))</f>
        <v/>
      </c>
    </row>
    <row r="25" spans="1:55" x14ac:dyDescent="0.3">
      <c r="A25" s="64" t="b">
        <v>1</v>
      </c>
      <c r="B25" s="55"/>
      <c r="C25" s="38"/>
      <c r="D25" s="38"/>
      <c r="E25" s="38"/>
      <c r="F25" s="38"/>
      <c r="G25" s="38"/>
      <c r="H25" s="1"/>
      <c r="I25" s="9"/>
      <c r="J25" s="34"/>
      <c r="K25" s="34"/>
      <c r="L25" s="34"/>
      <c r="M25" s="34"/>
      <c r="N25" s="11"/>
      <c r="O25" s="37" t="str">
        <f t="shared" si="0"/>
        <v/>
      </c>
      <c r="P25" s="37" t="str">
        <f t="shared" si="1"/>
        <v/>
      </c>
      <c r="Q25" s="37" t="str">
        <f>IF(OR($B25="",NOT($A25)),"",IF(AND($AA25,NOT($Z25)),$O25*$AX25,0))</f>
        <v/>
      </c>
      <c r="R25" s="37" t="str">
        <f>IF(OR($B25="",NOT($A25)),"",_xlfn.LET(_xlpm.n,$P25-$Q25,_xlpm.pW,(7-$AO25)/6,_xlpm.pC,(7-$AM25)/6,_xlpm.pT,MAX(_xlpm.pW,_xlpm.pC),_xlpm.rr,$AW25,_xlpm.n*IF(_xlpm.rr=2,1-(1-_xlpm.pT)^2,IF(_xlpm.rr=1,_xlpm.pT+_xlpm.pT/6,_xlpm.pT))+$Q25))</f>
        <v/>
      </c>
      <c r="S25" s="37" t="str">
        <f>IF(OR($B25="",NOT($A25)),"",IF($AC25,_xlfn.LET(_xlpm.n,$P25-$Q25,_xlpm.pW,(7-$AO25)/6,_xlpm.pC,(7-$AM25)/6,_xlpm.pT,MAX(_xlpm.pW,_xlpm.pC),_xlpm.rr,$AW25,_xlpm.n*IF(_xlpm.rr=2,_xlpm.pC+(1-_xlpm.pT)*_xlpm.pC,IF(_xlpm.rr=1,_xlpm.pC+_xlpm.pC/6,_xlpm.pC))),0))</f>
        <v/>
      </c>
      <c r="T25" s="37" t="str">
        <f>IF(OR($B25="",NOT($A25)),"",($R25-$S25)*($AP25-1)/6)</f>
        <v/>
      </c>
      <c r="U25" s="37" t="str">
        <f>IF(OR($B25="",NOT($A25)),"",MAX(1,IF(LEFT($G25,1)="D",(VALUE(MID($G25,2,99))+1)/2,$G25)+$AJ25*($D$3="Yes")+$AU25+$AG$3))</f>
        <v/>
      </c>
      <c r="V25" s="37" t="str">
        <f>IF(OR($B25="",NOT($A25)),"",($T25+$S25)*IF(N($J$6)&gt;0,MIN($U25,$J$6),$U25)*($Z$3-1)/6)</f>
        <v/>
      </c>
      <c r="W25" s="37" t="str">
        <f>IF(OR($B25="",NOT($A25),$AQ25=""),"",MIN($G$3,($T25+$S25)/$AQ25))</f>
        <v/>
      </c>
      <c r="X25" s="56" t="str">
        <f>IF(OR($B25="",NOT($A25)),"",TEXT($V25,"0.00")&amp;" dmg"&amp;IF($W25="","",", "&amp;TEXT($W25,"0.00")&amp;" kills"))</f>
        <v/>
      </c>
      <c r="Z25" s="28" t="str" cm="1">
        <f t="array" ref="Z25">IF($B25="","",KW(($H25&amp;", "&amp;$AB$3),"Torrent")=TRUE)</f>
        <v/>
      </c>
      <c r="AA25" s="28" t="str" cm="1">
        <f t="array" ref="AA25">IF($B25="","",KW(($H25&amp;", "&amp;$AB$3),"Lethal Hits")=TRUE)</f>
        <v/>
      </c>
      <c r="AB25" s="28" t="str" cm="1">
        <f t="array" ref="AB25">IF($B25="","",N(KW(($H25&amp;", "&amp;$AB$3),"Sustained Hits")))</f>
        <v/>
      </c>
      <c r="AC25" s="28" t="str" cm="1">
        <f t="array" ref="AC25">IF($B25="","",KW(($H25&amp;", "&amp;$AB$3),"Devastating Wounds")=TRUE)</f>
        <v/>
      </c>
      <c r="AD25" s="28" t="str" cm="1">
        <f t="array" ref="AD25">IF($B25="","",KW(($H25&amp;", "&amp;$AB$3),"Twin-Linked")=TRUE)</f>
        <v/>
      </c>
      <c r="AE25" s="28" t="str" cm="1">
        <f t="array" ref="AE25">IF($B25="","",KW(($H25&amp;", "&amp;$AB$3),"Lance")=TRUE)</f>
        <v/>
      </c>
      <c r="AF25" s="28" t="str" cm="1">
        <f t="array" ref="AF25">IF($B25="","",KW(($H25&amp;", "&amp;$AB$3),"Heavy")=TRUE)</f>
        <v/>
      </c>
      <c r="AG25" s="28" t="str" cm="1">
        <f t="array" ref="AG25">IF($B25="","",N(KW(($H25&amp;", "&amp;$AB$3),"Rapid Fire")))</f>
        <v/>
      </c>
      <c r="AH25" s="28" t="str" cm="1">
        <f t="array" ref="AH25">IF($B25="","",N(KW(($H25&amp;", "&amp;$AB$3),"Blast")))</f>
        <v/>
      </c>
      <c r="AI25" s="28" t="str" cm="1">
        <f t="array" ref="AI25">IF($B25="","",N(KW(($H25&amp;", "&amp;$AB$3),"Cleave")))</f>
        <v/>
      </c>
      <c r="AJ25" s="28" t="str" cm="1">
        <f t="array" ref="AJ25">IF($B25="","",N(KW(($H25&amp;", "&amp;$AB$3),"Melta")))</f>
        <v/>
      </c>
      <c r="AK25" s="28" t="str" cm="1">
        <f t="array" ref="AK25">IF($B25="","",KW(($H25&amp;", "&amp;$AB$3),"Ignores Cover")=TRUE)</f>
        <v/>
      </c>
      <c r="AL25" s="28" t="str" cm="1">
        <f t="array" ref="AL25">IF($B25="","",KW(($H25&amp;", "&amp;$AB$3),"Psychic")=TRUE)</f>
        <v/>
      </c>
      <c r="AM25" s="29" t="str" cm="1">
        <f t="array" ref="AM25">IF($B25="","",_xlfn.LET(_xlpm.src,$H25&amp;", "&amp;$AB$3,_xlpm.a,KWANTI(_xlpm.src,($N$6&amp;", "&amp;$AC$3)),_xlpm.c,KWMIN(_xlpm.src,"Critical Wounds"),MIN(_xlpm.a,IF(ISNUMBER(_xlpm.c),MEDIAN(2,6,_xlpm.c),6))))</f>
        <v/>
      </c>
      <c r="AN25" s="29" t="str" cm="1">
        <f t="array" ref="AN25">IF($B25="","",IF($Z25,0,_xlfn.LET(_xlpm.src,$H25&amp;", "&amp;$AB$3,_xlpm.stat,$E$3="Yes",IF(KW(_xlpm.src,"Snap Shooting")=TRUE,IF(_xlpm.stat,4,6),_xlfn.LET(_xlpm.psy,$AL25,_xlpm.hv,$AF25*_xlpm.stat,_xlpm.dmg,-($H$3="Yes"),_xlpm.am,$AR25,_xlpm.tm,$AH$3,_xlpm.mods,IF(_xlpm.psy,MAX(0,_xlpm.hv)+MAX(0,_xlpm.am)+MAX(0,_xlpm.tm),_xlpm.hv+_xlpm.dmg+_xlpm.am+_xlpm.tm),_xlpm.cov,AND(OR($F$3="Yes",$AA$3),NOT($AK25),NOT(_xlpm.psy)),_xlpm.bs,MIN(6,MAX(2,$D25+IF(_xlpm.psy,MIN(0,$BA25),$BA25+_xlpm.cov))),MEDIAN(2,6,_xlpm.bs-MAX(-1,MIN(1,_xlpm.mods))))))))</f>
        <v/>
      </c>
      <c r="AO25" s="29" t="str">
        <f t="shared" si="2"/>
        <v/>
      </c>
      <c r="AP25" s="29" t="str">
        <f t="shared" si="3"/>
        <v/>
      </c>
      <c r="AQ25" s="30" t="str">
        <f>IF(OR($B25="",N($J$6)&lt;=0),"",ROUNDUP($J$6/MIN($U25,$J$6),0)/(($Z$3-1)/6))</f>
        <v/>
      </c>
      <c r="AR25" s="30" t="str" cm="1">
        <f t="array" ref="AR25">IF($B25="","",KWSUM(($H25&amp;", "&amp;$AB$3),"Hit Modifier"))</f>
        <v/>
      </c>
      <c r="AS25" s="30" t="str" cm="1">
        <f t="array" ref="AS25">IF($B25="","",KWSUM(($H25&amp;", "&amp;$AB$3),"Wound Modifier"))</f>
        <v/>
      </c>
      <c r="AT25" s="30" t="str" cm="1">
        <f t="array" ref="AT25">IF($B25="","",KWSUM(($H25&amp;", "&amp;$AB$3),"AP Modifier"))</f>
        <v/>
      </c>
      <c r="AU25" s="30" t="str" cm="1">
        <f t="array" ref="AU25">IF($B25="","",KWSUM(($H25&amp;", "&amp;$AB$3),"Damage Modifier"))</f>
        <v/>
      </c>
      <c r="AV25" s="30" t="str" cm="1">
        <f t="array" ref="AV25">IF($B25="","",_xlfn.LET(_xlpm.src,$H25&amp;", "&amp;$AB$3,IF(KW(_xlpm.src,"Snap Shooting")=TRUE,0,_xlfn.LET(_xlpm.full,ISNUMBER(_xlfn.XMATCH("Reroll Hits",TRIM(_xlfn.TEXTSPLIT(_xlpm.src,",")))),_xlpm.r,KW(_xlpm.src,"Reroll Hits"),IF(_xlpm.full,2,IF(N(_xlpm.r)&gt;=1,1,0))))))</f>
        <v/>
      </c>
      <c r="AW25" s="30" t="str" cm="1">
        <f t="array" ref="AW25">IF($B25="","",_xlfn.LET(_xlpm.src,$H25&amp;", "&amp;$AB$3,_xlpm.full,OR($AD25,ISNUMBER(_xlfn.XMATCH("Reroll Wounds",TRIM(_xlfn.TEXTSPLIT(_xlpm.src,","))))),_xlpm.r,KW(_xlpm.src,"Reroll Wounds"),IF(_xlpm.full,2,IF(N(_xlpm.r)&gt;=1,1,0))))</f>
        <v/>
      </c>
      <c r="AX25" s="30" t="str">
        <f t="shared" si="4"/>
        <v/>
      </c>
      <c r="AY25" s="30" t="str" cm="1">
        <f t="array" ref="AY25">IF($B25="","",KWSUM($H25&amp;", "&amp;$AB$3,"Attacks Modifier"))</f>
        <v/>
      </c>
      <c r="AZ25" s="30" t="str" cm="1">
        <f t="array" ref="AZ25">IF($B25="","",KWSUM($H25&amp;", "&amp;$AB$3,"Strength Modifier"))</f>
        <v/>
      </c>
      <c r="BA25" s="30" t="str" cm="1">
        <f t="array" ref="BA25">IF($B25="","",KWSUM($H25&amp;", "&amp;$AB$3,"BS Modifier"))</f>
        <v/>
      </c>
      <c r="BB25" s="30" t="str" cm="1">
        <f t="array" ref="BB25">IF($B25="","",_xlfn.LET(_xlpm.src,$H25&amp;", "&amp;$AB$3,_xlpm.c,KWMIN(_xlpm.src,"Critical Hits"),IF(KW(_xlpm.src,"Snap Shooting")=TRUE,6,IF(ISNUMBER(_xlpm.c),MEDIAN(2,6,_xlpm.c),6))))</f>
        <v/>
      </c>
      <c r="BC25" s="30" t="str" cm="1">
        <f t="array" ref="BC25">IF($B25="","",KWSUM($H25&amp;", "&amp;$AB$3,"Save Modifier"))</f>
        <v/>
      </c>
    </row>
    <row r="26" spans="1:55" x14ac:dyDescent="0.3">
      <c r="A26" s="64" t="b">
        <v>1</v>
      </c>
      <c r="B26" s="55"/>
      <c r="C26" s="38"/>
      <c r="D26" s="38"/>
      <c r="E26" s="38"/>
      <c r="F26" s="38"/>
      <c r="G26" s="38"/>
      <c r="H26" s="1"/>
      <c r="I26" s="9"/>
      <c r="J26" s="34"/>
      <c r="K26" s="34"/>
      <c r="L26" s="34"/>
      <c r="M26" s="34"/>
      <c r="N26" s="11"/>
      <c r="O26" s="37" t="str">
        <f t="shared" si="0"/>
        <v/>
      </c>
      <c r="P26" s="37" t="str">
        <f t="shared" si="1"/>
        <v/>
      </c>
      <c r="Q26" s="37" t="str">
        <f>IF(OR($B26="",NOT($A26)),"",IF(AND($AA26,NOT($Z26)),$O26*$AX26,0))</f>
        <v/>
      </c>
      <c r="R26" s="37" t="str">
        <f>IF(OR($B26="",NOT($A26)),"",_xlfn.LET(_xlpm.n,$P26-$Q26,_xlpm.pW,(7-$AO26)/6,_xlpm.pC,(7-$AM26)/6,_xlpm.pT,MAX(_xlpm.pW,_xlpm.pC),_xlpm.rr,$AW26,_xlpm.n*IF(_xlpm.rr=2,1-(1-_xlpm.pT)^2,IF(_xlpm.rr=1,_xlpm.pT+_xlpm.pT/6,_xlpm.pT))+$Q26))</f>
        <v/>
      </c>
      <c r="S26" s="37" t="str">
        <f>IF(OR($B26="",NOT($A26)),"",IF($AC26,_xlfn.LET(_xlpm.n,$P26-$Q26,_xlpm.pW,(7-$AO26)/6,_xlpm.pC,(7-$AM26)/6,_xlpm.pT,MAX(_xlpm.pW,_xlpm.pC),_xlpm.rr,$AW26,_xlpm.n*IF(_xlpm.rr=2,_xlpm.pC+(1-_xlpm.pT)*_xlpm.pC,IF(_xlpm.rr=1,_xlpm.pC+_xlpm.pC/6,_xlpm.pC))),0))</f>
        <v/>
      </c>
      <c r="T26" s="37" t="str">
        <f>IF(OR($B26="",NOT($A26)),"",($R26-$S26)*($AP26-1)/6)</f>
        <v/>
      </c>
      <c r="U26" s="37" t="str">
        <f>IF(OR($B26="",NOT($A26)),"",MAX(1,IF(LEFT($G26,1)="D",(VALUE(MID($G26,2,99))+1)/2,$G26)+$AJ26*($D$3="Yes")+$AU26+$AG$3))</f>
        <v/>
      </c>
      <c r="V26" s="37" t="str">
        <f>IF(OR($B26="",NOT($A26)),"",($T26+$S26)*IF(N($J$6)&gt;0,MIN($U26,$J$6),$U26)*($Z$3-1)/6)</f>
        <v/>
      </c>
      <c r="W26" s="37" t="str">
        <f>IF(OR($B26="",NOT($A26),$AQ26=""),"",MIN($G$3,($T26+$S26)/$AQ26))</f>
        <v/>
      </c>
      <c r="X26" s="56" t="str">
        <f>IF(OR($B26="",NOT($A26)),"",TEXT($V26,"0.00")&amp;" dmg"&amp;IF($W26="","",", "&amp;TEXT($W26,"0.00")&amp;" kills"))</f>
        <v/>
      </c>
      <c r="Z26" s="28" t="str" cm="1">
        <f t="array" ref="Z26">IF($B26="","",KW(($H26&amp;", "&amp;$AB$3),"Torrent")=TRUE)</f>
        <v/>
      </c>
      <c r="AA26" s="28" t="str" cm="1">
        <f t="array" ref="AA26">IF($B26="","",KW(($H26&amp;", "&amp;$AB$3),"Lethal Hits")=TRUE)</f>
        <v/>
      </c>
      <c r="AB26" s="28" t="str" cm="1">
        <f t="array" ref="AB26">IF($B26="","",N(KW(($H26&amp;", "&amp;$AB$3),"Sustained Hits")))</f>
        <v/>
      </c>
      <c r="AC26" s="28" t="str" cm="1">
        <f t="array" ref="AC26">IF($B26="","",KW(($H26&amp;", "&amp;$AB$3),"Devastating Wounds")=TRUE)</f>
        <v/>
      </c>
      <c r="AD26" s="28" t="str" cm="1">
        <f t="array" ref="AD26">IF($B26="","",KW(($H26&amp;", "&amp;$AB$3),"Twin-Linked")=TRUE)</f>
        <v/>
      </c>
      <c r="AE26" s="28" t="str" cm="1">
        <f t="array" ref="AE26">IF($B26="","",KW(($H26&amp;", "&amp;$AB$3),"Lance")=TRUE)</f>
        <v/>
      </c>
      <c r="AF26" s="28" t="str" cm="1">
        <f t="array" ref="AF26">IF($B26="","",KW(($H26&amp;", "&amp;$AB$3),"Heavy")=TRUE)</f>
        <v/>
      </c>
      <c r="AG26" s="28" t="str" cm="1">
        <f t="array" ref="AG26">IF($B26="","",N(KW(($H26&amp;", "&amp;$AB$3),"Rapid Fire")))</f>
        <v/>
      </c>
      <c r="AH26" s="28" t="str" cm="1">
        <f t="array" ref="AH26">IF($B26="","",N(KW(($H26&amp;", "&amp;$AB$3),"Blast")))</f>
        <v/>
      </c>
      <c r="AI26" s="28" t="str" cm="1">
        <f t="array" ref="AI26">IF($B26="","",N(KW(($H26&amp;", "&amp;$AB$3),"Cleave")))</f>
        <v/>
      </c>
      <c r="AJ26" s="28" t="str" cm="1">
        <f t="array" ref="AJ26">IF($B26="","",N(KW(($H26&amp;", "&amp;$AB$3),"Melta")))</f>
        <v/>
      </c>
      <c r="AK26" s="28" t="str" cm="1">
        <f t="array" ref="AK26">IF($B26="","",KW(($H26&amp;", "&amp;$AB$3),"Ignores Cover")=TRUE)</f>
        <v/>
      </c>
      <c r="AL26" s="28" t="str" cm="1">
        <f t="array" ref="AL26">IF($B26="","",KW(($H26&amp;", "&amp;$AB$3),"Psychic")=TRUE)</f>
        <v/>
      </c>
      <c r="AM26" s="29" t="str" cm="1">
        <f t="array" ref="AM26">IF($B26="","",_xlfn.LET(_xlpm.src,$H26&amp;", "&amp;$AB$3,_xlpm.a,KWANTI(_xlpm.src,($N$6&amp;", "&amp;$AC$3)),_xlpm.c,KWMIN(_xlpm.src,"Critical Wounds"),MIN(_xlpm.a,IF(ISNUMBER(_xlpm.c),MEDIAN(2,6,_xlpm.c),6))))</f>
        <v/>
      </c>
      <c r="AN26" s="29" t="str" cm="1">
        <f t="array" ref="AN26">IF($B26="","",IF($Z26,0,_xlfn.LET(_xlpm.src,$H26&amp;", "&amp;$AB$3,_xlpm.stat,$E$3="Yes",IF(KW(_xlpm.src,"Snap Shooting")=TRUE,IF(_xlpm.stat,4,6),_xlfn.LET(_xlpm.psy,$AL26,_xlpm.hv,$AF26*_xlpm.stat,_xlpm.dmg,-($H$3="Yes"),_xlpm.am,$AR26,_xlpm.tm,$AH$3,_xlpm.mods,IF(_xlpm.psy,MAX(0,_xlpm.hv)+MAX(0,_xlpm.am)+MAX(0,_xlpm.tm),_xlpm.hv+_xlpm.dmg+_xlpm.am+_xlpm.tm),_xlpm.cov,AND(OR($F$3="Yes",$AA$3),NOT($AK26),NOT(_xlpm.psy)),_xlpm.bs,MIN(6,MAX(2,$D26+IF(_xlpm.psy,MIN(0,$BA26),$BA26+_xlpm.cov))),MEDIAN(2,6,_xlpm.bs-MAX(-1,MIN(1,_xlpm.mods))))))))</f>
        <v/>
      </c>
      <c r="AO26" s="29" t="str">
        <f t="shared" si="2"/>
        <v/>
      </c>
      <c r="AP26" s="29" t="str">
        <f t="shared" si="3"/>
        <v/>
      </c>
      <c r="AQ26" s="30" t="str">
        <f>IF(OR($B26="",N($J$6)&lt;=0),"",ROUNDUP($J$6/MIN($U26,$J$6),0)/(($Z$3-1)/6))</f>
        <v/>
      </c>
      <c r="AR26" s="30" t="str" cm="1">
        <f t="array" ref="AR26">IF($B26="","",KWSUM(($H26&amp;", "&amp;$AB$3),"Hit Modifier"))</f>
        <v/>
      </c>
      <c r="AS26" s="30" t="str" cm="1">
        <f t="array" ref="AS26">IF($B26="","",KWSUM(($H26&amp;", "&amp;$AB$3),"Wound Modifier"))</f>
        <v/>
      </c>
      <c r="AT26" s="30" t="str" cm="1">
        <f t="array" ref="AT26">IF($B26="","",KWSUM(($H26&amp;", "&amp;$AB$3),"AP Modifier"))</f>
        <v/>
      </c>
      <c r="AU26" s="30" t="str" cm="1">
        <f t="array" ref="AU26">IF($B26="","",KWSUM(($H26&amp;", "&amp;$AB$3),"Damage Modifier"))</f>
        <v/>
      </c>
      <c r="AV26" s="30" t="str" cm="1">
        <f t="array" ref="AV26">IF($B26="","",_xlfn.LET(_xlpm.src,$H26&amp;", "&amp;$AB$3,IF(KW(_xlpm.src,"Snap Shooting")=TRUE,0,_xlfn.LET(_xlpm.full,ISNUMBER(_xlfn.XMATCH("Reroll Hits",TRIM(_xlfn.TEXTSPLIT(_xlpm.src,",")))),_xlpm.r,KW(_xlpm.src,"Reroll Hits"),IF(_xlpm.full,2,IF(N(_xlpm.r)&gt;=1,1,0))))))</f>
        <v/>
      </c>
      <c r="AW26" s="30" t="str" cm="1">
        <f t="array" ref="AW26">IF($B26="","",_xlfn.LET(_xlpm.src,$H26&amp;", "&amp;$AB$3,_xlpm.full,OR($AD26,ISNUMBER(_xlfn.XMATCH("Reroll Wounds",TRIM(_xlfn.TEXTSPLIT(_xlpm.src,","))))),_xlpm.r,KW(_xlpm.src,"Reroll Wounds"),IF(_xlpm.full,2,IF(N(_xlpm.r)&gt;=1,1,0))))</f>
        <v/>
      </c>
      <c r="AX26" s="30" t="str">
        <f t="shared" si="4"/>
        <v/>
      </c>
      <c r="AY26" s="30" t="str" cm="1">
        <f t="array" ref="AY26">IF($B26="","",KWSUM($H26&amp;", "&amp;$AB$3,"Attacks Modifier"))</f>
        <v/>
      </c>
      <c r="AZ26" s="30" t="str" cm="1">
        <f t="array" ref="AZ26">IF($B26="","",KWSUM($H26&amp;", "&amp;$AB$3,"Strength Modifier"))</f>
        <v/>
      </c>
      <c r="BA26" s="30" t="str" cm="1">
        <f t="array" ref="BA26">IF($B26="","",KWSUM($H26&amp;", "&amp;$AB$3,"BS Modifier"))</f>
        <v/>
      </c>
      <c r="BB26" s="30" t="str" cm="1">
        <f t="array" ref="BB26">IF($B26="","",_xlfn.LET(_xlpm.src,$H26&amp;", "&amp;$AB$3,_xlpm.c,KWMIN(_xlpm.src,"Critical Hits"),IF(KW(_xlpm.src,"Snap Shooting")=TRUE,6,IF(ISNUMBER(_xlpm.c),MEDIAN(2,6,_xlpm.c),6))))</f>
        <v/>
      </c>
      <c r="BC26" s="30" t="str" cm="1">
        <f t="array" ref="BC26">IF($B26="","",KWSUM($H26&amp;", "&amp;$AB$3,"Save Modifier"))</f>
        <v/>
      </c>
    </row>
    <row r="27" spans="1:55" x14ac:dyDescent="0.3">
      <c r="A27" s="64" t="b">
        <v>1</v>
      </c>
      <c r="B27" s="55"/>
      <c r="C27" s="38"/>
      <c r="D27" s="38"/>
      <c r="E27" s="38"/>
      <c r="F27" s="38"/>
      <c r="G27" s="38"/>
      <c r="H27" s="1"/>
      <c r="I27" s="9"/>
      <c r="J27" s="34"/>
      <c r="K27" s="34"/>
      <c r="L27" s="34"/>
      <c r="M27" s="34"/>
      <c r="N27" s="11"/>
      <c r="O27" s="37" t="str">
        <f t="shared" si="0"/>
        <v/>
      </c>
      <c r="P27" s="37" t="str">
        <f t="shared" si="1"/>
        <v/>
      </c>
      <c r="Q27" s="37" t="str">
        <f>IF(OR($B27="",NOT($A27)),"",IF(AND($AA27,NOT($Z27)),$O27*$AX27,0))</f>
        <v/>
      </c>
      <c r="R27" s="37" t="str">
        <f>IF(OR($B27="",NOT($A27)),"",_xlfn.LET(_xlpm.n,$P27-$Q27,_xlpm.pW,(7-$AO27)/6,_xlpm.pC,(7-$AM27)/6,_xlpm.pT,MAX(_xlpm.pW,_xlpm.pC),_xlpm.rr,$AW27,_xlpm.n*IF(_xlpm.rr=2,1-(1-_xlpm.pT)^2,IF(_xlpm.rr=1,_xlpm.pT+_xlpm.pT/6,_xlpm.pT))+$Q27))</f>
        <v/>
      </c>
      <c r="S27" s="37" t="str">
        <f>IF(OR($B27="",NOT($A27)),"",IF($AC27,_xlfn.LET(_xlpm.n,$P27-$Q27,_xlpm.pW,(7-$AO27)/6,_xlpm.pC,(7-$AM27)/6,_xlpm.pT,MAX(_xlpm.pW,_xlpm.pC),_xlpm.rr,$AW27,_xlpm.n*IF(_xlpm.rr=2,_xlpm.pC+(1-_xlpm.pT)*_xlpm.pC,IF(_xlpm.rr=1,_xlpm.pC+_xlpm.pC/6,_xlpm.pC))),0))</f>
        <v/>
      </c>
      <c r="T27" s="37" t="str">
        <f>IF(OR($B27="",NOT($A27)),"",($R27-$S27)*($AP27-1)/6)</f>
        <v/>
      </c>
      <c r="U27" s="37" t="str">
        <f>IF(OR($B27="",NOT($A27)),"",MAX(1,IF(LEFT($G27,1)="D",(VALUE(MID($G27,2,99))+1)/2,$G27)+$AJ27*($D$3="Yes")+$AU27+$AG$3))</f>
        <v/>
      </c>
      <c r="V27" s="37" t="str">
        <f>IF(OR($B27="",NOT($A27)),"",($T27+$S27)*IF(N($J$6)&gt;0,MIN($U27,$J$6),$U27)*($Z$3-1)/6)</f>
        <v/>
      </c>
      <c r="W27" s="37" t="str">
        <f>IF(OR($B27="",NOT($A27),$AQ27=""),"",MIN($G$3,($T27+$S27)/$AQ27))</f>
        <v/>
      </c>
      <c r="X27" s="56" t="str">
        <f>IF(OR($B27="",NOT($A27)),"",TEXT($V27,"0.00")&amp;" dmg"&amp;IF($W27="","",", "&amp;TEXT($W27,"0.00")&amp;" kills"))</f>
        <v/>
      </c>
      <c r="Z27" s="28" t="str" cm="1">
        <f t="array" ref="Z27">IF($B27="","",KW(($H27&amp;", "&amp;$AB$3),"Torrent")=TRUE)</f>
        <v/>
      </c>
      <c r="AA27" s="28" t="str" cm="1">
        <f t="array" ref="AA27">IF($B27="","",KW(($H27&amp;", "&amp;$AB$3),"Lethal Hits")=TRUE)</f>
        <v/>
      </c>
      <c r="AB27" s="28" t="str" cm="1">
        <f t="array" ref="AB27">IF($B27="","",N(KW(($H27&amp;", "&amp;$AB$3),"Sustained Hits")))</f>
        <v/>
      </c>
      <c r="AC27" s="28" t="str" cm="1">
        <f t="array" ref="AC27">IF($B27="","",KW(($H27&amp;", "&amp;$AB$3),"Devastating Wounds")=TRUE)</f>
        <v/>
      </c>
      <c r="AD27" s="28" t="str" cm="1">
        <f t="array" ref="AD27">IF($B27="","",KW(($H27&amp;", "&amp;$AB$3),"Twin-Linked")=TRUE)</f>
        <v/>
      </c>
      <c r="AE27" s="28" t="str" cm="1">
        <f t="array" ref="AE27">IF($B27="","",KW(($H27&amp;", "&amp;$AB$3),"Lance")=TRUE)</f>
        <v/>
      </c>
      <c r="AF27" s="28" t="str" cm="1">
        <f t="array" ref="AF27">IF($B27="","",KW(($H27&amp;", "&amp;$AB$3),"Heavy")=TRUE)</f>
        <v/>
      </c>
      <c r="AG27" s="28" t="str" cm="1">
        <f t="array" ref="AG27">IF($B27="","",N(KW(($H27&amp;", "&amp;$AB$3),"Rapid Fire")))</f>
        <v/>
      </c>
      <c r="AH27" s="28" t="str" cm="1">
        <f t="array" ref="AH27">IF($B27="","",N(KW(($H27&amp;", "&amp;$AB$3),"Blast")))</f>
        <v/>
      </c>
      <c r="AI27" s="28" t="str" cm="1">
        <f t="array" ref="AI27">IF($B27="","",N(KW(($H27&amp;", "&amp;$AB$3),"Cleave")))</f>
        <v/>
      </c>
      <c r="AJ27" s="28" t="str" cm="1">
        <f t="array" ref="AJ27">IF($B27="","",N(KW(($H27&amp;", "&amp;$AB$3),"Melta")))</f>
        <v/>
      </c>
      <c r="AK27" s="28" t="str" cm="1">
        <f t="array" ref="AK27">IF($B27="","",KW(($H27&amp;", "&amp;$AB$3),"Ignores Cover")=TRUE)</f>
        <v/>
      </c>
      <c r="AL27" s="28" t="str" cm="1">
        <f t="array" ref="AL27">IF($B27="","",KW(($H27&amp;", "&amp;$AB$3),"Psychic")=TRUE)</f>
        <v/>
      </c>
      <c r="AM27" s="29" t="str" cm="1">
        <f t="array" ref="AM27">IF($B27="","",_xlfn.LET(_xlpm.src,$H27&amp;", "&amp;$AB$3,_xlpm.a,KWANTI(_xlpm.src,($N$6&amp;", "&amp;$AC$3)),_xlpm.c,KWMIN(_xlpm.src,"Critical Wounds"),MIN(_xlpm.a,IF(ISNUMBER(_xlpm.c),MEDIAN(2,6,_xlpm.c),6))))</f>
        <v/>
      </c>
      <c r="AN27" s="29" t="str" cm="1">
        <f t="array" ref="AN27">IF($B27="","",IF($Z27,0,_xlfn.LET(_xlpm.src,$H27&amp;", "&amp;$AB$3,_xlpm.stat,$E$3="Yes",IF(KW(_xlpm.src,"Snap Shooting")=TRUE,IF(_xlpm.stat,4,6),_xlfn.LET(_xlpm.psy,$AL27,_xlpm.hv,$AF27*_xlpm.stat,_xlpm.dmg,-($H$3="Yes"),_xlpm.am,$AR27,_xlpm.tm,$AH$3,_xlpm.mods,IF(_xlpm.psy,MAX(0,_xlpm.hv)+MAX(0,_xlpm.am)+MAX(0,_xlpm.tm),_xlpm.hv+_xlpm.dmg+_xlpm.am+_xlpm.tm),_xlpm.cov,AND(OR($F$3="Yes",$AA$3),NOT($AK27),NOT(_xlpm.psy)),_xlpm.bs,MIN(6,MAX(2,$D27+IF(_xlpm.psy,MIN(0,$BA27),$BA27+_xlpm.cov))),MEDIAN(2,6,_xlpm.bs-MAX(-1,MIN(1,_xlpm.mods))))))))</f>
        <v/>
      </c>
      <c r="AO27" s="29" t="str">
        <f t="shared" si="2"/>
        <v/>
      </c>
      <c r="AP27" s="29" t="str">
        <f t="shared" si="3"/>
        <v/>
      </c>
      <c r="AQ27" s="30" t="str">
        <f>IF(OR($B27="",N($J$6)&lt;=0),"",ROUNDUP($J$6/MIN($U27,$J$6),0)/(($Z$3-1)/6))</f>
        <v/>
      </c>
      <c r="AR27" s="30" t="str" cm="1">
        <f t="array" ref="AR27">IF($B27="","",KWSUM(($H27&amp;", "&amp;$AB$3),"Hit Modifier"))</f>
        <v/>
      </c>
      <c r="AS27" s="30" t="str" cm="1">
        <f t="array" ref="AS27">IF($B27="","",KWSUM(($H27&amp;", "&amp;$AB$3),"Wound Modifier"))</f>
        <v/>
      </c>
      <c r="AT27" s="30" t="str" cm="1">
        <f t="array" ref="AT27">IF($B27="","",KWSUM(($H27&amp;", "&amp;$AB$3),"AP Modifier"))</f>
        <v/>
      </c>
      <c r="AU27" s="30" t="str" cm="1">
        <f t="array" ref="AU27">IF($B27="","",KWSUM(($H27&amp;", "&amp;$AB$3),"Damage Modifier"))</f>
        <v/>
      </c>
      <c r="AV27" s="30" t="str" cm="1">
        <f t="array" ref="AV27">IF($B27="","",_xlfn.LET(_xlpm.src,$H27&amp;", "&amp;$AB$3,IF(KW(_xlpm.src,"Snap Shooting")=TRUE,0,_xlfn.LET(_xlpm.full,ISNUMBER(_xlfn.XMATCH("Reroll Hits",TRIM(_xlfn.TEXTSPLIT(_xlpm.src,",")))),_xlpm.r,KW(_xlpm.src,"Reroll Hits"),IF(_xlpm.full,2,IF(N(_xlpm.r)&gt;=1,1,0))))))</f>
        <v/>
      </c>
      <c r="AW27" s="30" t="str" cm="1">
        <f t="array" ref="AW27">IF($B27="","",_xlfn.LET(_xlpm.src,$H27&amp;", "&amp;$AB$3,_xlpm.full,OR($AD27,ISNUMBER(_xlfn.XMATCH("Reroll Wounds",TRIM(_xlfn.TEXTSPLIT(_xlpm.src,","))))),_xlpm.r,KW(_xlpm.src,"Reroll Wounds"),IF(_xlpm.full,2,IF(N(_xlpm.r)&gt;=1,1,0))))</f>
        <v/>
      </c>
      <c r="AX27" s="30" t="str">
        <f t="shared" si="4"/>
        <v/>
      </c>
      <c r="AY27" s="30" t="str" cm="1">
        <f t="array" ref="AY27">IF($B27="","",KWSUM($H27&amp;", "&amp;$AB$3,"Attacks Modifier"))</f>
        <v/>
      </c>
      <c r="AZ27" s="30" t="str" cm="1">
        <f t="array" ref="AZ27">IF($B27="","",KWSUM($H27&amp;", "&amp;$AB$3,"Strength Modifier"))</f>
        <v/>
      </c>
      <c r="BA27" s="30" t="str" cm="1">
        <f t="array" ref="BA27">IF($B27="","",KWSUM($H27&amp;", "&amp;$AB$3,"BS Modifier"))</f>
        <v/>
      </c>
      <c r="BB27" s="30" t="str" cm="1">
        <f t="array" ref="BB27">IF($B27="","",_xlfn.LET(_xlpm.src,$H27&amp;", "&amp;$AB$3,_xlpm.c,KWMIN(_xlpm.src,"Critical Hits"),IF(KW(_xlpm.src,"Snap Shooting")=TRUE,6,IF(ISNUMBER(_xlpm.c),MEDIAN(2,6,_xlpm.c),6))))</f>
        <v/>
      </c>
      <c r="BC27" s="30" t="str" cm="1">
        <f t="array" ref="BC27">IF($B27="","",KWSUM($H27&amp;", "&amp;$AB$3,"Save Modifier"))</f>
        <v/>
      </c>
    </row>
    <row r="28" spans="1:55" x14ac:dyDescent="0.3">
      <c r="A28" s="64" t="b">
        <v>1</v>
      </c>
      <c r="B28" s="55"/>
      <c r="C28" s="38"/>
      <c r="D28" s="38"/>
      <c r="E28" s="38"/>
      <c r="F28" s="38"/>
      <c r="G28" s="38"/>
      <c r="H28" s="1"/>
      <c r="I28" s="9"/>
      <c r="J28" s="34"/>
      <c r="K28" s="34"/>
      <c r="L28" s="34"/>
      <c r="M28" s="34"/>
      <c r="N28" s="11"/>
      <c r="O28" s="37" t="str">
        <f t="shared" si="0"/>
        <v/>
      </c>
      <c r="P28" s="37" t="str">
        <f t="shared" si="1"/>
        <v/>
      </c>
      <c r="Q28" s="37" t="str">
        <f>IF(OR($B28="",NOT($A28)),"",IF(AND($AA28,NOT($Z28)),$O28*$AX28,0))</f>
        <v/>
      </c>
      <c r="R28" s="37" t="str">
        <f>IF(OR($B28="",NOT($A28)),"",_xlfn.LET(_xlpm.n,$P28-$Q28,_xlpm.pW,(7-$AO28)/6,_xlpm.pC,(7-$AM28)/6,_xlpm.pT,MAX(_xlpm.pW,_xlpm.pC),_xlpm.rr,$AW28,_xlpm.n*IF(_xlpm.rr=2,1-(1-_xlpm.pT)^2,IF(_xlpm.rr=1,_xlpm.pT+_xlpm.pT/6,_xlpm.pT))+$Q28))</f>
        <v/>
      </c>
      <c r="S28" s="37" t="str">
        <f>IF(OR($B28="",NOT($A28)),"",IF($AC28,_xlfn.LET(_xlpm.n,$P28-$Q28,_xlpm.pW,(7-$AO28)/6,_xlpm.pC,(7-$AM28)/6,_xlpm.pT,MAX(_xlpm.pW,_xlpm.pC),_xlpm.rr,$AW28,_xlpm.n*IF(_xlpm.rr=2,_xlpm.pC+(1-_xlpm.pT)*_xlpm.pC,IF(_xlpm.rr=1,_xlpm.pC+_xlpm.pC/6,_xlpm.pC))),0))</f>
        <v/>
      </c>
      <c r="T28" s="37" t="str">
        <f>IF(OR($B28="",NOT($A28)),"",($R28-$S28)*($AP28-1)/6)</f>
        <v/>
      </c>
      <c r="U28" s="37" t="str">
        <f>IF(OR($B28="",NOT($A28)),"",MAX(1,IF(LEFT($G28,1)="D",(VALUE(MID($G28,2,99))+1)/2,$G28)+$AJ28*($D$3="Yes")+$AU28+$AG$3))</f>
        <v/>
      </c>
      <c r="V28" s="37" t="str">
        <f>IF(OR($B28="",NOT($A28)),"",($T28+$S28)*IF(N($J$6)&gt;0,MIN($U28,$J$6),$U28)*($Z$3-1)/6)</f>
        <v/>
      </c>
      <c r="W28" s="37" t="str">
        <f>IF(OR($B28="",NOT($A28),$AQ28=""),"",MIN($G$3,($T28+$S28)/$AQ28))</f>
        <v/>
      </c>
      <c r="X28" s="56" t="str">
        <f>IF(OR($B28="",NOT($A28)),"",TEXT($V28,"0.00")&amp;" dmg"&amp;IF($W28="","",", "&amp;TEXT($W28,"0.00")&amp;" kills"))</f>
        <v/>
      </c>
      <c r="Z28" s="28" t="str" cm="1">
        <f t="array" ref="Z28">IF($B28="","",KW(($H28&amp;", "&amp;$AB$3),"Torrent")=TRUE)</f>
        <v/>
      </c>
      <c r="AA28" s="28" t="str" cm="1">
        <f t="array" ref="AA28">IF($B28="","",KW(($H28&amp;", "&amp;$AB$3),"Lethal Hits")=TRUE)</f>
        <v/>
      </c>
      <c r="AB28" s="28" t="str" cm="1">
        <f t="array" ref="AB28">IF($B28="","",N(KW(($H28&amp;", "&amp;$AB$3),"Sustained Hits")))</f>
        <v/>
      </c>
      <c r="AC28" s="28" t="str" cm="1">
        <f t="array" ref="AC28">IF($B28="","",KW(($H28&amp;", "&amp;$AB$3),"Devastating Wounds")=TRUE)</f>
        <v/>
      </c>
      <c r="AD28" s="28" t="str" cm="1">
        <f t="array" ref="AD28">IF($B28="","",KW(($H28&amp;", "&amp;$AB$3),"Twin-Linked")=TRUE)</f>
        <v/>
      </c>
      <c r="AE28" s="28" t="str" cm="1">
        <f t="array" ref="AE28">IF($B28="","",KW(($H28&amp;", "&amp;$AB$3),"Lance")=TRUE)</f>
        <v/>
      </c>
      <c r="AF28" s="28" t="str" cm="1">
        <f t="array" ref="AF28">IF($B28="","",KW(($H28&amp;", "&amp;$AB$3),"Heavy")=TRUE)</f>
        <v/>
      </c>
      <c r="AG28" s="28" t="str" cm="1">
        <f t="array" ref="AG28">IF($B28="","",N(KW(($H28&amp;", "&amp;$AB$3),"Rapid Fire")))</f>
        <v/>
      </c>
      <c r="AH28" s="28" t="str" cm="1">
        <f t="array" ref="AH28">IF($B28="","",N(KW(($H28&amp;", "&amp;$AB$3),"Blast")))</f>
        <v/>
      </c>
      <c r="AI28" s="28" t="str" cm="1">
        <f t="array" ref="AI28">IF($B28="","",N(KW(($H28&amp;", "&amp;$AB$3),"Cleave")))</f>
        <v/>
      </c>
      <c r="AJ28" s="28" t="str" cm="1">
        <f t="array" ref="AJ28">IF($B28="","",N(KW(($H28&amp;", "&amp;$AB$3),"Melta")))</f>
        <v/>
      </c>
      <c r="AK28" s="28" t="str" cm="1">
        <f t="array" ref="AK28">IF($B28="","",KW(($H28&amp;", "&amp;$AB$3),"Ignores Cover")=TRUE)</f>
        <v/>
      </c>
      <c r="AL28" s="28" t="str" cm="1">
        <f t="array" ref="AL28">IF($B28="","",KW(($H28&amp;", "&amp;$AB$3),"Psychic")=TRUE)</f>
        <v/>
      </c>
      <c r="AM28" s="29" t="str" cm="1">
        <f t="array" ref="AM28">IF($B28="","",_xlfn.LET(_xlpm.src,$H28&amp;", "&amp;$AB$3,_xlpm.a,KWANTI(_xlpm.src,($N$6&amp;", "&amp;$AC$3)),_xlpm.c,KWMIN(_xlpm.src,"Critical Wounds"),MIN(_xlpm.a,IF(ISNUMBER(_xlpm.c),MEDIAN(2,6,_xlpm.c),6))))</f>
        <v/>
      </c>
      <c r="AN28" s="29" t="str" cm="1">
        <f t="array" ref="AN28">IF($B28="","",IF($Z28,0,_xlfn.LET(_xlpm.src,$H28&amp;", "&amp;$AB$3,_xlpm.stat,$E$3="Yes",IF(KW(_xlpm.src,"Snap Shooting")=TRUE,IF(_xlpm.stat,4,6),_xlfn.LET(_xlpm.psy,$AL28,_xlpm.hv,$AF28*_xlpm.stat,_xlpm.dmg,-($H$3="Yes"),_xlpm.am,$AR28,_xlpm.tm,$AH$3,_xlpm.mods,IF(_xlpm.psy,MAX(0,_xlpm.hv)+MAX(0,_xlpm.am)+MAX(0,_xlpm.tm),_xlpm.hv+_xlpm.dmg+_xlpm.am+_xlpm.tm),_xlpm.cov,AND(OR($F$3="Yes",$AA$3),NOT($AK28),NOT(_xlpm.psy)),_xlpm.bs,MIN(6,MAX(2,$D28+IF(_xlpm.psy,MIN(0,$BA28),$BA28+_xlpm.cov))),MEDIAN(2,6,_xlpm.bs-MAX(-1,MIN(1,_xlpm.mods))))))))</f>
        <v/>
      </c>
      <c r="AO28" s="29" t="str">
        <f t="shared" si="2"/>
        <v/>
      </c>
      <c r="AP28" s="29" t="str">
        <f t="shared" si="3"/>
        <v/>
      </c>
      <c r="AQ28" s="30" t="str">
        <f>IF(OR($B28="",N($J$6)&lt;=0),"",ROUNDUP($J$6/MIN($U28,$J$6),0)/(($Z$3-1)/6))</f>
        <v/>
      </c>
      <c r="AR28" s="30" t="str" cm="1">
        <f t="array" ref="AR28">IF($B28="","",KWSUM(($H28&amp;", "&amp;$AB$3),"Hit Modifier"))</f>
        <v/>
      </c>
      <c r="AS28" s="30" t="str" cm="1">
        <f t="array" ref="AS28">IF($B28="","",KWSUM(($H28&amp;", "&amp;$AB$3),"Wound Modifier"))</f>
        <v/>
      </c>
      <c r="AT28" s="30" t="str" cm="1">
        <f t="array" ref="AT28">IF($B28="","",KWSUM(($H28&amp;", "&amp;$AB$3),"AP Modifier"))</f>
        <v/>
      </c>
      <c r="AU28" s="30" t="str" cm="1">
        <f t="array" ref="AU28">IF($B28="","",KWSUM(($H28&amp;", "&amp;$AB$3),"Damage Modifier"))</f>
        <v/>
      </c>
      <c r="AV28" s="30" t="str" cm="1">
        <f t="array" ref="AV28">IF($B28="","",_xlfn.LET(_xlpm.src,$H28&amp;", "&amp;$AB$3,IF(KW(_xlpm.src,"Snap Shooting")=TRUE,0,_xlfn.LET(_xlpm.full,ISNUMBER(_xlfn.XMATCH("Reroll Hits",TRIM(_xlfn.TEXTSPLIT(_xlpm.src,",")))),_xlpm.r,KW(_xlpm.src,"Reroll Hits"),IF(_xlpm.full,2,IF(N(_xlpm.r)&gt;=1,1,0))))))</f>
        <v/>
      </c>
      <c r="AW28" s="30" t="str" cm="1">
        <f t="array" ref="AW28">IF($B28="","",_xlfn.LET(_xlpm.src,$H28&amp;", "&amp;$AB$3,_xlpm.full,OR($AD28,ISNUMBER(_xlfn.XMATCH("Reroll Wounds",TRIM(_xlfn.TEXTSPLIT(_xlpm.src,","))))),_xlpm.r,KW(_xlpm.src,"Reroll Wounds"),IF(_xlpm.full,2,IF(N(_xlpm.r)&gt;=1,1,0))))</f>
        <v/>
      </c>
      <c r="AX28" s="30" t="str">
        <f t="shared" si="4"/>
        <v/>
      </c>
      <c r="AY28" s="30" t="str" cm="1">
        <f t="array" ref="AY28">IF($B28="","",KWSUM($H28&amp;", "&amp;$AB$3,"Attacks Modifier"))</f>
        <v/>
      </c>
      <c r="AZ28" s="30" t="str" cm="1">
        <f t="array" ref="AZ28">IF($B28="","",KWSUM($H28&amp;", "&amp;$AB$3,"Strength Modifier"))</f>
        <v/>
      </c>
      <c r="BA28" s="30" t="str" cm="1">
        <f t="array" ref="BA28">IF($B28="","",KWSUM($H28&amp;", "&amp;$AB$3,"BS Modifier"))</f>
        <v/>
      </c>
      <c r="BB28" s="30" t="str" cm="1">
        <f t="array" ref="BB28">IF($B28="","",_xlfn.LET(_xlpm.src,$H28&amp;", "&amp;$AB$3,_xlpm.c,KWMIN(_xlpm.src,"Critical Hits"),IF(KW(_xlpm.src,"Snap Shooting")=TRUE,6,IF(ISNUMBER(_xlpm.c),MEDIAN(2,6,_xlpm.c),6))))</f>
        <v/>
      </c>
      <c r="BC28" s="30" t="str" cm="1">
        <f t="array" ref="BC28">IF($B28="","",KWSUM($H28&amp;", "&amp;$AB$3,"Save Modifier"))</f>
        <v/>
      </c>
    </row>
    <row r="29" spans="1:55" x14ac:dyDescent="0.3">
      <c r="A29" s="64" t="b">
        <v>1</v>
      </c>
      <c r="B29" s="55"/>
      <c r="C29" s="38"/>
      <c r="D29" s="38"/>
      <c r="E29" s="38"/>
      <c r="F29" s="38"/>
      <c r="G29" s="38"/>
      <c r="H29" s="1"/>
      <c r="I29" s="9"/>
      <c r="J29" s="34"/>
      <c r="K29" s="34"/>
      <c r="L29" s="34"/>
      <c r="M29" s="34"/>
      <c r="N29" s="11"/>
      <c r="O29" s="37" t="str">
        <f t="shared" si="0"/>
        <v/>
      </c>
      <c r="P29" s="37" t="str">
        <f t="shared" si="1"/>
        <v/>
      </c>
      <c r="Q29" s="37" t="str">
        <f>IF(OR($B29="",NOT($A29)),"",IF(AND($AA29,NOT($Z29)),$O29*$AX29,0))</f>
        <v/>
      </c>
      <c r="R29" s="37" t="str">
        <f>IF(OR($B29="",NOT($A29)),"",_xlfn.LET(_xlpm.n,$P29-$Q29,_xlpm.pW,(7-$AO29)/6,_xlpm.pC,(7-$AM29)/6,_xlpm.pT,MAX(_xlpm.pW,_xlpm.pC),_xlpm.rr,$AW29,_xlpm.n*IF(_xlpm.rr=2,1-(1-_xlpm.pT)^2,IF(_xlpm.rr=1,_xlpm.pT+_xlpm.pT/6,_xlpm.pT))+$Q29))</f>
        <v/>
      </c>
      <c r="S29" s="37" t="str">
        <f>IF(OR($B29="",NOT($A29)),"",IF($AC29,_xlfn.LET(_xlpm.n,$P29-$Q29,_xlpm.pW,(7-$AO29)/6,_xlpm.pC,(7-$AM29)/6,_xlpm.pT,MAX(_xlpm.pW,_xlpm.pC),_xlpm.rr,$AW29,_xlpm.n*IF(_xlpm.rr=2,_xlpm.pC+(1-_xlpm.pT)*_xlpm.pC,IF(_xlpm.rr=1,_xlpm.pC+_xlpm.pC/6,_xlpm.pC))),0))</f>
        <v/>
      </c>
      <c r="T29" s="37" t="str">
        <f>IF(OR($B29="",NOT($A29)),"",($R29-$S29)*($AP29-1)/6)</f>
        <v/>
      </c>
      <c r="U29" s="37" t="str">
        <f>IF(OR($B29="",NOT($A29)),"",MAX(1,IF(LEFT($G29,1)="D",(VALUE(MID($G29,2,99))+1)/2,$G29)+$AJ29*($D$3="Yes")+$AU29+$AG$3))</f>
        <v/>
      </c>
      <c r="V29" s="37" t="str">
        <f>IF(OR($B29="",NOT($A29)),"",($T29+$S29)*IF(N($J$6)&gt;0,MIN($U29,$J$6),$U29)*($Z$3-1)/6)</f>
        <v/>
      </c>
      <c r="W29" s="37" t="str">
        <f>IF(OR($B29="",NOT($A29),$AQ29=""),"",MIN($G$3,($T29+$S29)/$AQ29))</f>
        <v/>
      </c>
      <c r="X29" s="56" t="str">
        <f>IF(OR($B29="",NOT($A29)),"",TEXT($V29,"0.00")&amp;" dmg"&amp;IF($W29="","",", "&amp;TEXT($W29,"0.00")&amp;" kills"))</f>
        <v/>
      </c>
      <c r="Z29" s="28" t="str" cm="1">
        <f t="array" ref="Z29">IF($B29="","",KW(($H29&amp;", "&amp;$AB$3),"Torrent")=TRUE)</f>
        <v/>
      </c>
      <c r="AA29" s="28" t="str" cm="1">
        <f t="array" ref="AA29">IF($B29="","",KW(($H29&amp;", "&amp;$AB$3),"Lethal Hits")=TRUE)</f>
        <v/>
      </c>
      <c r="AB29" s="28" t="str" cm="1">
        <f t="array" ref="AB29">IF($B29="","",N(KW(($H29&amp;", "&amp;$AB$3),"Sustained Hits")))</f>
        <v/>
      </c>
      <c r="AC29" s="28" t="str" cm="1">
        <f t="array" ref="AC29">IF($B29="","",KW(($H29&amp;", "&amp;$AB$3),"Devastating Wounds")=TRUE)</f>
        <v/>
      </c>
      <c r="AD29" s="28" t="str" cm="1">
        <f t="array" ref="AD29">IF($B29="","",KW(($H29&amp;", "&amp;$AB$3),"Twin-Linked")=TRUE)</f>
        <v/>
      </c>
      <c r="AE29" s="28" t="str" cm="1">
        <f t="array" ref="AE29">IF($B29="","",KW(($H29&amp;", "&amp;$AB$3),"Lance")=TRUE)</f>
        <v/>
      </c>
      <c r="AF29" s="28" t="str" cm="1">
        <f t="array" ref="AF29">IF($B29="","",KW(($H29&amp;", "&amp;$AB$3),"Heavy")=TRUE)</f>
        <v/>
      </c>
      <c r="AG29" s="28" t="str" cm="1">
        <f t="array" ref="AG29">IF($B29="","",N(KW(($H29&amp;", "&amp;$AB$3),"Rapid Fire")))</f>
        <v/>
      </c>
      <c r="AH29" s="28" t="str" cm="1">
        <f t="array" ref="AH29">IF($B29="","",N(KW(($H29&amp;", "&amp;$AB$3),"Blast")))</f>
        <v/>
      </c>
      <c r="AI29" s="28" t="str" cm="1">
        <f t="array" ref="AI29">IF($B29="","",N(KW(($H29&amp;", "&amp;$AB$3),"Cleave")))</f>
        <v/>
      </c>
      <c r="AJ29" s="28" t="str" cm="1">
        <f t="array" ref="AJ29">IF($B29="","",N(KW(($H29&amp;", "&amp;$AB$3),"Melta")))</f>
        <v/>
      </c>
      <c r="AK29" s="28" t="str" cm="1">
        <f t="array" ref="AK29">IF($B29="","",KW(($H29&amp;", "&amp;$AB$3),"Ignores Cover")=TRUE)</f>
        <v/>
      </c>
      <c r="AL29" s="28" t="str" cm="1">
        <f t="array" ref="AL29">IF($B29="","",KW(($H29&amp;", "&amp;$AB$3),"Psychic")=TRUE)</f>
        <v/>
      </c>
      <c r="AM29" s="29" t="str" cm="1">
        <f t="array" ref="AM29">IF($B29="","",_xlfn.LET(_xlpm.src,$H29&amp;", "&amp;$AB$3,_xlpm.a,KWANTI(_xlpm.src,($N$6&amp;", "&amp;$AC$3)),_xlpm.c,KWMIN(_xlpm.src,"Critical Wounds"),MIN(_xlpm.a,IF(ISNUMBER(_xlpm.c),MEDIAN(2,6,_xlpm.c),6))))</f>
        <v/>
      </c>
      <c r="AN29" s="29" t="str" cm="1">
        <f t="array" ref="AN29">IF($B29="","",IF($Z29,0,_xlfn.LET(_xlpm.src,$H29&amp;", "&amp;$AB$3,_xlpm.stat,$E$3="Yes",IF(KW(_xlpm.src,"Snap Shooting")=TRUE,IF(_xlpm.stat,4,6),_xlfn.LET(_xlpm.psy,$AL29,_xlpm.hv,$AF29*_xlpm.stat,_xlpm.dmg,-($H$3="Yes"),_xlpm.am,$AR29,_xlpm.tm,$AH$3,_xlpm.mods,IF(_xlpm.psy,MAX(0,_xlpm.hv)+MAX(0,_xlpm.am)+MAX(0,_xlpm.tm),_xlpm.hv+_xlpm.dmg+_xlpm.am+_xlpm.tm),_xlpm.cov,AND(OR($F$3="Yes",$AA$3),NOT($AK29),NOT(_xlpm.psy)),_xlpm.bs,MIN(6,MAX(2,$D29+IF(_xlpm.psy,MIN(0,$BA29),$BA29+_xlpm.cov))),MEDIAN(2,6,_xlpm.bs-MAX(-1,MIN(1,_xlpm.mods))))))))</f>
        <v/>
      </c>
      <c r="AO29" s="29" t="str">
        <f t="shared" si="2"/>
        <v/>
      </c>
      <c r="AP29" s="29" t="str">
        <f t="shared" si="3"/>
        <v/>
      </c>
      <c r="AQ29" s="30" t="str">
        <f>IF(OR($B29="",N($J$6)&lt;=0),"",ROUNDUP($J$6/MIN($U29,$J$6),0)/(($Z$3-1)/6))</f>
        <v/>
      </c>
      <c r="AR29" s="30" t="str" cm="1">
        <f t="array" ref="AR29">IF($B29="","",KWSUM(($H29&amp;", "&amp;$AB$3),"Hit Modifier"))</f>
        <v/>
      </c>
      <c r="AS29" s="30" t="str" cm="1">
        <f t="array" ref="AS29">IF($B29="","",KWSUM(($H29&amp;", "&amp;$AB$3),"Wound Modifier"))</f>
        <v/>
      </c>
      <c r="AT29" s="30" t="str" cm="1">
        <f t="array" ref="AT29">IF($B29="","",KWSUM(($H29&amp;", "&amp;$AB$3),"AP Modifier"))</f>
        <v/>
      </c>
      <c r="AU29" s="30" t="str" cm="1">
        <f t="array" ref="AU29">IF($B29="","",KWSUM(($H29&amp;", "&amp;$AB$3),"Damage Modifier"))</f>
        <v/>
      </c>
      <c r="AV29" s="30" t="str" cm="1">
        <f t="array" ref="AV29">IF($B29="","",_xlfn.LET(_xlpm.src,$H29&amp;", "&amp;$AB$3,IF(KW(_xlpm.src,"Snap Shooting")=TRUE,0,_xlfn.LET(_xlpm.full,ISNUMBER(_xlfn.XMATCH("Reroll Hits",TRIM(_xlfn.TEXTSPLIT(_xlpm.src,",")))),_xlpm.r,KW(_xlpm.src,"Reroll Hits"),IF(_xlpm.full,2,IF(N(_xlpm.r)&gt;=1,1,0))))))</f>
        <v/>
      </c>
      <c r="AW29" s="30" t="str" cm="1">
        <f t="array" ref="AW29">IF($B29="","",_xlfn.LET(_xlpm.src,$H29&amp;", "&amp;$AB$3,_xlpm.full,OR($AD29,ISNUMBER(_xlfn.XMATCH("Reroll Wounds",TRIM(_xlfn.TEXTSPLIT(_xlpm.src,","))))),_xlpm.r,KW(_xlpm.src,"Reroll Wounds"),IF(_xlpm.full,2,IF(N(_xlpm.r)&gt;=1,1,0))))</f>
        <v/>
      </c>
      <c r="AX29" s="30" t="str">
        <f t="shared" si="4"/>
        <v/>
      </c>
      <c r="AY29" s="30" t="str" cm="1">
        <f t="array" ref="AY29">IF($B29="","",KWSUM($H29&amp;", "&amp;$AB$3,"Attacks Modifier"))</f>
        <v/>
      </c>
      <c r="AZ29" s="30" t="str" cm="1">
        <f t="array" ref="AZ29">IF($B29="","",KWSUM($H29&amp;", "&amp;$AB$3,"Strength Modifier"))</f>
        <v/>
      </c>
      <c r="BA29" s="30" t="str" cm="1">
        <f t="array" ref="BA29">IF($B29="","",KWSUM($H29&amp;", "&amp;$AB$3,"BS Modifier"))</f>
        <v/>
      </c>
      <c r="BB29" s="30" t="str" cm="1">
        <f t="array" ref="BB29">IF($B29="","",_xlfn.LET(_xlpm.src,$H29&amp;", "&amp;$AB$3,_xlpm.c,KWMIN(_xlpm.src,"Critical Hits"),IF(KW(_xlpm.src,"Snap Shooting")=TRUE,6,IF(ISNUMBER(_xlpm.c),MEDIAN(2,6,_xlpm.c),6))))</f>
        <v/>
      </c>
      <c r="BC29" s="30" t="str" cm="1">
        <f t="array" ref="BC29">IF($B29="","",KWSUM($H29&amp;", "&amp;$AB$3,"Save Modifier"))</f>
        <v/>
      </c>
    </row>
    <row r="30" spans="1:55" x14ac:dyDescent="0.3">
      <c r="A30" s="64" t="b">
        <v>1</v>
      </c>
      <c r="B30" s="57"/>
      <c r="C30" s="58"/>
      <c r="D30" s="58"/>
      <c r="E30" s="58"/>
      <c r="F30" s="58"/>
      <c r="G30" s="58"/>
      <c r="H30" s="59"/>
      <c r="I30" s="39"/>
      <c r="J30" s="40"/>
      <c r="K30" s="40"/>
      <c r="L30" s="40"/>
      <c r="M30" s="40"/>
      <c r="N30" s="41"/>
      <c r="O30" s="60" t="str">
        <f t="shared" si="0"/>
        <v/>
      </c>
      <c r="P30" s="60" t="str">
        <f t="shared" si="1"/>
        <v/>
      </c>
      <c r="Q30" s="60" t="str">
        <f>IF(OR($B30="",NOT($A30)),"",IF(AND($AA30,NOT($Z30)),$O30*$AX30,0))</f>
        <v/>
      </c>
      <c r="R30" s="60" t="str">
        <f>IF(OR($B30="",NOT($A30)),"",_xlfn.LET(_xlpm.n,$P30-$Q30,_xlpm.pW,(7-$AO30)/6,_xlpm.pC,(7-$AM30)/6,_xlpm.pT,MAX(_xlpm.pW,_xlpm.pC),_xlpm.rr,$AW30,_xlpm.n*IF(_xlpm.rr=2,1-(1-_xlpm.pT)^2,IF(_xlpm.rr=1,_xlpm.pT+_xlpm.pT/6,_xlpm.pT))+$Q30))</f>
        <v/>
      </c>
      <c r="S30" s="60" t="str">
        <f>IF(OR($B30="",NOT($A30)),"",IF($AC30,_xlfn.LET(_xlpm.n,$P30-$Q30,_xlpm.pW,(7-$AO30)/6,_xlpm.pC,(7-$AM30)/6,_xlpm.pT,MAX(_xlpm.pW,_xlpm.pC),_xlpm.rr,$AW30,_xlpm.n*IF(_xlpm.rr=2,_xlpm.pC+(1-_xlpm.pT)*_xlpm.pC,IF(_xlpm.rr=1,_xlpm.pC+_xlpm.pC/6,_xlpm.pC))),0))</f>
        <v/>
      </c>
      <c r="T30" s="60" t="str">
        <f>IF(OR($B30="",NOT($A30)),"",($R30-$S30)*($AP30-1)/6)</f>
        <v/>
      </c>
      <c r="U30" s="60" t="str">
        <f>IF(OR($B30="",NOT($A30)),"",MAX(1,IF(LEFT($G30,1)="D",(VALUE(MID($G30,2,99))+1)/2,$G30)+$AJ30*($D$3="Yes")+$AU30+$AG$3))</f>
        <v/>
      </c>
      <c r="V30" s="60" t="str">
        <f>IF(OR($B30="",NOT($A30)),"",($T30+$S30)*IF(N($J$6)&gt;0,MIN($U30,$J$6),$U30)*($Z$3-1)/6)</f>
        <v/>
      </c>
      <c r="W30" s="60" t="str">
        <f>IF(OR($B30="",NOT($A30),$AQ30=""),"",MIN($G$3,($T30+$S30)/$AQ30))</f>
        <v/>
      </c>
      <c r="X30" s="61" t="str">
        <f>IF(OR($B30="",NOT($A30)),"",TEXT($V30,"0.00")&amp;" dmg"&amp;IF($W30="","",", "&amp;TEXT($W30,"0.00")&amp;" kills"))</f>
        <v/>
      </c>
      <c r="Z30" s="28" t="str" cm="1">
        <f t="array" ref="Z30">IF($B30="","",KW(($H30&amp;", "&amp;$AB$3),"Torrent")=TRUE)</f>
        <v/>
      </c>
      <c r="AA30" s="28" t="str" cm="1">
        <f t="array" ref="AA30">IF($B30="","",KW(($H30&amp;", "&amp;$AB$3),"Lethal Hits")=TRUE)</f>
        <v/>
      </c>
      <c r="AB30" s="28" t="str" cm="1">
        <f t="array" ref="AB30">IF($B30="","",N(KW(($H30&amp;", "&amp;$AB$3),"Sustained Hits")))</f>
        <v/>
      </c>
      <c r="AC30" s="28" t="str" cm="1">
        <f t="array" ref="AC30">IF($B30="","",KW(($H30&amp;", "&amp;$AB$3),"Devastating Wounds")=TRUE)</f>
        <v/>
      </c>
      <c r="AD30" s="28" t="str" cm="1">
        <f t="array" ref="AD30">IF($B30="","",KW(($H30&amp;", "&amp;$AB$3),"Twin-Linked")=TRUE)</f>
        <v/>
      </c>
      <c r="AE30" s="28" t="str" cm="1">
        <f t="array" ref="AE30">IF($B30="","",KW(($H30&amp;", "&amp;$AB$3),"Lance")=TRUE)</f>
        <v/>
      </c>
      <c r="AF30" s="28" t="str" cm="1">
        <f t="array" ref="AF30">IF($B30="","",KW(($H30&amp;", "&amp;$AB$3),"Heavy")=TRUE)</f>
        <v/>
      </c>
      <c r="AG30" s="28" t="str" cm="1">
        <f t="array" ref="AG30">IF($B30="","",N(KW(($H30&amp;", "&amp;$AB$3),"Rapid Fire")))</f>
        <v/>
      </c>
      <c r="AH30" s="28" t="str" cm="1">
        <f t="array" ref="AH30">IF($B30="","",N(KW(($H30&amp;", "&amp;$AB$3),"Blast")))</f>
        <v/>
      </c>
      <c r="AI30" s="28" t="str" cm="1">
        <f t="array" ref="AI30">IF($B30="","",N(KW(($H30&amp;", "&amp;$AB$3),"Cleave")))</f>
        <v/>
      </c>
      <c r="AJ30" s="28" t="str" cm="1">
        <f t="array" ref="AJ30">IF($B30="","",N(KW(($H30&amp;", "&amp;$AB$3),"Melta")))</f>
        <v/>
      </c>
      <c r="AK30" s="28" t="str" cm="1">
        <f t="array" ref="AK30">IF($B30="","",KW(($H30&amp;", "&amp;$AB$3),"Ignores Cover")=TRUE)</f>
        <v/>
      </c>
      <c r="AL30" s="28" t="str" cm="1">
        <f t="array" ref="AL30">IF($B30="","",KW(($H30&amp;", "&amp;$AB$3),"Psychic")=TRUE)</f>
        <v/>
      </c>
      <c r="AM30" s="29" t="str" cm="1">
        <f t="array" ref="AM30">IF($B30="","",_xlfn.LET(_xlpm.src,$H30&amp;", "&amp;$AB$3,_xlpm.a,KWANTI(_xlpm.src,($N$6&amp;", "&amp;$AC$3)),_xlpm.c,KWMIN(_xlpm.src,"Critical Wounds"),MIN(_xlpm.a,IF(ISNUMBER(_xlpm.c),MEDIAN(2,6,_xlpm.c),6))))</f>
        <v/>
      </c>
      <c r="AN30" s="29" t="str" cm="1">
        <f t="array" ref="AN30">IF($B30="","",IF($Z30,0,_xlfn.LET(_xlpm.src,$H30&amp;", "&amp;$AB$3,_xlpm.stat,$E$3="Yes",IF(KW(_xlpm.src,"Snap Shooting")=TRUE,IF(_xlpm.stat,4,6),_xlfn.LET(_xlpm.psy,$AL30,_xlpm.hv,$AF30*_xlpm.stat,_xlpm.dmg,-($H$3="Yes"),_xlpm.am,$AR30,_xlpm.tm,$AH$3,_xlpm.mods,IF(_xlpm.psy,MAX(0,_xlpm.hv)+MAX(0,_xlpm.am)+MAX(0,_xlpm.tm),_xlpm.hv+_xlpm.dmg+_xlpm.am+_xlpm.tm),_xlpm.cov,AND(OR($F$3="Yes",$AA$3),NOT($AK30),NOT(_xlpm.psy)),_xlpm.bs,MIN(6,MAX(2,$D30+IF(_xlpm.psy,MIN(0,$BA30),$BA30+_xlpm.cov))),MEDIAN(2,6,_xlpm.bs-MAX(-1,MIN(1,_xlpm.mods))))))))</f>
        <v/>
      </c>
      <c r="AO30" s="29" t="str">
        <f t="shared" si="2"/>
        <v/>
      </c>
      <c r="AP30" s="29" t="str">
        <f t="shared" si="3"/>
        <v/>
      </c>
      <c r="AQ30" s="30" t="str">
        <f>IF(OR($B30="",N($J$6)&lt;=0),"",ROUNDUP($J$6/MIN($U30,$J$6),0)/(($Z$3-1)/6))</f>
        <v/>
      </c>
      <c r="AR30" s="30" t="str" cm="1">
        <f t="array" ref="AR30">IF($B30="","",KWSUM(($H30&amp;", "&amp;$AB$3),"Hit Modifier"))</f>
        <v/>
      </c>
      <c r="AS30" s="30" t="str" cm="1">
        <f t="array" ref="AS30">IF($B30="","",KWSUM(($H30&amp;", "&amp;$AB$3),"Wound Modifier"))</f>
        <v/>
      </c>
      <c r="AT30" s="30" t="str" cm="1">
        <f t="array" ref="AT30">IF($B30="","",KWSUM(($H30&amp;", "&amp;$AB$3),"AP Modifier"))</f>
        <v/>
      </c>
      <c r="AU30" s="30" t="str" cm="1">
        <f t="array" ref="AU30">IF($B30="","",KWSUM(($H30&amp;", "&amp;$AB$3),"Damage Modifier"))</f>
        <v/>
      </c>
      <c r="AV30" s="30" t="str" cm="1">
        <f t="array" ref="AV30">IF($B30="","",_xlfn.LET(_xlpm.src,$H30&amp;", "&amp;$AB$3,IF(KW(_xlpm.src,"Snap Shooting")=TRUE,0,_xlfn.LET(_xlpm.full,ISNUMBER(_xlfn.XMATCH("Reroll Hits",TRIM(_xlfn.TEXTSPLIT(_xlpm.src,",")))),_xlpm.r,KW(_xlpm.src,"Reroll Hits"),IF(_xlpm.full,2,IF(N(_xlpm.r)&gt;=1,1,0))))))</f>
        <v/>
      </c>
      <c r="AW30" s="30" t="str" cm="1">
        <f t="array" ref="AW30">IF($B30="","",_xlfn.LET(_xlpm.src,$H30&amp;", "&amp;$AB$3,_xlpm.full,OR($AD30,ISNUMBER(_xlfn.XMATCH("Reroll Wounds",TRIM(_xlfn.TEXTSPLIT(_xlpm.src,","))))),_xlpm.r,KW(_xlpm.src,"Reroll Wounds"),IF(_xlpm.full,2,IF(N(_xlpm.r)&gt;=1,1,0))))</f>
        <v/>
      </c>
      <c r="AX30" s="30" t="str">
        <f t="shared" si="4"/>
        <v/>
      </c>
      <c r="AY30" s="30" t="str" cm="1">
        <f t="array" ref="AY30">IF($B30="","",KWSUM($H30&amp;", "&amp;$AB$3,"Attacks Modifier"))</f>
        <v/>
      </c>
      <c r="AZ30" s="30" t="str" cm="1">
        <f t="array" ref="AZ30">IF($B30="","",KWSUM($H30&amp;", "&amp;$AB$3,"Strength Modifier"))</f>
        <v/>
      </c>
      <c r="BA30" s="30" t="str" cm="1">
        <f t="array" ref="BA30">IF($B30="","",KWSUM($H30&amp;", "&amp;$AB$3,"BS Modifier"))</f>
        <v/>
      </c>
      <c r="BB30" s="30" t="str" cm="1">
        <f t="array" ref="BB30">IF($B30="","",_xlfn.LET(_xlpm.src,$H30&amp;", "&amp;$AB$3,_xlpm.c,KWMIN(_xlpm.src,"Critical Hits"),IF(KW(_xlpm.src,"Snap Shooting")=TRUE,6,IF(ISNUMBER(_xlpm.c),MEDIAN(2,6,_xlpm.c),6))))</f>
        <v/>
      </c>
      <c r="BC30" s="30" t="str" cm="1">
        <f t="array" ref="BC30">IF($B30="","",KWSUM($H30&amp;", "&amp;$AB$3,"Save Modifier"))</f>
        <v/>
      </c>
    </row>
    <row r="32" spans="1:55" x14ac:dyDescent="0.3">
      <c r="B32" s="69" t="s">
        <v>299</v>
      </c>
      <c r="C32" s="70"/>
      <c r="D32" s="70"/>
      <c r="E32" s="70"/>
      <c r="F32" s="70"/>
      <c r="G32" s="70"/>
      <c r="H32" s="71"/>
    </row>
    <row r="33" spans="1:8" x14ac:dyDescent="0.3">
      <c r="A33" s="63" t="s">
        <v>221</v>
      </c>
      <c r="B33" s="42" t="s">
        <v>301</v>
      </c>
      <c r="C33" s="43" t="s">
        <v>38</v>
      </c>
      <c r="D33" s="43" t="s">
        <v>302</v>
      </c>
      <c r="E33" s="43"/>
      <c r="F33" s="43"/>
      <c r="G33" s="43"/>
      <c r="H33" s="44"/>
    </row>
    <row r="34" spans="1:8" x14ac:dyDescent="0.3">
      <c r="A34" s="64" t="b">
        <v>0</v>
      </c>
      <c r="B34" s="55" t="str" cm="1">
        <f t="array" ref="B34:D37">_xlfn.TAKE(OPTIONS($B$3,"Attacker","Shooting"),15)</f>
        <v>Example Rule (edit or delete)</v>
      </c>
      <c r="C34" s="72" t="str">
        <v>Rule</v>
      </c>
      <c r="D34" s="72" t="str">
        <v>Hit Modifier +1</v>
      </c>
      <c r="E34" s="72"/>
      <c r="F34" s="72"/>
      <c r="G34" s="72"/>
      <c r="H34" s="56"/>
    </row>
    <row r="35" spans="1:8" x14ac:dyDescent="0.3">
      <c r="A35" s="64" t="b">
        <v>0</v>
      </c>
      <c r="B35" s="55" t="str">
        <v>Command Re-roll</v>
      </c>
      <c r="C35" s="72" t="str">
        <v>Core Strat</v>
      </c>
      <c r="D35" s="72" t="str">
        <v/>
      </c>
      <c r="E35" s="72"/>
      <c r="F35" s="72"/>
      <c r="G35" s="72"/>
      <c r="H35" s="56"/>
    </row>
    <row r="36" spans="1:8" x14ac:dyDescent="0.3">
      <c r="A36" s="64" t="b">
        <v>0</v>
      </c>
      <c r="B36" s="55" t="str">
        <v>Explosives</v>
      </c>
      <c r="C36" s="72" t="str">
        <v>Core Strat</v>
      </c>
      <c r="D36" s="72" t="str">
        <v/>
      </c>
      <c r="E36" s="72"/>
      <c r="F36" s="72"/>
      <c r="G36" s="72"/>
      <c r="H36" s="56"/>
    </row>
    <row r="37" spans="1:8" x14ac:dyDescent="0.3">
      <c r="A37" s="64" t="b">
        <v>0</v>
      </c>
      <c r="B37" s="55" t="str">
        <v>Fire Overwatch</v>
      </c>
      <c r="C37" s="72" t="str">
        <v>Core Strat</v>
      </c>
      <c r="D37" s="72" t="str">
        <v>Snap Shooting</v>
      </c>
      <c r="E37" s="72"/>
      <c r="F37" s="72"/>
      <c r="G37" s="72"/>
      <c r="H37" s="56"/>
    </row>
    <row r="38" spans="1:8" x14ac:dyDescent="0.3">
      <c r="A38" s="64" t="b">
        <v>0</v>
      </c>
      <c r="B38" s="55"/>
      <c r="C38" s="72"/>
      <c r="D38" s="72"/>
      <c r="E38" s="72"/>
      <c r="F38" s="72"/>
      <c r="G38" s="72"/>
      <c r="H38" s="56"/>
    </row>
    <row r="39" spans="1:8" x14ac:dyDescent="0.3">
      <c r="A39" s="64" t="b">
        <v>0</v>
      </c>
      <c r="B39" s="55"/>
      <c r="C39" s="72"/>
      <c r="D39" s="72"/>
      <c r="E39" s="72"/>
      <c r="F39" s="72"/>
      <c r="G39" s="72"/>
      <c r="H39" s="56"/>
    </row>
    <row r="40" spans="1:8" x14ac:dyDescent="0.3">
      <c r="A40" s="64" t="b">
        <v>0</v>
      </c>
      <c r="B40" s="55"/>
      <c r="C40" s="72"/>
      <c r="D40" s="72"/>
      <c r="E40" s="72"/>
      <c r="F40" s="72"/>
      <c r="G40" s="72"/>
      <c r="H40" s="56"/>
    </row>
    <row r="41" spans="1:8" x14ac:dyDescent="0.3">
      <c r="A41" s="64" t="b">
        <v>0</v>
      </c>
      <c r="B41" s="55"/>
      <c r="C41" s="72"/>
      <c r="D41" s="72"/>
      <c r="E41" s="72"/>
      <c r="F41" s="72"/>
      <c r="G41" s="72"/>
      <c r="H41" s="56"/>
    </row>
    <row r="42" spans="1:8" x14ac:dyDescent="0.3">
      <c r="A42" s="64" t="b">
        <v>0</v>
      </c>
      <c r="B42" s="55"/>
      <c r="C42" s="72"/>
      <c r="D42" s="72"/>
      <c r="E42" s="72"/>
      <c r="F42" s="72"/>
      <c r="G42" s="72"/>
      <c r="H42" s="56"/>
    </row>
    <row r="43" spans="1:8" x14ac:dyDescent="0.3">
      <c r="A43" s="64" t="b">
        <v>0</v>
      </c>
      <c r="B43" s="55"/>
      <c r="C43" s="72"/>
      <c r="D43" s="72"/>
      <c r="E43" s="72"/>
      <c r="F43" s="72"/>
      <c r="G43" s="72"/>
      <c r="H43" s="56"/>
    </row>
    <row r="44" spans="1:8" x14ac:dyDescent="0.3">
      <c r="A44" s="64" t="b">
        <v>0</v>
      </c>
      <c r="B44" s="55"/>
      <c r="C44" s="72"/>
      <c r="D44" s="72"/>
      <c r="E44" s="72"/>
      <c r="F44" s="72"/>
      <c r="G44" s="72"/>
      <c r="H44" s="56"/>
    </row>
    <row r="45" spans="1:8" x14ac:dyDescent="0.3">
      <c r="A45" s="64" t="b">
        <v>0</v>
      </c>
      <c r="B45" s="55"/>
      <c r="C45" s="72"/>
      <c r="D45" s="72"/>
      <c r="E45" s="72"/>
      <c r="F45" s="72"/>
      <c r="G45" s="72"/>
      <c r="H45" s="56"/>
    </row>
    <row r="46" spans="1:8" x14ac:dyDescent="0.3">
      <c r="A46" s="64" t="b">
        <v>0</v>
      </c>
      <c r="B46" s="55"/>
      <c r="C46" s="72"/>
      <c r="D46" s="72"/>
      <c r="E46" s="72"/>
      <c r="F46" s="72"/>
      <c r="G46" s="72"/>
      <c r="H46" s="56"/>
    </row>
    <row r="47" spans="1:8" x14ac:dyDescent="0.3">
      <c r="A47" s="64" t="b">
        <v>0</v>
      </c>
      <c r="B47" s="55"/>
      <c r="C47" s="72"/>
      <c r="D47" s="72"/>
      <c r="E47" s="72"/>
      <c r="F47" s="72"/>
      <c r="G47" s="72"/>
      <c r="H47" s="56"/>
    </row>
    <row r="48" spans="1:8" x14ac:dyDescent="0.3">
      <c r="A48" s="64" t="b">
        <v>0</v>
      </c>
      <c r="B48" s="55"/>
      <c r="C48" s="72"/>
      <c r="D48" s="72"/>
      <c r="E48" s="72"/>
      <c r="F48" s="72"/>
      <c r="G48" s="72"/>
      <c r="H48" s="56"/>
    </row>
    <row r="50" spans="1:8" x14ac:dyDescent="0.3">
      <c r="B50" s="70" t="s">
        <v>300</v>
      </c>
      <c r="C50" s="70"/>
      <c r="D50" s="70"/>
      <c r="E50" s="70"/>
      <c r="F50" s="70"/>
      <c r="G50" s="70"/>
      <c r="H50" s="70"/>
    </row>
    <row r="51" spans="1:8" x14ac:dyDescent="0.3">
      <c r="A51" s="63" t="s">
        <v>221</v>
      </c>
      <c r="B51" s="42" t="s">
        <v>301</v>
      </c>
      <c r="C51" s="43" t="s">
        <v>38</v>
      </c>
      <c r="D51" s="43" t="s">
        <v>302</v>
      </c>
      <c r="E51" s="43"/>
      <c r="F51" s="43"/>
      <c r="G51" s="43"/>
      <c r="H51" s="44"/>
    </row>
    <row r="52" spans="1:8" x14ac:dyDescent="0.3">
      <c r="A52" s="64" t="b">
        <v>0</v>
      </c>
      <c r="B52" s="55" t="str" cm="1">
        <f t="array" ref="B52:D52">_xlfn.TAKE(OPTIONS($AD$3,"Target","Shooting"),15)</f>
        <v>Smokescreen</v>
      </c>
      <c r="C52" s="72" t="str">
        <v>Core Strat</v>
      </c>
      <c r="D52" s="72" t="str">
        <v>Stealth</v>
      </c>
      <c r="E52" s="72"/>
      <c r="F52" s="72"/>
      <c r="G52" s="72"/>
      <c r="H52" s="56"/>
    </row>
    <row r="53" spans="1:8" x14ac:dyDescent="0.3">
      <c r="A53" s="64" t="b">
        <v>0</v>
      </c>
      <c r="B53" s="55"/>
      <c r="C53" s="72"/>
      <c r="D53" s="72"/>
      <c r="E53" s="72"/>
      <c r="F53" s="72"/>
      <c r="G53" s="72"/>
      <c r="H53" s="56"/>
    </row>
    <row r="54" spans="1:8" x14ac:dyDescent="0.3">
      <c r="A54" s="64" t="b">
        <v>0</v>
      </c>
      <c r="B54" s="55"/>
      <c r="C54" s="72"/>
      <c r="D54" s="72"/>
      <c r="E54" s="72"/>
      <c r="F54" s="72"/>
      <c r="G54" s="72"/>
      <c r="H54" s="56"/>
    </row>
    <row r="55" spans="1:8" x14ac:dyDescent="0.3">
      <c r="A55" s="64" t="b">
        <v>0</v>
      </c>
      <c r="B55" s="55"/>
      <c r="C55" s="72"/>
      <c r="D55" s="72"/>
      <c r="E55" s="72"/>
      <c r="F55" s="72"/>
      <c r="G55" s="72"/>
      <c r="H55" s="56"/>
    </row>
    <row r="56" spans="1:8" x14ac:dyDescent="0.3">
      <c r="A56" s="64" t="b">
        <v>0</v>
      </c>
      <c r="B56" s="55"/>
      <c r="C56" s="72"/>
      <c r="D56" s="72"/>
      <c r="E56" s="72"/>
      <c r="F56" s="72"/>
      <c r="G56" s="72"/>
      <c r="H56" s="56"/>
    </row>
    <row r="57" spans="1:8" x14ac:dyDescent="0.3">
      <c r="A57" s="64" t="b">
        <v>0</v>
      </c>
      <c r="B57" s="55"/>
      <c r="C57" s="72"/>
      <c r="D57" s="72"/>
      <c r="E57" s="72"/>
      <c r="F57" s="72"/>
      <c r="G57" s="72"/>
      <c r="H57" s="56"/>
    </row>
    <row r="58" spans="1:8" x14ac:dyDescent="0.3">
      <c r="A58" s="64" t="b">
        <v>0</v>
      </c>
      <c r="B58" s="55"/>
      <c r="C58" s="72"/>
      <c r="D58" s="72"/>
      <c r="E58" s="72"/>
      <c r="F58" s="72"/>
      <c r="G58" s="72"/>
      <c r="H58" s="56"/>
    </row>
    <row r="59" spans="1:8" x14ac:dyDescent="0.3">
      <c r="A59" s="64" t="b">
        <v>0</v>
      </c>
      <c r="B59" s="55"/>
      <c r="C59" s="72"/>
      <c r="D59" s="72"/>
      <c r="E59" s="72"/>
      <c r="F59" s="72"/>
      <c r="G59" s="72"/>
      <c r="H59" s="56"/>
    </row>
    <row r="60" spans="1:8" x14ac:dyDescent="0.3">
      <c r="A60" s="64" t="b">
        <v>0</v>
      </c>
      <c r="B60" s="55"/>
      <c r="C60" s="72"/>
      <c r="D60" s="72"/>
      <c r="E60" s="72"/>
      <c r="F60" s="72"/>
      <c r="G60" s="72"/>
      <c r="H60" s="56"/>
    </row>
    <row r="61" spans="1:8" x14ac:dyDescent="0.3">
      <c r="A61" s="64" t="b">
        <v>0</v>
      </c>
      <c r="B61" s="55"/>
      <c r="C61" s="72"/>
      <c r="D61" s="72"/>
      <c r="E61" s="72"/>
      <c r="F61" s="72"/>
      <c r="G61" s="72"/>
      <c r="H61" s="56"/>
    </row>
    <row r="62" spans="1:8" x14ac:dyDescent="0.3">
      <c r="A62" s="64" t="b">
        <v>0</v>
      </c>
      <c r="B62" s="55"/>
      <c r="C62" s="72"/>
      <c r="D62" s="72"/>
      <c r="E62" s="72"/>
      <c r="F62" s="72"/>
      <c r="G62" s="72"/>
      <c r="H62" s="56"/>
    </row>
    <row r="63" spans="1:8" x14ac:dyDescent="0.3">
      <c r="A63" s="64" t="b">
        <v>0</v>
      </c>
      <c r="B63" s="55"/>
      <c r="C63" s="72"/>
      <c r="D63" s="72"/>
      <c r="E63" s="72"/>
      <c r="F63" s="72"/>
      <c r="G63" s="72"/>
      <c r="H63" s="56"/>
    </row>
    <row r="64" spans="1:8" x14ac:dyDescent="0.3">
      <c r="A64" s="64" t="b">
        <v>0</v>
      </c>
      <c r="B64" s="55"/>
      <c r="C64" s="72"/>
      <c r="D64" s="72"/>
      <c r="E64" s="72"/>
      <c r="F64" s="72"/>
      <c r="G64" s="72"/>
      <c r="H64" s="56"/>
    </row>
    <row r="65" spans="1:8" x14ac:dyDescent="0.3">
      <c r="A65" s="64" t="b">
        <v>0</v>
      </c>
      <c r="B65" s="55"/>
      <c r="C65" s="72"/>
      <c r="D65" s="72"/>
      <c r="E65" s="72"/>
      <c r="F65" s="72"/>
      <c r="G65" s="72"/>
      <c r="H65" s="56"/>
    </row>
    <row r="66" spans="1:8" x14ac:dyDescent="0.3">
      <c r="A66" s="64" t="b">
        <v>0</v>
      </c>
      <c r="B66" s="55"/>
      <c r="C66" s="72"/>
      <c r="D66" s="72"/>
      <c r="E66" s="72"/>
      <c r="F66" s="72"/>
      <c r="G66" s="72"/>
      <c r="H66" s="56"/>
    </row>
  </sheetData>
  <mergeCells count="18">
    <mergeCell ref="K2:L2"/>
    <mergeCell ref="K3:L3"/>
    <mergeCell ref="R2:X2"/>
    <mergeCell ref="R3:X3"/>
    <mergeCell ref="B32:H32"/>
    <mergeCell ref="B50:H50"/>
    <mergeCell ref="I2:J2"/>
    <mergeCell ref="I3:J3"/>
    <mergeCell ref="Z4:AQ4"/>
    <mergeCell ref="N6:N30"/>
    <mergeCell ref="I6:I30"/>
    <mergeCell ref="J6:J30"/>
    <mergeCell ref="K6:K30"/>
    <mergeCell ref="L6:L30"/>
    <mergeCell ref="M6:M30"/>
    <mergeCell ref="B4:H4"/>
    <mergeCell ref="I4:N4"/>
    <mergeCell ref="O4:X4"/>
  </mergeCells>
  <conditionalFormatting sqref="A6:X30">
    <cfRule type="expression" dxfId="11" priority="1">
      <formula>AND($B6&lt;&gt;"",$A6=FALSE)</formula>
    </cfRule>
  </conditionalFormatting>
  <conditionalFormatting sqref="A34:H48">
    <cfRule type="expression" dxfId="10" priority="2">
      <formula>AND($B34&lt;&gt;"",$A34=TRUE)</formula>
    </cfRule>
  </conditionalFormatting>
  <conditionalFormatting sqref="A34:H48">
    <cfRule type="expression" dxfId="9" priority="3">
      <formula>AND($B34="",$A34=TRUE)</formula>
    </cfRule>
  </conditionalFormatting>
  <conditionalFormatting sqref="A52:H66">
    <cfRule type="expression" dxfId="8" priority="4">
      <formula>AND($B52&lt;&gt;"",$A52=TRUE)</formula>
    </cfRule>
  </conditionalFormatting>
  <conditionalFormatting sqref="A52:H66">
    <cfRule type="expression" dxfId="7" priority="5">
      <formula>AND($B52="",$A52=TRUE)</formula>
    </cfRule>
  </conditionalFormatting>
  <conditionalFormatting sqref="R3:X3">
    <cfRule type="expression" dxfId="6" priority="6">
      <formula>LEFT($R$3,2)&lt;&gt;"OK"</formula>
    </cfRule>
  </conditionalFormatting>
  <dataValidations count="5">
    <dataValidation type="list" allowBlank="1" showInputMessage="1" showErrorMessage="1" sqref="D3:F3 H3" xr:uid="{B7BA6C21-9007-4332-92AC-34B89DFF0693}">
      <formula1>"Yes,No"</formula1>
    </dataValidation>
    <dataValidation type="whole" allowBlank="1" showInputMessage="1" showErrorMessage="1" sqref="G3" xr:uid="{EE9C636F-0B7B-46C9-BBA0-62626E29F149}">
      <formula1>1</formula1>
      <formula2>100</formula2>
    </dataValidation>
    <dataValidation type="list" allowBlank="1" showInputMessage="1" showErrorMessage="1" sqref="B4" xr:uid="{82AACC9A-8716-40DB-9273-AF2D660EAFEE}">
      <formula1>_xlfn.ANCHORARRAY($BE$6)</formula1>
    </dataValidation>
    <dataValidation type="list" allowBlank="1" showInputMessage="1" showErrorMessage="1" sqref="I4" xr:uid="{83B15AEC-F19C-4CBC-A6EF-46DA9B47C50B}">
      <formula1>_xlfn.ANCHORARRAY($BG$6)</formula1>
    </dataValidation>
    <dataValidation type="list" allowBlank="1" showInputMessage="1" showErrorMessage="1" sqref="B3" xr:uid="{BB3E2C8F-7FDE-42CC-8DCD-A12FC491DEC3}">
      <formula1>FactionList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50DF35D-7448-4459-999C-C088BC0BE2E9}">
          <x14:formula1>
            <xm:f>#REF!</xm:f>
          </x14:formula1>
          <xm:sqref>J4:N4</xm:sqref>
        </x14:dataValidation>
        <x14:dataValidation type="list" allowBlank="1" showInputMessage="1" showErrorMessage="1" xr:uid="{37229C2E-B489-49CF-9F98-0DE5953AB557}">
          <x14:formula1>
            <xm:f>DeathGuard!$B$4:$B$40</xm:f>
          </x14:formula1>
          <xm:sqref>C4:H4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A64DA-6EBE-48B6-9A79-170EDBF1FA91}">
  <sheetPr codeName="Sheet2">
    <tabColor theme="1" tint="0.499984740745262"/>
  </sheetPr>
  <dimension ref="A1:BK66"/>
  <sheetViews>
    <sheetView workbookViewId="0">
      <selection activeCell="BD1" sqref="BD1:BD1048576"/>
    </sheetView>
  </sheetViews>
  <sheetFormatPr defaultColWidth="9.109375" defaultRowHeight="14.4" outlineLevelCol="4" x14ac:dyDescent="0.3"/>
  <cols>
    <col min="1" max="1" width="5.21875" style="7" bestFit="1" customWidth="1"/>
    <col min="2" max="2" width="26.33203125" style="7" customWidth="1"/>
    <col min="3" max="3" width="9.109375" style="7"/>
    <col min="4" max="7" width="13" style="7" customWidth="1"/>
    <col min="8" max="8" width="27.77734375" style="7" customWidth="1"/>
    <col min="9" max="10" width="9.109375" style="7" customWidth="1"/>
    <col min="11" max="14" width="9.109375" style="7"/>
    <col min="15" max="23" width="11.44140625" style="7" customWidth="1"/>
    <col min="24" max="24" width="27.77734375" style="7" customWidth="1"/>
    <col min="25" max="25" width="2.77734375" style="7" customWidth="1"/>
    <col min="26" max="43" width="9.6640625" style="7" hidden="1" customWidth="1" outlineLevel="1"/>
    <col min="44" max="50" width="9.6640625" style="7" hidden="1" customWidth="1" outlineLevel="2"/>
    <col min="51" max="55" width="11.109375" style="7" hidden="1" customWidth="1" outlineLevel="4"/>
    <col min="56" max="56" width="9.109375" style="7" collapsed="1"/>
    <col min="57" max="16384" width="9.109375" style="7"/>
  </cols>
  <sheetData>
    <row r="1" spans="1:63" ht="14.55" customHeight="1" x14ac:dyDescent="0.3"/>
    <row r="2" spans="1:63" ht="43.2" x14ac:dyDescent="0.3">
      <c r="B2" s="7" t="s">
        <v>36</v>
      </c>
      <c r="D2" s="21" t="s">
        <v>202</v>
      </c>
      <c r="E2" s="21" t="s">
        <v>200</v>
      </c>
      <c r="F2" s="21" t="s">
        <v>201</v>
      </c>
      <c r="G2" s="73" t="s">
        <v>303</v>
      </c>
      <c r="H2" s="74"/>
      <c r="I2" s="73" t="s">
        <v>304</v>
      </c>
      <c r="J2" s="74"/>
      <c r="O2" s="26" t="s">
        <v>207</v>
      </c>
      <c r="P2" s="26" t="s">
        <v>219</v>
      </c>
      <c r="Q2" s="26" t="s">
        <v>455</v>
      </c>
      <c r="R2" s="91" t="s">
        <v>456</v>
      </c>
      <c r="S2" s="91"/>
      <c r="T2" s="91"/>
      <c r="U2" s="91"/>
      <c r="V2" s="91"/>
      <c r="W2" s="91"/>
      <c r="X2" s="91"/>
      <c r="Z2" s="24" t="s">
        <v>217</v>
      </c>
      <c r="AA2" s="24" t="s">
        <v>218</v>
      </c>
      <c r="AB2" s="24" t="s">
        <v>256</v>
      </c>
      <c r="AC2" s="24" t="s">
        <v>257</v>
      </c>
      <c r="AD2" s="24" t="s">
        <v>258</v>
      </c>
      <c r="AE2" s="24" t="s">
        <v>266</v>
      </c>
      <c r="AF2" s="24" t="s">
        <v>267</v>
      </c>
      <c r="AG2" s="24" t="s">
        <v>268</v>
      </c>
      <c r="AH2" s="24" t="s">
        <v>362</v>
      </c>
      <c r="AI2" s="24" t="s">
        <v>363</v>
      </c>
      <c r="AJ2" s="24" t="s">
        <v>364</v>
      </c>
    </row>
    <row r="3" spans="1:63" ht="30" customHeight="1" x14ac:dyDescent="0.3">
      <c r="B3" s="7" t="s">
        <v>37</v>
      </c>
      <c r="D3" s="35" t="s">
        <v>57</v>
      </c>
      <c r="E3" s="35">
        <v>5</v>
      </c>
      <c r="F3" s="35" t="s">
        <v>61</v>
      </c>
      <c r="G3" s="75" t="str">
        <f>IF($AB$3="","None ticked",$AB$3)</f>
        <v>None ticked</v>
      </c>
      <c r="H3" s="76"/>
      <c r="I3" s="75" t="str">
        <f>IF($AC$3="","None ticked",$AC$3)</f>
        <v>None ticked</v>
      </c>
      <c r="J3" s="76"/>
      <c r="O3" s="27">
        <f>SUM(V6:V30)</f>
        <v>0</v>
      </c>
      <c r="P3" s="27">
        <f>MIN($E$3,SUM(W6:W30))</f>
        <v>0</v>
      </c>
      <c r="Q3" s="92" t="str" cm="1">
        <f t="array" ref="Q3">SUMPRODUCT(($B$6:$B$30&lt;&gt;"")*($A$6:$A$30=TRUE))&amp;" of "&amp;COUNTIF($B$6:$B$30,"?*")</f>
        <v>0 of 0</v>
      </c>
      <c r="R3" s="93" t="str" cm="1">
        <f t="array" ref="R3">_xlfn.LET(_xlpm.nw,IFERROR(IF(INDEX(_xlfn.ANCHORARRAY($B$6),1)="",0,ROWS(_xlfn.ANCHORARRAY($B$6))),0),_xlpm.un,_xlfn._xlws.FILTER($B$6:$B$30,($B$6:$B$30&lt;&gt;"")*($A$6:$A$30=FALSE),""),_xlpm.ao,IFERROR(ROWS(OPTIONS($B$3,"Attacker","Fighting")),0),_xlpm.to,IFERROR(ROWS(OPTIONS($AD$3,"Target","Fighting")),0),_xlpm.bad,SUMPRODUCT(($A$34:$A$48=TRUE)*($B$34:$B$48=""))+SUMPRODUCT(($A$52:$A$66=TRUE)*($B$52:$B$66="")),_xlpm.w,_xlfn.TEXTJOIN(" | ",TRUE,IF($AD$3="","Target not found - pick a target in I4",""),IF(AND(_xlpm.nw&gt;0,$AD$3&lt;&gt;"",OR(N($I$6)&lt;=0,N($J$6)&lt;=0,NOT(ISNUMBER($K$6)))),"Target is missing T, W or Sv",""),IF(_xlpm.nw&gt;25,"Unit has "&amp;_xlpm.nw&amp;" weapons - only the first 25 are shown",""),IF(_xlpm.ao&gt;15,"Attacker has "&amp;_xlpm.ao&amp;" rules/stratagems - only 15 shown",""),IF(_xlpm.to&gt;15,"Target has "&amp;_xlpm.to&amp;" rules/stratagems - only 15 shown",""),IF(_xlpm.bad&gt;0,_xlpm.bad&amp;" ticked rule/stratagem row(s) are empty - untick them",""),IF(INDEX(_xlpm.un,1)&lt;&gt;"","Unticked: "&amp;_xlfn.TEXTJOIN(", ",TRUE,_xlpm.un),"")),IF(_xlpm.w="","OK - after changing unit, target or faction, re-check your ticks",_xlpm.w))</f>
        <v>OK - after changing unit, target or faction, re-check your ticks</v>
      </c>
      <c r="S3" s="93"/>
      <c r="T3" s="93"/>
      <c r="U3" s="93"/>
      <c r="V3" s="93"/>
      <c r="W3" s="93"/>
      <c r="X3" s="93"/>
      <c r="Z3" s="25" cm="1">
        <f t="array" ref="Z3">_xlfn.LET(_xlpm.a,$M$6,_xlpm.b,KWMIN(($N$6&amp;", "&amp;$AC$3),"Feel No Pain"),MIN(IF(AND(ISNUMBER(_xlpm.a),_xlpm.a&gt;=2,_xlpm.a&lt;=6),_xlpm.a,7),IF(ISNUMBER(_xlpm.b),_xlpm.b,7)))</f>
        <v>7</v>
      </c>
      <c r="AA3" s="25" t="b" cm="1">
        <f t="array" ref="AA3">KW(($N$6&amp;", "&amp;$AC$3),"Stealth")=TRUE</f>
        <v>0</v>
      </c>
      <c r="AB3" s="25" t="str" cm="1">
        <f t="array" ref="AB3">_xlfn.TEXTJOIN(", ",TRUE,_xlfn._xlws.FILTER($D$34:$D$48,($A$34:$A$48=TRUE)*($B$34:$B$48&lt;&gt;""),""))</f>
        <v/>
      </c>
      <c r="AC3" s="25" t="str" cm="1">
        <f t="array" ref="AC3">_xlfn.TEXTJOIN(", ",TRUE,_xlfn._xlws.FILTER($D$52:$D$66,($A$52:$A$66=TRUE)*($B$52:$B$66&lt;&gt;""),""))</f>
        <v/>
      </c>
      <c r="AD3" s="25" t="str">
        <f>IFERROR(_xlfn.TEXTBEFORE(_xlfn.TEXTAFTER($I$4," (",-1),")",-1),"")</f>
        <v>DeathGuard</v>
      </c>
      <c r="AE3" s="25" cm="1">
        <f t="array" ref="AE3">KWSUM(($N$6&amp;", "&amp;$AC$3),"Toughness Modifier")</f>
        <v>0</v>
      </c>
      <c r="AF3" s="25" cm="1">
        <f t="array" ref="AF3">KWSUM(($N$6&amp;", "&amp;$AC$3),"Save Modifier")</f>
        <v>0</v>
      </c>
      <c r="AG3" s="25" cm="1">
        <f t="array" ref="AG3">KWSUM(($N$6&amp;", "&amp;$AC$3),"Damage Modifier")</f>
        <v>0</v>
      </c>
      <c r="AH3" s="25" cm="1">
        <f t="array" ref="AH3">KWSUM(($N$6&amp;", "&amp;$AC$3),"Hit Modifier")</f>
        <v>0</v>
      </c>
      <c r="AI3" s="25" cm="1">
        <f t="array" ref="AI3">KWSUM(($N$6&amp;", "&amp;$AC$3),"Wound Modifier")</f>
        <v>0</v>
      </c>
      <c r="AJ3" s="25" cm="1">
        <f t="array" ref="AJ3">KWSUM(($N$6&amp;", "&amp;$AC$3),"AP Modifier")</f>
        <v>0</v>
      </c>
    </row>
    <row r="4" spans="1:63" ht="14.55" customHeight="1" x14ac:dyDescent="0.3">
      <c r="B4" s="47"/>
      <c r="C4" s="48"/>
      <c r="D4" s="48"/>
      <c r="E4" s="48"/>
      <c r="F4" s="48"/>
      <c r="G4" s="48"/>
      <c r="H4" s="49"/>
      <c r="I4" s="50" t="s">
        <v>448</v>
      </c>
      <c r="J4" s="50"/>
      <c r="K4" s="50"/>
      <c r="L4" s="50"/>
      <c r="M4" s="50"/>
      <c r="N4" s="51"/>
      <c r="O4" s="52" t="s">
        <v>18</v>
      </c>
      <c r="P4" s="53"/>
      <c r="Q4" s="53"/>
      <c r="R4" s="53"/>
      <c r="S4" s="53"/>
      <c r="T4" s="53"/>
      <c r="U4" s="53"/>
      <c r="V4" s="53"/>
      <c r="W4" s="53"/>
      <c r="X4" s="54"/>
      <c r="Z4" s="22" t="s">
        <v>216</v>
      </c>
      <c r="AA4" s="22"/>
      <c r="AB4" s="22"/>
      <c r="AC4" s="22"/>
      <c r="AD4" s="22"/>
      <c r="AE4" s="22"/>
      <c r="AF4" s="22"/>
      <c r="AG4" s="22"/>
      <c r="AH4" s="22"/>
      <c r="AI4" s="22"/>
      <c r="AJ4" s="22"/>
      <c r="AK4" s="22"/>
      <c r="AL4" s="22"/>
      <c r="AM4" s="22"/>
      <c r="AN4" s="22"/>
      <c r="AO4" s="22"/>
      <c r="AP4" s="22"/>
      <c r="AQ4" s="22"/>
      <c r="AR4" s="23"/>
      <c r="AS4" s="23"/>
      <c r="AT4" s="23"/>
      <c r="AU4" s="23"/>
      <c r="AV4" s="23"/>
      <c r="AW4" s="23"/>
      <c r="AX4" s="23"/>
      <c r="AY4" s="23"/>
      <c r="AZ4" s="23"/>
      <c r="BA4" s="23"/>
      <c r="BB4" s="23"/>
      <c r="BC4" s="23"/>
    </row>
    <row r="5" spans="1:63" s="32" customFormat="1" ht="28.8" customHeight="1" x14ac:dyDescent="0.3">
      <c r="A5" s="63" t="s">
        <v>221</v>
      </c>
      <c r="B5" s="42" t="s">
        <v>2</v>
      </c>
      <c r="C5" s="43" t="s">
        <v>3</v>
      </c>
      <c r="D5" s="43" t="s">
        <v>4</v>
      </c>
      <c r="E5" s="43" t="s">
        <v>5</v>
      </c>
      <c r="F5" s="43" t="s">
        <v>6</v>
      </c>
      <c r="G5" s="43" t="s">
        <v>7</v>
      </c>
      <c r="H5" s="44" t="s">
        <v>8</v>
      </c>
      <c r="I5" s="42" t="s">
        <v>15</v>
      </c>
      <c r="J5" s="43" t="s">
        <v>16</v>
      </c>
      <c r="K5" s="43" t="s">
        <v>449</v>
      </c>
      <c r="L5" s="43" t="s">
        <v>450</v>
      </c>
      <c r="M5" s="43" t="s">
        <v>19</v>
      </c>
      <c r="N5" s="44" t="s">
        <v>17</v>
      </c>
      <c r="O5" s="45" t="s">
        <v>64</v>
      </c>
      <c r="P5" s="45" t="s">
        <v>31</v>
      </c>
      <c r="Q5" s="45" t="s">
        <v>203</v>
      </c>
      <c r="R5" s="45" t="s">
        <v>32</v>
      </c>
      <c r="S5" s="45" t="s">
        <v>204</v>
      </c>
      <c r="T5" s="45" t="s">
        <v>205</v>
      </c>
      <c r="U5" s="45" t="s">
        <v>206</v>
      </c>
      <c r="V5" s="45" t="s">
        <v>207</v>
      </c>
      <c r="W5" s="45" t="s">
        <v>208</v>
      </c>
      <c r="X5" s="46" t="s">
        <v>209</v>
      </c>
      <c r="Z5" s="24" t="s">
        <v>105</v>
      </c>
      <c r="AA5" s="24" t="s">
        <v>86</v>
      </c>
      <c r="AB5" s="24" t="s">
        <v>102</v>
      </c>
      <c r="AC5" s="24" t="s">
        <v>210</v>
      </c>
      <c r="AD5" s="24" t="s">
        <v>107</v>
      </c>
      <c r="AE5" s="24" t="s">
        <v>84</v>
      </c>
      <c r="AF5" s="24" t="s">
        <v>78</v>
      </c>
      <c r="AG5" s="24" t="s">
        <v>99</v>
      </c>
      <c r="AH5" s="24" t="s">
        <v>11</v>
      </c>
      <c r="AI5" s="24" t="s">
        <v>65</v>
      </c>
      <c r="AJ5" s="24" t="s">
        <v>88</v>
      </c>
      <c r="AK5" s="24" t="s">
        <v>81</v>
      </c>
      <c r="AL5" s="24" t="s">
        <v>98</v>
      </c>
      <c r="AM5" s="24" t="s">
        <v>211</v>
      </c>
      <c r="AN5" s="24" t="s">
        <v>212</v>
      </c>
      <c r="AO5" s="24" t="s">
        <v>213</v>
      </c>
      <c r="AP5" s="24" t="s">
        <v>214</v>
      </c>
      <c r="AQ5" s="24" t="s">
        <v>215</v>
      </c>
      <c r="AR5" s="24" t="s">
        <v>259</v>
      </c>
      <c r="AS5" s="24" t="s">
        <v>260</v>
      </c>
      <c r="AT5" s="24" t="s">
        <v>261</v>
      </c>
      <c r="AU5" s="24" t="s">
        <v>262</v>
      </c>
      <c r="AV5" s="24" t="s">
        <v>263</v>
      </c>
      <c r="AW5" s="24" t="s">
        <v>264</v>
      </c>
      <c r="AX5" s="24" t="s">
        <v>265</v>
      </c>
      <c r="AY5" s="24" t="s">
        <v>370</v>
      </c>
      <c r="AZ5" s="24" t="s">
        <v>371</v>
      </c>
      <c r="BA5" s="24" t="s">
        <v>375</v>
      </c>
      <c r="BB5" s="24" t="s">
        <v>373</v>
      </c>
      <c r="BC5" s="24" t="s">
        <v>374</v>
      </c>
      <c r="BE5" s="20" t="s">
        <v>42</v>
      </c>
      <c r="BG5" s="20" t="s">
        <v>43</v>
      </c>
      <c r="BI5" s="20"/>
      <c r="BJ5" s="20"/>
      <c r="BK5" s="20"/>
    </row>
    <row r="6" spans="1:63" ht="14.55" customHeight="1" x14ac:dyDescent="0.3">
      <c r="A6" s="64" t="b">
        <v>1</v>
      </c>
      <c r="B6" s="55" t="str" cm="1">
        <f t="array" ref="B6">IFERROR(_xlfn.LET(_xlpm.k,_xlfn.XMATCH(TRIM($B$3),Factions[Faction]),_xlpm.u,$B$4,_xlpm.blk,FACTIONBLOCK(_xlpm.k),_xlpm.srcUnit,_xlfn.CHOOSECOLS(_xlpm.blk,1),_xlpm.srcWeapon,_xlfn.CHOOSECOLS(_xlpm.blk,8),_xlpm.srcType,_xlfn.CHOOSECOLS(_xlpm.blk,9),_xlpm.unitFill,_xlfn.SCAN("",_xlpm.srcUnit,_xlfn.LAMBDA(_xlpm.a,_xlpm.v,IF(_xlpm.v&lt;&gt;"",_xlpm.v,_xlpm.a))),_xlpm.names,_xlfn._xlws.FILTER(_xlpm.srcWeapon,(_xlpm.unitFill=_xlpm.u)*(_xlpm.srcWeapon&lt;&gt;"")*(_xlpm.srcType="Melee")),_xlpm.stats,_xlfn.CHOOSECOLS(_xlpm.blk,_xlfn.SEQUENCE(1,7,21)),_xlpm.statNames,_xlfn.CHOOSECOLS(_xlpm.blk,21),_xlpm.idx,_xlfn.XMATCH(_xlpm.names,_xlpm.statNames),_xlpm.res,_xlfn.CHOOSEROWS(_xlpm.stats,_xlfn._xlws.FILTER(_xlpm.idx,ISNUMBER(_xlpm.idx))),IF(_xlpm.res="","",_xlpm.res)),"")</f>
        <v/>
      </c>
      <c r="C6" s="36"/>
      <c r="D6" s="36"/>
      <c r="E6" s="36"/>
      <c r="F6" s="36"/>
      <c r="G6" s="36"/>
      <c r="H6" s="1"/>
      <c r="I6" s="9" t="str" cm="1">
        <f t="array" ref="I6">IF($B$6="","",_xlfn.XLOOKUP($I$4,_xlfn.CHOOSECOLS(AllTargets,1),_xlfn.CHOOSECOLS(AllTargets,COLUMN()-COLUMN($H$6)+1),""))</f>
        <v/>
      </c>
      <c r="J6" s="34" t="str" cm="1">
        <f t="array" ref="J6">IF($B$6="","",_xlfn.XLOOKUP($I$4,_xlfn.CHOOSECOLS(AllTargets,1),_xlfn.CHOOSECOLS(AllTargets,COLUMN()-COLUMN($H$6)+1),""))</f>
        <v/>
      </c>
      <c r="K6" s="34" t="str" cm="1">
        <f t="array" ref="K6">IF($B$6="","",_xlfn.XLOOKUP($I$4,_xlfn.CHOOSECOLS(AllTargets,1),_xlfn.CHOOSECOLS(AllTargets,COLUMN()-COLUMN($H$6)+1),""))</f>
        <v/>
      </c>
      <c r="L6" s="34" t="str" cm="1">
        <f t="array" ref="L6">IF($B$6="","",_xlfn.XLOOKUP($I$4,_xlfn.CHOOSECOLS(AllTargets,1),_xlfn.CHOOSECOLS(AllTargets,COLUMN()-COLUMN($H$6)+1),""))</f>
        <v/>
      </c>
      <c r="M6" s="34" t="str" cm="1">
        <f t="array" ref="M6">IF($B$6="","",_xlfn.XLOOKUP($I$4,_xlfn.CHOOSECOLS(AllTargets,1),_xlfn.CHOOSECOLS(AllTargets,COLUMN()-COLUMN($H$6)+1),""))</f>
        <v/>
      </c>
      <c r="N6" s="11" t="str" cm="1">
        <f t="array" ref="N6">IF($B$6="","",_xlfn.XLOOKUP($I$4,_xlfn.CHOOSECOLS(AllTargets,1),_xlfn.CHOOSECOLS(AllTargets,COLUMN()-COLUMN($H$6)+1),""))</f>
        <v/>
      </c>
      <c r="O6" s="37" t="str">
        <f>IF(OR($B6="",NOT($A6)),"",MAX(1,IF(LEFT($C6,1)="D",(VALUE(MID($C6,2,99))+1)/2,$C6)+$AY6)+$AG6*FALSE+($AH6+$AI6)*INT($E$3/5))</f>
        <v/>
      </c>
      <c r="P6" s="37" t="str">
        <f>IF(OR($B6="",NOT($A6)),"",IF($Z6,$O6,_xlfn.LET(_xlpm.p,MAX((7-$AN6)/6,(7-$BB6)/6),_xlpm.ph,IF($AV6=2,_xlpm.p+(1-_xlpm.p)*_xlpm.p,IF($AV6=1,_xlpm.p+_xlpm.p/6,_xlpm.p)),$O6*_xlpm.ph+$O6*$AX6*$AB6)))</f>
        <v/>
      </c>
      <c r="Q6" s="37" t="str">
        <f>IF(OR($B6="",NOT($A6)),"",IF(AND($AA6,NOT($Z6)),$O6*$AX6,0))</f>
        <v/>
      </c>
      <c r="R6" s="37" t="str">
        <f>IF(OR($B6="",NOT($A6)),"",_xlfn.LET(_xlpm.n,$P6-$Q6,_xlpm.pW,(7-$AO6)/6,_xlpm.pC,(7-$AM6)/6,_xlpm.pT,MAX(_xlpm.pW,_xlpm.pC),_xlpm.rr,$AW6,_xlpm.n*IF(_xlpm.rr=2,1-(1-_xlpm.pT)^2,IF(_xlpm.rr=1,_xlpm.pT+_xlpm.pT/6,_xlpm.pT))+$Q6))</f>
        <v/>
      </c>
      <c r="S6" s="37" t="str">
        <f>IF(OR($B6="",NOT($A6)),"",IF($AC6,_xlfn.LET(_xlpm.n,$P6-$Q6,_xlpm.pW,(7-$AO6)/6,_xlpm.pC,(7-$AM6)/6,_xlpm.pT,MAX(_xlpm.pW,_xlpm.pC),_xlpm.rr,$AW6,_xlpm.n*IF(_xlpm.rr=2,_xlpm.pC+(1-_xlpm.pT)*_xlpm.pC,IF(_xlpm.rr=1,_xlpm.pC+_xlpm.pC/6,_xlpm.pC))),0))</f>
        <v/>
      </c>
      <c r="T6" s="37" t="str">
        <f>IF(OR($B6="",NOT($A6)),"",($R6-$S6)*($AP6-1)/6)</f>
        <v/>
      </c>
      <c r="U6" s="37" t="str">
        <f>IF(OR($B6="",NOT($A6)),"",MAX(1,IF(LEFT($G6,1)="D",(VALUE(MID($G6,2,99))+1)/2,$G6)+$AJ6*FALSE+$AU6+$AG$3))</f>
        <v/>
      </c>
      <c r="V6" s="37" t="str">
        <f>IF(OR($B6="",NOT($A6)),"",($T6+$S6)*IF(N($J$6)&gt;0,MIN($U6,$J$6),$U6)*($Z$3-1)/6)</f>
        <v/>
      </c>
      <c r="W6" s="37" t="str">
        <f>IF(OR($B6="",NOT($A6),$AQ6=""),"",MIN($E$3,($T6+$S6)/$AQ6))</f>
        <v/>
      </c>
      <c r="X6" s="56" t="str">
        <f>IF(OR($B6="",NOT($A6)),"",TEXT($V6,"0.00")&amp;" dmg"&amp;IF($W6="","",", "&amp;TEXT($W6,"0.00")&amp;" kills"))</f>
        <v/>
      </c>
      <c r="Z6" s="28" t="str" cm="1">
        <f t="array" ref="Z6">IF($B6="","",KW(($H6&amp;", "&amp;$AB$3),"Torrent")=TRUE)</f>
        <v/>
      </c>
      <c r="AA6" s="28" t="str" cm="1">
        <f t="array" ref="AA6">IF($B6="","",KW(($H6&amp;", "&amp;$AB$3),"Lethal Hits")=TRUE)</f>
        <v/>
      </c>
      <c r="AB6" s="28" t="str" cm="1">
        <f t="array" ref="AB6">IF($B6="","",N(KW(($H6&amp;", "&amp;$AB$3),"Sustained Hits")))</f>
        <v/>
      </c>
      <c r="AC6" s="28" t="str" cm="1">
        <f t="array" ref="AC6">IF($B6="","",KW(($H6&amp;", "&amp;$AB$3),"Devastating Wounds")=TRUE)</f>
        <v/>
      </c>
      <c r="AD6" s="28" t="str" cm="1">
        <f t="array" ref="AD6">IF($B6="","",KW(($H6&amp;", "&amp;$AB$3),"Twin-Linked")=TRUE)</f>
        <v/>
      </c>
      <c r="AE6" s="28" t="str" cm="1">
        <f t="array" ref="AE6">IF($B6="","",KW(($H6&amp;", "&amp;$AB$3),"Lance")=TRUE)</f>
        <v/>
      </c>
      <c r="AF6" s="28" t="str" cm="1">
        <f t="array" ref="AF6">IF($B6="","",KW(($H6&amp;", "&amp;$AB$3),"Heavy")=TRUE)</f>
        <v/>
      </c>
      <c r="AG6" s="28" t="str" cm="1">
        <f t="array" ref="AG6">IF($B6="","",N(KW(($H6&amp;", "&amp;$AB$3),"Rapid Fire")))</f>
        <v/>
      </c>
      <c r="AH6" s="28" t="str" cm="1">
        <f t="array" ref="AH6">IF($B6="","",N(KW(($H6&amp;", "&amp;$AB$3),"Blast")))</f>
        <v/>
      </c>
      <c r="AI6" s="28" t="str" cm="1">
        <f t="array" ref="AI6">IF($B6="","",N(KW(($H6&amp;", "&amp;$AB$3),"Cleave")))</f>
        <v/>
      </c>
      <c r="AJ6" s="28" t="str" cm="1">
        <f t="array" ref="AJ6">IF($B6="","",N(KW(($H6&amp;", "&amp;$AB$3),"Melta")))</f>
        <v/>
      </c>
      <c r="AK6" s="28" t="str" cm="1">
        <f t="array" ref="AK6">IF($B6="","",KW(($H6&amp;", "&amp;$AB$3),"Ignores Cover")=TRUE)</f>
        <v/>
      </c>
      <c r="AL6" s="28" t="str" cm="1">
        <f t="array" ref="AL6">IF($B6="","",KW(($H6&amp;", "&amp;$AB$3),"Psychic")=TRUE)</f>
        <v/>
      </c>
      <c r="AM6" s="29" t="str" cm="1">
        <f t="array" ref="AM6">IF($B6="","",_xlfn.LET(_xlpm.src,$H6&amp;", "&amp;$AB$3,_xlpm.a,KWANTI(_xlpm.src,($N$6&amp;", "&amp;$AC$3)),_xlpm.c,KWMIN(_xlpm.src,"Critical Wounds"),MIN(_xlpm.a,IF(ISNUMBER(_xlpm.c),MEDIAN(2,6,_xlpm.c),6))))</f>
        <v/>
      </c>
      <c r="AN6" s="29" t="str">
        <f>IF($B6="","",IF($Z6,0,_xlfn.LET(_xlpm.psy,$AL6,_xlpm.dmg,-($F$3="Yes"),_xlpm.am,$AR6,_xlpm.tm,$AH$3,_xlpm.mods,IF(_xlpm.psy,MAX(0,_xlpm.am)+MAX(0,_xlpm.tm),_xlpm.dmg+_xlpm.am+_xlpm.tm),_xlpm.ws,MIN(6,MAX(2,$D6+IF(_xlpm.psy,MIN(0,$BA6),$BA6))),MEDIAN(2,6,_xlpm.ws-MAX(-1,MIN(1,_xlpm.mods))))))</f>
        <v/>
      </c>
      <c r="AO6" s="29" t="str">
        <f>IF($B6="","",_xlfn.LET(_xlpm.s,MAX(1,$E6+$AZ6),_xlpm.t,MAX(1,N($I$6)+$AE$3),_xlpm.base,7-(1+(_xlpm.s&gt;=2*_xlpm.t)+(_xlpm.s&gt;_xlpm.t)+(_xlpm.s&gt;=_xlpm.t)+(_xlpm.s&gt;_xlpm.t/2)),MEDIAN(2,6,_xlpm.base-MAX(-1,MIN(1,$AS6+$AE6*($D$3="Yes")+$AI$3)))))</f>
        <v/>
      </c>
      <c r="AP6" s="29" t="str">
        <f>IF($B6="","",_xlfn.LET(_xlpm.ap,MIN(0,$F6+$AT6+$AJ$3),_xlpm.arm,$K$6-_xlpm.ap-$AF$3-$BC6,_xlpm.inv,IF(ISNUMBER($L$6),$L$6,7),MEDIAN(2,7,MIN(_xlpm.arm,_xlpm.inv))))</f>
        <v/>
      </c>
      <c r="AQ6" s="30" t="str">
        <f>IF(OR($B6="",N($J$6)&lt;=0),"",ROUNDUP($J$6/MIN($U6,$J$6),0)/(($Z$3-1)/6))</f>
        <v/>
      </c>
      <c r="AR6" s="30" t="str" cm="1">
        <f t="array" ref="AR6">IF($B6="","",KWSUM(($H6&amp;", "&amp;$AB$3),"Hit Modifier"))</f>
        <v/>
      </c>
      <c r="AS6" s="30" t="str" cm="1">
        <f t="array" ref="AS6">IF($B6="","",KWSUM(($H6&amp;", "&amp;$AB$3),"Wound Modifier"))</f>
        <v/>
      </c>
      <c r="AT6" s="30" t="str" cm="1">
        <f t="array" ref="AT6">IF($B6="","",KWSUM(($H6&amp;", "&amp;$AB$3),"AP Modifier"))</f>
        <v/>
      </c>
      <c r="AU6" s="30" t="str" cm="1">
        <f t="array" ref="AU6">IF($B6="","",KWSUM(($H6&amp;", "&amp;$AB$3),"Damage Modifier"))</f>
        <v/>
      </c>
      <c r="AV6" s="30" t="str" cm="1">
        <f t="array" ref="AV6">IF($B6="","",_xlfn.LET(_xlpm.src,$H6&amp;", "&amp;$AB$3,_xlpm.full,ISNUMBER(_xlfn.XMATCH("Reroll Hits",TRIM(_xlfn.TEXTSPLIT(_xlpm.src,",")))),_xlpm.r,KW(_xlpm.src,"Reroll Hits"),IF(_xlpm.full,2,IF(N(_xlpm.r)&gt;=1,1,0))))</f>
        <v/>
      </c>
      <c r="AW6" s="30" t="str" cm="1">
        <f t="array" ref="AW6">IF($B6="","",_xlfn.LET(_xlpm.src,$H6&amp;", "&amp;$AB$3,_xlpm.full,OR($AD6,ISNUMBER(_xlfn.XMATCH("Reroll Wounds",TRIM(_xlfn.TEXTSPLIT(_xlpm.src,","))))),_xlpm.r,KW(_xlpm.src,"Reroll Wounds"),IF(_xlpm.full,2,IF(N(_xlpm.r)&gt;=1,1,0))))</f>
        <v/>
      </c>
      <c r="AX6" s="30" t="str">
        <f>IF($B6="","",IF($Z6,0,_xlfn.LET(_xlpm.pc,(7-$BB6)/6,_xlpm.p,MAX((7-$AN6)/6,_xlpm.pc),IF($AV6=2,_xlpm.pc+(1-_xlpm.p)*_xlpm.pc,IF($AV6=1,_xlpm.pc+_xlpm.pc/6,_xlpm.pc)))))</f>
        <v/>
      </c>
      <c r="AY6" s="30" t="str" cm="1">
        <f t="array" ref="AY6">IF($B6="","",KWSUM($H6&amp;", "&amp;$AB$3,"Attacks Modifier"))</f>
        <v/>
      </c>
      <c r="AZ6" s="30" t="str" cm="1">
        <f t="array" ref="AZ6">IF($B6="","",KWSUM($H6&amp;", "&amp;$AB$3,"Strength Modifier"))</f>
        <v/>
      </c>
      <c r="BA6" s="30" t="str" cm="1">
        <f t="array" ref="BA6">IF($B6="","",KWSUM($H6&amp;", "&amp;$AB$3,"WS Modifier"))</f>
        <v/>
      </c>
      <c r="BB6" s="30" t="str" cm="1">
        <f t="array" ref="BB6">IF($B6="","",_xlfn.LET(_xlpm.c,KWMIN($H6&amp;", "&amp;$AB$3,"Critical Hits"),IF(ISNUMBER(_xlpm.c),MEDIAN(2,6,_xlpm.c),6)))</f>
        <v/>
      </c>
      <c r="BC6" s="30" t="str" cm="1">
        <f t="array" ref="BC6">IF($B6="","",KWSUM($H6&amp;", "&amp;$AB$3,"Save Modifier"))</f>
        <v/>
      </c>
      <c r="BE6" s="7" t="str" cm="1">
        <f t="array" ref="BE6">_xlfn.LET(_xlpm.k,_xlfn.XMATCH(TRIM($B$3),Factions[Faction]),_xlpm.blk,FACTIONBLOCK(_xlpm.k),_xlpm.unitFill,_xlfn.SCAN("",_xlfn.CHOOSECOLS(_xlpm.blk,1),_xlfn.LAMBDA(_xlpm.a,_xlpm.v,IF(_xlpm.v&lt;&gt;"",_xlpm.v,_xlpm.a))),IFERROR(_xlfn.UNIQUE(_xlfn._xlws.FILTER(_xlpm.unitFill,(_xlpm.unitFill&lt;&gt;"")*(_xlfn.CHOOSECOLS(_xlpm.blk,9)="Melee"))),"No melee units"))</f>
        <v>No melee units</v>
      </c>
      <c r="BG6" s="7" t="str" cm="1">
        <f t="array" ref="BG6:BG8">_xlfn.LET(_xlpm.n,_xlfn.CHOOSECOLS(AllTargets,1),_xlfn.UNIQUE(_xlfn._xlws.FILTER(_xlpm.n,_xlpm.n&lt;&gt;"")))</f>
        <v>Myphitic Blight Hauler (DeathGuard)</v>
      </c>
    </row>
    <row r="7" spans="1:63" ht="14.55" customHeight="1" x14ac:dyDescent="0.3">
      <c r="A7" s="64" t="b">
        <v>1</v>
      </c>
      <c r="B7" s="55"/>
      <c r="C7" s="36"/>
      <c r="D7" s="36"/>
      <c r="E7" s="36"/>
      <c r="F7" s="36"/>
      <c r="G7" s="36"/>
      <c r="H7" s="1"/>
      <c r="I7" s="9"/>
      <c r="J7" s="34"/>
      <c r="K7" s="34"/>
      <c r="L7" s="34"/>
      <c r="M7" s="34"/>
      <c r="N7" s="11"/>
      <c r="O7" s="37" t="str">
        <f t="shared" ref="O7:O30" si="0">IF(OR($B7="",NOT($A7)),"",MAX(1,IF(LEFT($C7,1)="D",(VALUE(MID($C7,2,99))+1)/2,$C7)+$AY7)+$AG7*FALSE+($AH7+$AI7)*INT($E$3/5))</f>
        <v/>
      </c>
      <c r="P7" s="37" t="str">
        <f t="shared" ref="P7:P30" si="1">IF(OR($B7="",NOT($A7)),"",IF($Z7,$O7,_xlfn.LET(_xlpm.p,MAX((7-$AN7)/6,(7-$BB7)/6),_xlpm.ph,IF($AV7=2,_xlpm.p+(1-_xlpm.p)*_xlpm.p,IF($AV7=1,_xlpm.p+_xlpm.p/6,_xlpm.p)),$O7*_xlpm.ph+$O7*$AX7*$AB7)))</f>
        <v/>
      </c>
      <c r="Q7" s="37" t="str">
        <f>IF(OR($B7="",NOT($A7)),"",IF(AND($AA7,NOT($Z7)),$O7*$AX7,0))</f>
        <v/>
      </c>
      <c r="R7" s="37" t="str">
        <f>IF(OR($B7="",NOT($A7)),"",_xlfn.LET(_xlpm.n,$P7-$Q7,_xlpm.pW,(7-$AO7)/6,_xlpm.pC,(7-$AM7)/6,_xlpm.pT,MAX(_xlpm.pW,_xlpm.pC),_xlpm.rr,$AW7,_xlpm.n*IF(_xlpm.rr=2,1-(1-_xlpm.pT)^2,IF(_xlpm.rr=1,_xlpm.pT+_xlpm.pT/6,_xlpm.pT))+$Q7))</f>
        <v/>
      </c>
      <c r="S7" s="37" t="str">
        <f>IF(OR($B7="",NOT($A7)),"",IF($AC7,_xlfn.LET(_xlpm.n,$P7-$Q7,_xlpm.pW,(7-$AO7)/6,_xlpm.pC,(7-$AM7)/6,_xlpm.pT,MAX(_xlpm.pW,_xlpm.pC),_xlpm.rr,$AW7,_xlpm.n*IF(_xlpm.rr=2,_xlpm.pC+(1-_xlpm.pT)*_xlpm.pC,IF(_xlpm.rr=1,_xlpm.pC+_xlpm.pC/6,_xlpm.pC))),0))</f>
        <v/>
      </c>
      <c r="T7" s="37" t="str">
        <f>IF(OR($B7="",NOT($A7)),"",($R7-$S7)*($AP7-1)/6)</f>
        <v/>
      </c>
      <c r="U7" s="37" t="str">
        <f>IF(OR($B7="",NOT($A7)),"",MAX(1,IF(LEFT($G7,1)="D",(VALUE(MID($G7,2,99))+1)/2,$G7)+$AJ7*FALSE+$AU7+$AG$3))</f>
        <v/>
      </c>
      <c r="V7" s="37" t="str">
        <f>IF(OR($B7="",NOT($A7)),"",($T7+$S7)*IF(N($J$6)&gt;0,MIN($U7,$J$6),$U7)*($Z$3-1)/6)</f>
        <v/>
      </c>
      <c r="W7" s="37" t="str">
        <f>IF(OR($B7="",NOT($A7),$AQ7=""),"",MIN($E$3,($T7+$S7)/$AQ7))</f>
        <v/>
      </c>
      <c r="X7" s="56" t="str">
        <f>IF(OR($B7="",NOT($A7)),"",TEXT($V7,"0.00")&amp;" dmg"&amp;IF($W7="","",", "&amp;TEXT($W7,"0.00")&amp;" kills"))</f>
        <v/>
      </c>
      <c r="Z7" s="28" t="str" cm="1">
        <f t="array" ref="Z7">IF($B7="","",KW(($H7&amp;", "&amp;$AB$3),"Torrent")=TRUE)</f>
        <v/>
      </c>
      <c r="AA7" s="28" t="str" cm="1">
        <f t="array" ref="AA7">IF($B7="","",KW(($H7&amp;", "&amp;$AB$3),"Lethal Hits")=TRUE)</f>
        <v/>
      </c>
      <c r="AB7" s="28" t="str" cm="1">
        <f t="array" ref="AB7">IF($B7="","",N(KW(($H7&amp;", "&amp;$AB$3),"Sustained Hits")))</f>
        <v/>
      </c>
      <c r="AC7" s="28" t="str" cm="1">
        <f t="array" ref="AC7">IF($B7="","",KW(($H7&amp;", "&amp;$AB$3),"Devastating Wounds")=TRUE)</f>
        <v/>
      </c>
      <c r="AD7" s="28" t="str" cm="1">
        <f t="array" ref="AD7">IF($B7="","",KW(($H7&amp;", "&amp;$AB$3),"Twin-Linked")=TRUE)</f>
        <v/>
      </c>
      <c r="AE7" s="28" t="str" cm="1">
        <f t="array" ref="AE7">IF($B7="","",KW(($H7&amp;", "&amp;$AB$3),"Lance")=TRUE)</f>
        <v/>
      </c>
      <c r="AF7" s="28" t="str" cm="1">
        <f t="array" ref="AF7">IF($B7="","",KW(($H7&amp;", "&amp;$AB$3),"Heavy")=TRUE)</f>
        <v/>
      </c>
      <c r="AG7" s="28" t="str" cm="1">
        <f t="array" ref="AG7">IF($B7="","",N(KW(($H7&amp;", "&amp;$AB$3),"Rapid Fire")))</f>
        <v/>
      </c>
      <c r="AH7" s="28" t="str" cm="1">
        <f t="array" ref="AH7">IF($B7="","",N(KW(($H7&amp;", "&amp;$AB$3),"Blast")))</f>
        <v/>
      </c>
      <c r="AI7" s="28" t="str" cm="1">
        <f t="array" ref="AI7">IF($B7="","",N(KW(($H7&amp;", "&amp;$AB$3),"Cleave")))</f>
        <v/>
      </c>
      <c r="AJ7" s="28" t="str" cm="1">
        <f t="array" ref="AJ7">IF($B7="","",N(KW(($H7&amp;", "&amp;$AB$3),"Melta")))</f>
        <v/>
      </c>
      <c r="AK7" s="28" t="str" cm="1">
        <f t="array" ref="AK7">IF($B7="","",KW(($H7&amp;", "&amp;$AB$3),"Ignores Cover")=TRUE)</f>
        <v/>
      </c>
      <c r="AL7" s="28" t="str" cm="1">
        <f t="array" ref="AL7">IF($B7="","",KW(($H7&amp;", "&amp;$AB$3),"Psychic")=TRUE)</f>
        <v/>
      </c>
      <c r="AM7" s="29" t="str" cm="1">
        <f t="array" ref="AM7">IF($B7="","",_xlfn.LET(_xlpm.src,$H7&amp;", "&amp;$AB$3,_xlpm.a,KWANTI(_xlpm.src,($N$6&amp;", "&amp;$AC$3)),_xlpm.c,KWMIN(_xlpm.src,"Critical Wounds"),MIN(_xlpm.a,IF(ISNUMBER(_xlpm.c),MEDIAN(2,6,_xlpm.c),6))))</f>
        <v/>
      </c>
      <c r="AN7" s="29" t="str">
        <f t="shared" ref="AN7:AN30" si="2">IF($B7="","",IF($Z7,0,_xlfn.LET(_xlpm.psy,$AL7,_xlpm.dmg,-($F$3="Yes"),_xlpm.am,$AR7,_xlpm.tm,$AH$3,_xlpm.mods,IF(_xlpm.psy,MAX(0,_xlpm.am)+MAX(0,_xlpm.tm),_xlpm.dmg+_xlpm.am+_xlpm.tm),_xlpm.ws,MIN(6,MAX(2,$D7+IF(_xlpm.psy,MIN(0,$BA7),$BA7))),MEDIAN(2,6,_xlpm.ws-MAX(-1,MIN(1,_xlpm.mods))))))</f>
        <v/>
      </c>
      <c r="AO7" s="29" t="str">
        <f t="shared" ref="AO7:AO30" si="3">IF($B7="","",_xlfn.LET(_xlpm.s,MAX(1,$E7+$AZ7),_xlpm.t,MAX(1,N($I$6)+$AE$3),_xlpm.base,7-(1+(_xlpm.s&gt;=2*_xlpm.t)+(_xlpm.s&gt;_xlpm.t)+(_xlpm.s&gt;=_xlpm.t)+(_xlpm.s&gt;_xlpm.t/2)),MEDIAN(2,6,_xlpm.base-MAX(-1,MIN(1,$AS7+$AE7*($D$3="Yes")+$AI$3)))))</f>
        <v/>
      </c>
      <c r="AP7" s="29" t="str">
        <f t="shared" ref="AP7:AP30" si="4">IF($B7="","",_xlfn.LET(_xlpm.ap,MIN(0,$F7+$AT7+$AJ$3),_xlpm.arm,$K$6-_xlpm.ap-$AF$3-$BC7,_xlpm.inv,IF(ISNUMBER($L$6),$L$6,7),MEDIAN(2,7,MIN(_xlpm.arm,_xlpm.inv))))</f>
        <v/>
      </c>
      <c r="AQ7" s="30" t="str">
        <f>IF(OR($B7="",N($J$6)&lt;=0),"",ROUNDUP($J$6/MIN($U7,$J$6),0)/(($Z$3-1)/6))</f>
        <v/>
      </c>
      <c r="AR7" s="30" t="str" cm="1">
        <f t="array" ref="AR7">IF($B7="","",KWSUM(($H7&amp;", "&amp;$AB$3),"Hit Modifier"))</f>
        <v/>
      </c>
      <c r="AS7" s="30" t="str" cm="1">
        <f t="array" ref="AS7">IF($B7="","",KWSUM(($H7&amp;", "&amp;$AB$3),"Wound Modifier"))</f>
        <v/>
      </c>
      <c r="AT7" s="30" t="str" cm="1">
        <f t="array" ref="AT7">IF($B7="","",KWSUM(($H7&amp;", "&amp;$AB$3),"AP Modifier"))</f>
        <v/>
      </c>
      <c r="AU7" s="30" t="str" cm="1">
        <f t="array" ref="AU7">IF($B7="","",KWSUM(($H7&amp;", "&amp;$AB$3),"Damage Modifier"))</f>
        <v/>
      </c>
      <c r="AV7" s="30" t="str" cm="1">
        <f t="array" ref="AV7">IF($B7="","",_xlfn.LET(_xlpm.src,$H7&amp;", "&amp;$AB$3,_xlpm.full,ISNUMBER(_xlfn.XMATCH("Reroll Hits",TRIM(_xlfn.TEXTSPLIT(_xlpm.src,",")))),_xlpm.r,KW(_xlpm.src,"Reroll Hits"),IF(_xlpm.full,2,IF(N(_xlpm.r)&gt;=1,1,0))))</f>
        <v/>
      </c>
      <c r="AW7" s="30" t="str" cm="1">
        <f t="array" ref="AW7">IF($B7="","",_xlfn.LET(_xlpm.src,$H7&amp;", "&amp;$AB$3,_xlpm.full,OR($AD7,ISNUMBER(_xlfn.XMATCH("Reroll Wounds",TRIM(_xlfn.TEXTSPLIT(_xlpm.src,","))))),_xlpm.r,KW(_xlpm.src,"Reroll Wounds"),IF(_xlpm.full,2,IF(N(_xlpm.r)&gt;=1,1,0))))</f>
        <v/>
      </c>
      <c r="AX7" s="30" t="str">
        <f t="shared" ref="AX7:AX30" si="5">IF($B7="","",IF($Z7,0,_xlfn.LET(_xlpm.pc,(7-$BB7)/6,_xlpm.p,MAX((7-$AN7)/6,_xlpm.pc),IF($AV7=2,_xlpm.pc+(1-_xlpm.p)*_xlpm.pc,IF($AV7=1,_xlpm.pc+_xlpm.pc/6,_xlpm.pc)))))</f>
        <v/>
      </c>
      <c r="AY7" s="30" t="str" cm="1">
        <f t="array" ref="AY7">IF($B7="","",KWSUM($H7&amp;", "&amp;$AB$3,"Attacks Modifier"))</f>
        <v/>
      </c>
      <c r="AZ7" s="30" t="str" cm="1">
        <f t="array" ref="AZ7">IF($B7="","",KWSUM($H7&amp;", "&amp;$AB$3,"Strength Modifier"))</f>
        <v/>
      </c>
      <c r="BA7" s="30" t="str" cm="1">
        <f t="array" ref="BA7">IF($B7="","",KWSUM($H7&amp;", "&amp;$AB$3,"WS Modifier"))</f>
        <v/>
      </c>
      <c r="BB7" s="30" t="str" cm="1">
        <f t="array" ref="BB7">IF($B7="","",_xlfn.LET(_xlpm.c,KWMIN($H7&amp;", "&amp;$AB$3,"Critical Hits"),IF(ISNUMBER(_xlpm.c),MEDIAN(2,6,_xlpm.c),6)))</f>
        <v/>
      </c>
      <c r="BC7" s="30" t="str" cm="1">
        <f t="array" ref="BC7">IF($B7="","",KWSUM($H7&amp;", "&amp;$AB$3,"Save Modifier"))</f>
        <v/>
      </c>
      <c r="BG7" s="7" t="str">
        <v>Plague Marine (DeathGuard)</v>
      </c>
    </row>
    <row r="8" spans="1:63" ht="14.55" customHeight="1" x14ac:dyDescent="0.3">
      <c r="A8" s="64" t="b">
        <v>1</v>
      </c>
      <c r="B8" s="55"/>
      <c r="C8" s="36"/>
      <c r="D8" s="36"/>
      <c r="E8" s="36"/>
      <c r="F8" s="36"/>
      <c r="G8" s="36"/>
      <c r="H8" s="1"/>
      <c r="I8" s="9"/>
      <c r="J8" s="34"/>
      <c r="K8" s="34"/>
      <c r="L8" s="34"/>
      <c r="M8" s="34"/>
      <c r="N8" s="11"/>
      <c r="O8" s="37" t="str">
        <f t="shared" si="0"/>
        <v/>
      </c>
      <c r="P8" s="37" t="str">
        <f t="shared" si="1"/>
        <v/>
      </c>
      <c r="Q8" s="37" t="str">
        <f>IF(OR($B8="",NOT($A8)),"",IF(AND($AA8,NOT($Z8)),$O8*$AX8,0))</f>
        <v/>
      </c>
      <c r="R8" s="37" t="str">
        <f>IF(OR($B8="",NOT($A8)),"",_xlfn.LET(_xlpm.n,$P8-$Q8,_xlpm.pW,(7-$AO8)/6,_xlpm.pC,(7-$AM8)/6,_xlpm.pT,MAX(_xlpm.pW,_xlpm.pC),_xlpm.rr,$AW8,_xlpm.n*IF(_xlpm.rr=2,1-(1-_xlpm.pT)^2,IF(_xlpm.rr=1,_xlpm.pT+_xlpm.pT/6,_xlpm.pT))+$Q8))</f>
        <v/>
      </c>
      <c r="S8" s="37" t="str">
        <f>IF(OR($B8="",NOT($A8)),"",IF($AC8,_xlfn.LET(_xlpm.n,$P8-$Q8,_xlpm.pW,(7-$AO8)/6,_xlpm.pC,(7-$AM8)/6,_xlpm.pT,MAX(_xlpm.pW,_xlpm.pC),_xlpm.rr,$AW8,_xlpm.n*IF(_xlpm.rr=2,_xlpm.pC+(1-_xlpm.pT)*_xlpm.pC,IF(_xlpm.rr=1,_xlpm.pC+_xlpm.pC/6,_xlpm.pC))),0))</f>
        <v/>
      </c>
      <c r="T8" s="37" t="str">
        <f>IF(OR($B8="",NOT($A8)),"",($R8-$S8)*($AP8-1)/6)</f>
        <v/>
      </c>
      <c r="U8" s="37" t="str">
        <f>IF(OR($B8="",NOT($A8)),"",MAX(1,IF(LEFT($G8,1)="D",(VALUE(MID($G8,2,99))+1)/2,$G8)+$AJ8*FALSE+$AU8+$AG$3))</f>
        <v/>
      </c>
      <c r="V8" s="37" t="str">
        <f>IF(OR($B8="",NOT($A8)),"",($T8+$S8)*IF(N($J$6)&gt;0,MIN($U8,$J$6),$U8)*($Z$3-1)/6)</f>
        <v/>
      </c>
      <c r="W8" s="37" t="str">
        <f>IF(OR($B8="",NOT($A8),$AQ8=""),"",MIN($E$3,($T8+$S8)/$AQ8))</f>
        <v/>
      </c>
      <c r="X8" s="56" t="str">
        <f>IF(OR($B8="",NOT($A8)),"",TEXT($V8,"0.00")&amp;" dmg"&amp;IF($W8="","",", "&amp;TEXT($W8,"0.00")&amp;" kills"))</f>
        <v/>
      </c>
      <c r="Z8" s="28" t="str" cm="1">
        <f t="array" ref="Z8">IF($B8="","",KW(($H8&amp;", "&amp;$AB$3),"Torrent")=TRUE)</f>
        <v/>
      </c>
      <c r="AA8" s="28" t="str" cm="1">
        <f t="array" ref="AA8">IF($B8="","",KW(($H8&amp;", "&amp;$AB$3),"Lethal Hits")=TRUE)</f>
        <v/>
      </c>
      <c r="AB8" s="28" t="str" cm="1">
        <f t="array" ref="AB8">IF($B8="","",N(KW(($H8&amp;", "&amp;$AB$3),"Sustained Hits")))</f>
        <v/>
      </c>
      <c r="AC8" s="28" t="str" cm="1">
        <f t="array" ref="AC8">IF($B8="","",KW(($H8&amp;", "&amp;$AB$3),"Devastating Wounds")=TRUE)</f>
        <v/>
      </c>
      <c r="AD8" s="28" t="str" cm="1">
        <f t="array" ref="AD8">IF($B8="","",KW(($H8&amp;", "&amp;$AB$3),"Twin-Linked")=TRUE)</f>
        <v/>
      </c>
      <c r="AE8" s="28" t="str" cm="1">
        <f t="array" ref="AE8">IF($B8="","",KW(($H8&amp;", "&amp;$AB$3),"Lance")=TRUE)</f>
        <v/>
      </c>
      <c r="AF8" s="28" t="str" cm="1">
        <f t="array" ref="AF8">IF($B8="","",KW(($H8&amp;", "&amp;$AB$3),"Heavy")=TRUE)</f>
        <v/>
      </c>
      <c r="AG8" s="28" t="str" cm="1">
        <f t="array" ref="AG8">IF($B8="","",N(KW(($H8&amp;", "&amp;$AB$3),"Rapid Fire")))</f>
        <v/>
      </c>
      <c r="AH8" s="28" t="str" cm="1">
        <f t="array" ref="AH8">IF($B8="","",N(KW(($H8&amp;", "&amp;$AB$3),"Blast")))</f>
        <v/>
      </c>
      <c r="AI8" s="28" t="str" cm="1">
        <f t="array" ref="AI8">IF($B8="","",N(KW(($H8&amp;", "&amp;$AB$3),"Cleave")))</f>
        <v/>
      </c>
      <c r="AJ8" s="28" t="str" cm="1">
        <f t="array" ref="AJ8">IF($B8="","",N(KW(($H8&amp;", "&amp;$AB$3),"Melta")))</f>
        <v/>
      </c>
      <c r="AK8" s="28" t="str" cm="1">
        <f t="array" ref="AK8">IF($B8="","",KW(($H8&amp;", "&amp;$AB$3),"Ignores Cover")=TRUE)</f>
        <v/>
      </c>
      <c r="AL8" s="28" t="str" cm="1">
        <f t="array" ref="AL8">IF($B8="","",KW(($H8&amp;", "&amp;$AB$3),"Psychic")=TRUE)</f>
        <v/>
      </c>
      <c r="AM8" s="29" t="str" cm="1">
        <f t="array" ref="AM8">IF($B8="","",_xlfn.LET(_xlpm.src,$H8&amp;", "&amp;$AB$3,_xlpm.a,KWANTI(_xlpm.src,($N$6&amp;", "&amp;$AC$3)),_xlpm.c,KWMIN(_xlpm.src,"Critical Wounds"),MIN(_xlpm.a,IF(ISNUMBER(_xlpm.c),MEDIAN(2,6,_xlpm.c),6))))</f>
        <v/>
      </c>
      <c r="AN8" s="29" t="str">
        <f t="shared" si="2"/>
        <v/>
      </c>
      <c r="AO8" s="29" t="str">
        <f t="shared" si="3"/>
        <v/>
      </c>
      <c r="AP8" s="29" t="str">
        <f t="shared" si="4"/>
        <v/>
      </c>
      <c r="AQ8" s="30" t="str">
        <f>IF(OR($B8="",N($J$6)&lt;=0),"",ROUNDUP($J$6/MIN($U8,$J$6),0)/(($Z$3-1)/6))</f>
        <v/>
      </c>
      <c r="AR8" s="30" t="str" cm="1">
        <f t="array" ref="AR8">IF($B8="","",KWSUM(($H8&amp;", "&amp;$AB$3),"Hit Modifier"))</f>
        <v/>
      </c>
      <c r="AS8" s="30" t="str" cm="1">
        <f t="array" ref="AS8">IF($B8="","",KWSUM(($H8&amp;", "&amp;$AB$3),"Wound Modifier"))</f>
        <v/>
      </c>
      <c r="AT8" s="30" t="str" cm="1">
        <f t="array" ref="AT8">IF($B8="","",KWSUM(($H8&amp;", "&amp;$AB$3),"AP Modifier"))</f>
        <v/>
      </c>
      <c r="AU8" s="30" t="str" cm="1">
        <f t="array" ref="AU8">IF($B8="","",KWSUM(($H8&amp;", "&amp;$AB$3),"Damage Modifier"))</f>
        <v/>
      </c>
      <c r="AV8" s="30" t="str" cm="1">
        <f t="array" ref="AV8">IF($B8="","",_xlfn.LET(_xlpm.src,$H8&amp;", "&amp;$AB$3,_xlpm.full,ISNUMBER(_xlfn.XMATCH("Reroll Hits",TRIM(_xlfn.TEXTSPLIT(_xlpm.src,",")))),_xlpm.r,KW(_xlpm.src,"Reroll Hits"),IF(_xlpm.full,2,IF(N(_xlpm.r)&gt;=1,1,0))))</f>
        <v/>
      </c>
      <c r="AW8" s="30" t="str" cm="1">
        <f t="array" ref="AW8">IF($B8="","",_xlfn.LET(_xlpm.src,$H8&amp;", "&amp;$AB$3,_xlpm.full,OR($AD8,ISNUMBER(_xlfn.XMATCH("Reroll Wounds",TRIM(_xlfn.TEXTSPLIT(_xlpm.src,","))))),_xlpm.r,KW(_xlpm.src,"Reroll Wounds"),IF(_xlpm.full,2,IF(N(_xlpm.r)&gt;=1,1,0))))</f>
        <v/>
      </c>
      <c r="AX8" s="30" t="str">
        <f t="shared" si="5"/>
        <v/>
      </c>
      <c r="AY8" s="30" t="str" cm="1">
        <f t="array" ref="AY8">IF($B8="","",KWSUM($H8&amp;", "&amp;$AB$3,"Attacks Modifier"))</f>
        <v/>
      </c>
      <c r="AZ8" s="30" t="str" cm="1">
        <f t="array" ref="AZ8">IF($B8="","",KWSUM($H8&amp;", "&amp;$AB$3,"Strength Modifier"))</f>
        <v/>
      </c>
      <c r="BA8" s="30" t="str" cm="1">
        <f t="array" ref="BA8">IF($B8="","",KWSUM($H8&amp;", "&amp;$AB$3,"WS Modifier"))</f>
        <v/>
      </c>
      <c r="BB8" s="30" t="str" cm="1">
        <f t="array" ref="BB8">IF($B8="","",_xlfn.LET(_xlpm.c,KWMIN($H8&amp;", "&amp;$AB$3,"Critical Hits"),IF(ISNUMBER(_xlpm.c),MEDIAN(2,6,_xlpm.c),6)))</f>
        <v/>
      </c>
      <c r="BC8" s="30" t="str" cm="1">
        <f t="array" ref="BC8">IF($B8="","",KWSUM($H8&amp;", "&amp;$AB$3,"Save Modifier"))</f>
        <v/>
      </c>
      <c r="BG8" s="7" t="str">
        <v>Intercessor (Space Marines)</v>
      </c>
    </row>
    <row r="9" spans="1:63" ht="14.55" customHeight="1" x14ac:dyDescent="0.3">
      <c r="A9" s="64" t="b">
        <v>1</v>
      </c>
      <c r="B9" s="55"/>
      <c r="C9" s="36"/>
      <c r="D9" s="36"/>
      <c r="E9" s="36"/>
      <c r="F9" s="36"/>
      <c r="G9" s="36"/>
      <c r="H9" s="1"/>
      <c r="I9" s="9"/>
      <c r="J9" s="34"/>
      <c r="K9" s="34"/>
      <c r="L9" s="34"/>
      <c r="M9" s="34"/>
      <c r="N9" s="11"/>
      <c r="O9" s="37" t="str">
        <f t="shared" si="0"/>
        <v/>
      </c>
      <c r="P9" s="37" t="str">
        <f t="shared" si="1"/>
        <v/>
      </c>
      <c r="Q9" s="37" t="str">
        <f>IF(OR($B9="",NOT($A9)),"",IF(AND($AA9,NOT($Z9)),$O9*$AX9,0))</f>
        <v/>
      </c>
      <c r="R9" s="37" t="str">
        <f>IF(OR($B9="",NOT($A9)),"",_xlfn.LET(_xlpm.n,$P9-$Q9,_xlpm.pW,(7-$AO9)/6,_xlpm.pC,(7-$AM9)/6,_xlpm.pT,MAX(_xlpm.pW,_xlpm.pC),_xlpm.rr,$AW9,_xlpm.n*IF(_xlpm.rr=2,1-(1-_xlpm.pT)^2,IF(_xlpm.rr=1,_xlpm.pT+_xlpm.pT/6,_xlpm.pT))+$Q9))</f>
        <v/>
      </c>
      <c r="S9" s="37" t="str">
        <f>IF(OR($B9="",NOT($A9)),"",IF($AC9,_xlfn.LET(_xlpm.n,$P9-$Q9,_xlpm.pW,(7-$AO9)/6,_xlpm.pC,(7-$AM9)/6,_xlpm.pT,MAX(_xlpm.pW,_xlpm.pC),_xlpm.rr,$AW9,_xlpm.n*IF(_xlpm.rr=2,_xlpm.pC+(1-_xlpm.pT)*_xlpm.pC,IF(_xlpm.rr=1,_xlpm.pC+_xlpm.pC/6,_xlpm.pC))),0))</f>
        <v/>
      </c>
      <c r="T9" s="37" t="str">
        <f>IF(OR($B9="",NOT($A9)),"",($R9-$S9)*($AP9-1)/6)</f>
        <v/>
      </c>
      <c r="U9" s="37" t="str">
        <f>IF(OR($B9="",NOT($A9)),"",MAX(1,IF(LEFT($G9,1)="D",(VALUE(MID($G9,2,99))+1)/2,$G9)+$AJ9*FALSE+$AU9+$AG$3))</f>
        <v/>
      </c>
      <c r="V9" s="37" t="str">
        <f>IF(OR($B9="",NOT($A9)),"",($T9+$S9)*IF(N($J$6)&gt;0,MIN($U9,$J$6),$U9)*($Z$3-1)/6)</f>
        <v/>
      </c>
      <c r="W9" s="37" t="str">
        <f>IF(OR($B9="",NOT($A9),$AQ9=""),"",MIN($E$3,($T9+$S9)/$AQ9))</f>
        <v/>
      </c>
      <c r="X9" s="56" t="str">
        <f>IF(OR($B9="",NOT($A9)),"",TEXT($V9,"0.00")&amp;" dmg"&amp;IF($W9="","",", "&amp;TEXT($W9,"0.00")&amp;" kills"))</f>
        <v/>
      </c>
      <c r="Z9" s="28" t="str" cm="1">
        <f t="array" ref="Z9">IF($B9="","",KW(($H9&amp;", "&amp;$AB$3),"Torrent")=TRUE)</f>
        <v/>
      </c>
      <c r="AA9" s="28" t="str" cm="1">
        <f t="array" ref="AA9">IF($B9="","",KW(($H9&amp;", "&amp;$AB$3),"Lethal Hits")=TRUE)</f>
        <v/>
      </c>
      <c r="AB9" s="28" t="str" cm="1">
        <f t="array" ref="AB9">IF($B9="","",N(KW(($H9&amp;", "&amp;$AB$3),"Sustained Hits")))</f>
        <v/>
      </c>
      <c r="AC9" s="28" t="str" cm="1">
        <f t="array" ref="AC9">IF($B9="","",KW(($H9&amp;", "&amp;$AB$3),"Devastating Wounds")=TRUE)</f>
        <v/>
      </c>
      <c r="AD9" s="28" t="str" cm="1">
        <f t="array" ref="AD9">IF($B9="","",KW(($H9&amp;", "&amp;$AB$3),"Twin-Linked")=TRUE)</f>
        <v/>
      </c>
      <c r="AE9" s="28" t="str" cm="1">
        <f t="array" ref="AE9">IF($B9="","",KW(($H9&amp;", "&amp;$AB$3),"Lance")=TRUE)</f>
        <v/>
      </c>
      <c r="AF9" s="28" t="str" cm="1">
        <f t="array" ref="AF9">IF($B9="","",KW(($H9&amp;", "&amp;$AB$3),"Heavy")=TRUE)</f>
        <v/>
      </c>
      <c r="AG9" s="28" t="str" cm="1">
        <f t="array" ref="AG9">IF($B9="","",N(KW(($H9&amp;", "&amp;$AB$3),"Rapid Fire")))</f>
        <v/>
      </c>
      <c r="AH9" s="28" t="str" cm="1">
        <f t="array" ref="AH9">IF($B9="","",N(KW(($H9&amp;", "&amp;$AB$3),"Blast")))</f>
        <v/>
      </c>
      <c r="AI9" s="28" t="str" cm="1">
        <f t="array" ref="AI9">IF($B9="","",N(KW(($H9&amp;", "&amp;$AB$3),"Cleave")))</f>
        <v/>
      </c>
      <c r="AJ9" s="28" t="str" cm="1">
        <f t="array" ref="AJ9">IF($B9="","",N(KW(($H9&amp;", "&amp;$AB$3),"Melta")))</f>
        <v/>
      </c>
      <c r="AK9" s="28" t="str" cm="1">
        <f t="array" ref="AK9">IF($B9="","",KW(($H9&amp;", "&amp;$AB$3),"Ignores Cover")=TRUE)</f>
        <v/>
      </c>
      <c r="AL9" s="28" t="str" cm="1">
        <f t="array" ref="AL9">IF($B9="","",KW(($H9&amp;", "&amp;$AB$3),"Psychic")=TRUE)</f>
        <v/>
      </c>
      <c r="AM9" s="29" t="str" cm="1">
        <f t="array" ref="AM9">IF($B9="","",_xlfn.LET(_xlpm.src,$H9&amp;", "&amp;$AB$3,_xlpm.a,KWANTI(_xlpm.src,($N$6&amp;", "&amp;$AC$3)),_xlpm.c,KWMIN(_xlpm.src,"Critical Wounds"),MIN(_xlpm.a,IF(ISNUMBER(_xlpm.c),MEDIAN(2,6,_xlpm.c),6))))</f>
        <v/>
      </c>
      <c r="AN9" s="29" t="str">
        <f t="shared" si="2"/>
        <v/>
      </c>
      <c r="AO9" s="29" t="str">
        <f t="shared" si="3"/>
        <v/>
      </c>
      <c r="AP9" s="29" t="str">
        <f t="shared" si="4"/>
        <v/>
      </c>
      <c r="AQ9" s="30" t="str">
        <f>IF(OR($B9="",N($J$6)&lt;=0),"",ROUNDUP($J$6/MIN($U9,$J$6),0)/(($Z$3-1)/6))</f>
        <v/>
      </c>
      <c r="AR9" s="30" t="str" cm="1">
        <f t="array" ref="AR9">IF($B9="","",KWSUM(($H9&amp;", "&amp;$AB$3),"Hit Modifier"))</f>
        <v/>
      </c>
      <c r="AS9" s="30" t="str" cm="1">
        <f t="array" ref="AS9">IF($B9="","",KWSUM(($H9&amp;", "&amp;$AB$3),"Wound Modifier"))</f>
        <v/>
      </c>
      <c r="AT9" s="30" t="str" cm="1">
        <f t="array" ref="AT9">IF($B9="","",KWSUM(($H9&amp;", "&amp;$AB$3),"AP Modifier"))</f>
        <v/>
      </c>
      <c r="AU9" s="30" t="str" cm="1">
        <f t="array" ref="AU9">IF($B9="","",KWSUM(($H9&amp;", "&amp;$AB$3),"Damage Modifier"))</f>
        <v/>
      </c>
      <c r="AV9" s="30" t="str" cm="1">
        <f t="array" ref="AV9">IF($B9="","",_xlfn.LET(_xlpm.src,$H9&amp;", "&amp;$AB$3,_xlpm.full,ISNUMBER(_xlfn.XMATCH("Reroll Hits",TRIM(_xlfn.TEXTSPLIT(_xlpm.src,",")))),_xlpm.r,KW(_xlpm.src,"Reroll Hits"),IF(_xlpm.full,2,IF(N(_xlpm.r)&gt;=1,1,0))))</f>
        <v/>
      </c>
      <c r="AW9" s="30" t="str" cm="1">
        <f t="array" ref="AW9">IF($B9="","",_xlfn.LET(_xlpm.src,$H9&amp;", "&amp;$AB$3,_xlpm.full,OR($AD9,ISNUMBER(_xlfn.XMATCH("Reroll Wounds",TRIM(_xlfn.TEXTSPLIT(_xlpm.src,","))))),_xlpm.r,KW(_xlpm.src,"Reroll Wounds"),IF(_xlpm.full,2,IF(N(_xlpm.r)&gt;=1,1,0))))</f>
        <v/>
      </c>
      <c r="AX9" s="30" t="str">
        <f t="shared" si="5"/>
        <v/>
      </c>
      <c r="AY9" s="30" t="str" cm="1">
        <f t="array" ref="AY9">IF($B9="","",KWSUM($H9&amp;", "&amp;$AB$3,"Attacks Modifier"))</f>
        <v/>
      </c>
      <c r="AZ9" s="30" t="str" cm="1">
        <f t="array" ref="AZ9">IF($B9="","",KWSUM($H9&amp;", "&amp;$AB$3,"Strength Modifier"))</f>
        <v/>
      </c>
      <c r="BA9" s="30" t="str" cm="1">
        <f t="array" ref="BA9">IF($B9="","",KWSUM($H9&amp;", "&amp;$AB$3,"WS Modifier"))</f>
        <v/>
      </c>
      <c r="BB9" s="30" t="str" cm="1">
        <f t="array" ref="BB9">IF($B9="","",_xlfn.LET(_xlpm.c,KWMIN($H9&amp;", "&amp;$AB$3,"Critical Hits"),IF(ISNUMBER(_xlpm.c),MEDIAN(2,6,_xlpm.c),6)))</f>
        <v/>
      </c>
      <c r="BC9" s="30" t="str" cm="1">
        <f t="array" ref="BC9">IF($B9="","",KWSUM($H9&amp;", "&amp;$AB$3,"Save Modifier"))</f>
        <v/>
      </c>
    </row>
    <row r="10" spans="1:63" ht="14.55" customHeight="1" x14ac:dyDescent="0.3">
      <c r="A10" s="64" t="b">
        <v>1</v>
      </c>
      <c r="B10" s="55"/>
      <c r="C10" s="38"/>
      <c r="D10" s="38"/>
      <c r="E10" s="38"/>
      <c r="F10" s="38"/>
      <c r="G10" s="38"/>
      <c r="H10" s="1"/>
      <c r="I10" s="9"/>
      <c r="J10" s="34"/>
      <c r="K10" s="34"/>
      <c r="L10" s="34"/>
      <c r="M10" s="34"/>
      <c r="N10" s="11"/>
      <c r="O10" s="37" t="str">
        <f t="shared" si="0"/>
        <v/>
      </c>
      <c r="P10" s="37" t="str">
        <f t="shared" si="1"/>
        <v/>
      </c>
      <c r="Q10" s="37" t="str">
        <f>IF(OR($B10="",NOT($A10)),"",IF(AND($AA10,NOT($Z10)),$O10*$AX10,0))</f>
        <v/>
      </c>
      <c r="R10" s="37" t="str">
        <f>IF(OR($B10="",NOT($A10)),"",_xlfn.LET(_xlpm.n,$P10-$Q10,_xlpm.pW,(7-$AO10)/6,_xlpm.pC,(7-$AM10)/6,_xlpm.pT,MAX(_xlpm.pW,_xlpm.pC),_xlpm.rr,$AW10,_xlpm.n*IF(_xlpm.rr=2,1-(1-_xlpm.pT)^2,IF(_xlpm.rr=1,_xlpm.pT+_xlpm.pT/6,_xlpm.pT))+$Q10))</f>
        <v/>
      </c>
      <c r="S10" s="37" t="str">
        <f>IF(OR($B10="",NOT($A10)),"",IF($AC10,_xlfn.LET(_xlpm.n,$P10-$Q10,_xlpm.pW,(7-$AO10)/6,_xlpm.pC,(7-$AM10)/6,_xlpm.pT,MAX(_xlpm.pW,_xlpm.pC),_xlpm.rr,$AW10,_xlpm.n*IF(_xlpm.rr=2,_xlpm.pC+(1-_xlpm.pT)*_xlpm.pC,IF(_xlpm.rr=1,_xlpm.pC+_xlpm.pC/6,_xlpm.pC))),0))</f>
        <v/>
      </c>
      <c r="T10" s="37" t="str">
        <f>IF(OR($B10="",NOT($A10)),"",($R10-$S10)*($AP10-1)/6)</f>
        <v/>
      </c>
      <c r="U10" s="37" t="str">
        <f>IF(OR($B10="",NOT($A10)),"",MAX(1,IF(LEFT($G10,1)="D",(VALUE(MID($G10,2,99))+1)/2,$G10)+$AJ10*FALSE+$AU10+$AG$3))</f>
        <v/>
      </c>
      <c r="V10" s="37" t="str">
        <f>IF(OR($B10="",NOT($A10)),"",($T10+$S10)*IF(N($J$6)&gt;0,MIN($U10,$J$6),$U10)*($Z$3-1)/6)</f>
        <v/>
      </c>
      <c r="W10" s="37" t="str">
        <f>IF(OR($B10="",NOT($A10),$AQ10=""),"",MIN($E$3,($T10+$S10)/$AQ10))</f>
        <v/>
      </c>
      <c r="X10" s="56" t="str">
        <f>IF(OR($B10="",NOT($A10)),"",TEXT($V10,"0.00")&amp;" dmg"&amp;IF($W10="","",", "&amp;TEXT($W10,"0.00")&amp;" kills"))</f>
        <v/>
      </c>
      <c r="Z10" s="28" t="str" cm="1">
        <f t="array" ref="Z10">IF($B10="","",KW(($H10&amp;", "&amp;$AB$3),"Torrent")=TRUE)</f>
        <v/>
      </c>
      <c r="AA10" s="28" t="str" cm="1">
        <f t="array" ref="AA10">IF($B10="","",KW(($H10&amp;", "&amp;$AB$3),"Lethal Hits")=TRUE)</f>
        <v/>
      </c>
      <c r="AB10" s="28" t="str" cm="1">
        <f t="array" ref="AB10">IF($B10="","",N(KW(($H10&amp;", "&amp;$AB$3),"Sustained Hits")))</f>
        <v/>
      </c>
      <c r="AC10" s="28" t="str" cm="1">
        <f t="array" ref="AC10">IF($B10="","",KW(($H10&amp;", "&amp;$AB$3),"Devastating Wounds")=TRUE)</f>
        <v/>
      </c>
      <c r="AD10" s="28" t="str" cm="1">
        <f t="array" ref="AD10">IF($B10="","",KW(($H10&amp;", "&amp;$AB$3),"Twin-Linked")=TRUE)</f>
        <v/>
      </c>
      <c r="AE10" s="28" t="str" cm="1">
        <f t="array" ref="AE10">IF($B10="","",KW(($H10&amp;", "&amp;$AB$3),"Lance")=TRUE)</f>
        <v/>
      </c>
      <c r="AF10" s="28" t="str" cm="1">
        <f t="array" ref="AF10">IF($B10="","",KW(($H10&amp;", "&amp;$AB$3),"Heavy")=TRUE)</f>
        <v/>
      </c>
      <c r="AG10" s="28" t="str" cm="1">
        <f t="array" ref="AG10">IF($B10="","",N(KW(($H10&amp;", "&amp;$AB$3),"Rapid Fire")))</f>
        <v/>
      </c>
      <c r="AH10" s="28" t="str" cm="1">
        <f t="array" ref="AH10">IF($B10="","",N(KW(($H10&amp;", "&amp;$AB$3),"Blast")))</f>
        <v/>
      </c>
      <c r="AI10" s="28" t="str" cm="1">
        <f t="array" ref="AI10">IF($B10="","",N(KW(($H10&amp;", "&amp;$AB$3),"Cleave")))</f>
        <v/>
      </c>
      <c r="AJ10" s="28" t="str" cm="1">
        <f t="array" ref="AJ10">IF($B10="","",N(KW(($H10&amp;", "&amp;$AB$3),"Melta")))</f>
        <v/>
      </c>
      <c r="AK10" s="28" t="str" cm="1">
        <f t="array" ref="AK10">IF($B10="","",KW(($H10&amp;", "&amp;$AB$3),"Ignores Cover")=TRUE)</f>
        <v/>
      </c>
      <c r="AL10" s="28" t="str" cm="1">
        <f t="array" ref="AL10">IF($B10="","",KW(($H10&amp;", "&amp;$AB$3),"Psychic")=TRUE)</f>
        <v/>
      </c>
      <c r="AM10" s="29" t="str" cm="1">
        <f t="array" ref="AM10">IF($B10="","",_xlfn.LET(_xlpm.src,$H10&amp;", "&amp;$AB$3,_xlpm.a,KWANTI(_xlpm.src,($N$6&amp;", "&amp;$AC$3)),_xlpm.c,KWMIN(_xlpm.src,"Critical Wounds"),MIN(_xlpm.a,IF(ISNUMBER(_xlpm.c),MEDIAN(2,6,_xlpm.c),6))))</f>
        <v/>
      </c>
      <c r="AN10" s="29" t="str">
        <f t="shared" si="2"/>
        <v/>
      </c>
      <c r="AO10" s="29" t="str">
        <f t="shared" si="3"/>
        <v/>
      </c>
      <c r="AP10" s="29" t="str">
        <f t="shared" si="4"/>
        <v/>
      </c>
      <c r="AQ10" s="30" t="str">
        <f>IF(OR($B10="",N($J$6)&lt;=0),"",ROUNDUP($J$6/MIN($U10,$J$6),0)/(($Z$3-1)/6))</f>
        <v/>
      </c>
      <c r="AR10" s="30" t="str" cm="1">
        <f t="array" ref="AR10">IF($B10="","",KWSUM(($H10&amp;", "&amp;$AB$3),"Hit Modifier"))</f>
        <v/>
      </c>
      <c r="AS10" s="30" t="str" cm="1">
        <f t="array" ref="AS10">IF($B10="","",KWSUM(($H10&amp;", "&amp;$AB$3),"Wound Modifier"))</f>
        <v/>
      </c>
      <c r="AT10" s="30" t="str" cm="1">
        <f t="array" ref="AT10">IF($B10="","",KWSUM(($H10&amp;", "&amp;$AB$3),"AP Modifier"))</f>
        <v/>
      </c>
      <c r="AU10" s="30" t="str" cm="1">
        <f t="array" ref="AU10">IF($B10="","",KWSUM(($H10&amp;", "&amp;$AB$3),"Damage Modifier"))</f>
        <v/>
      </c>
      <c r="AV10" s="30" t="str" cm="1">
        <f t="array" ref="AV10">IF($B10="","",_xlfn.LET(_xlpm.src,$H10&amp;", "&amp;$AB$3,_xlpm.full,ISNUMBER(_xlfn.XMATCH("Reroll Hits",TRIM(_xlfn.TEXTSPLIT(_xlpm.src,",")))),_xlpm.r,KW(_xlpm.src,"Reroll Hits"),IF(_xlpm.full,2,IF(N(_xlpm.r)&gt;=1,1,0))))</f>
        <v/>
      </c>
      <c r="AW10" s="30" t="str" cm="1">
        <f t="array" ref="AW10">IF($B10="","",_xlfn.LET(_xlpm.src,$H10&amp;", "&amp;$AB$3,_xlpm.full,OR($AD10,ISNUMBER(_xlfn.XMATCH("Reroll Wounds",TRIM(_xlfn.TEXTSPLIT(_xlpm.src,","))))),_xlpm.r,KW(_xlpm.src,"Reroll Wounds"),IF(_xlpm.full,2,IF(N(_xlpm.r)&gt;=1,1,0))))</f>
        <v/>
      </c>
      <c r="AX10" s="30" t="str">
        <f t="shared" si="5"/>
        <v/>
      </c>
      <c r="AY10" s="30" t="str" cm="1">
        <f t="array" ref="AY10">IF($B10="","",KWSUM($H10&amp;", "&amp;$AB$3,"Attacks Modifier"))</f>
        <v/>
      </c>
      <c r="AZ10" s="30" t="str" cm="1">
        <f t="array" ref="AZ10">IF($B10="","",KWSUM($H10&amp;", "&amp;$AB$3,"Strength Modifier"))</f>
        <v/>
      </c>
      <c r="BA10" s="30" t="str" cm="1">
        <f t="array" ref="BA10">IF($B10="","",KWSUM($H10&amp;", "&amp;$AB$3,"WS Modifier"))</f>
        <v/>
      </c>
      <c r="BB10" s="30" t="str" cm="1">
        <f t="array" ref="BB10">IF($B10="","",_xlfn.LET(_xlpm.c,KWMIN($H10&amp;", "&amp;$AB$3,"Critical Hits"),IF(ISNUMBER(_xlpm.c),MEDIAN(2,6,_xlpm.c),6)))</f>
        <v/>
      </c>
      <c r="BC10" s="30" t="str" cm="1">
        <f t="array" ref="BC10">IF($B10="","",KWSUM($H10&amp;", "&amp;$AB$3,"Save Modifier"))</f>
        <v/>
      </c>
    </row>
    <row r="11" spans="1:63" ht="14.55" customHeight="1" x14ac:dyDescent="0.3">
      <c r="A11" s="64" t="b">
        <v>1</v>
      </c>
      <c r="B11" s="55"/>
      <c r="C11" s="38"/>
      <c r="D11" s="38"/>
      <c r="E11" s="38"/>
      <c r="F11" s="38"/>
      <c r="G11" s="38"/>
      <c r="H11" s="1"/>
      <c r="I11" s="9"/>
      <c r="J11" s="34"/>
      <c r="K11" s="34"/>
      <c r="L11" s="34"/>
      <c r="M11" s="34"/>
      <c r="N11" s="11"/>
      <c r="O11" s="37" t="str">
        <f t="shared" si="0"/>
        <v/>
      </c>
      <c r="P11" s="37" t="str">
        <f t="shared" si="1"/>
        <v/>
      </c>
      <c r="Q11" s="37" t="str">
        <f>IF(OR($B11="",NOT($A11)),"",IF(AND($AA11,NOT($Z11)),$O11*$AX11,0))</f>
        <v/>
      </c>
      <c r="R11" s="37" t="str">
        <f>IF(OR($B11="",NOT($A11)),"",_xlfn.LET(_xlpm.n,$P11-$Q11,_xlpm.pW,(7-$AO11)/6,_xlpm.pC,(7-$AM11)/6,_xlpm.pT,MAX(_xlpm.pW,_xlpm.pC),_xlpm.rr,$AW11,_xlpm.n*IF(_xlpm.rr=2,1-(1-_xlpm.pT)^2,IF(_xlpm.rr=1,_xlpm.pT+_xlpm.pT/6,_xlpm.pT))+$Q11))</f>
        <v/>
      </c>
      <c r="S11" s="37" t="str">
        <f>IF(OR($B11="",NOT($A11)),"",IF($AC11,_xlfn.LET(_xlpm.n,$P11-$Q11,_xlpm.pW,(7-$AO11)/6,_xlpm.pC,(7-$AM11)/6,_xlpm.pT,MAX(_xlpm.pW,_xlpm.pC),_xlpm.rr,$AW11,_xlpm.n*IF(_xlpm.rr=2,_xlpm.pC+(1-_xlpm.pT)*_xlpm.pC,IF(_xlpm.rr=1,_xlpm.pC+_xlpm.pC/6,_xlpm.pC))),0))</f>
        <v/>
      </c>
      <c r="T11" s="37" t="str">
        <f>IF(OR($B11="",NOT($A11)),"",($R11-$S11)*($AP11-1)/6)</f>
        <v/>
      </c>
      <c r="U11" s="37" t="str">
        <f>IF(OR($B11="",NOT($A11)),"",MAX(1,IF(LEFT($G11,1)="D",(VALUE(MID($G11,2,99))+1)/2,$G11)+$AJ11*FALSE+$AU11+$AG$3))</f>
        <v/>
      </c>
      <c r="V11" s="37" t="str">
        <f>IF(OR($B11="",NOT($A11)),"",($T11+$S11)*IF(N($J$6)&gt;0,MIN($U11,$J$6),$U11)*($Z$3-1)/6)</f>
        <v/>
      </c>
      <c r="W11" s="37" t="str">
        <f>IF(OR($B11="",NOT($A11),$AQ11=""),"",MIN($E$3,($T11+$S11)/$AQ11))</f>
        <v/>
      </c>
      <c r="X11" s="56" t="str">
        <f>IF(OR($B11="",NOT($A11)),"",TEXT($V11,"0.00")&amp;" dmg"&amp;IF($W11="","",", "&amp;TEXT($W11,"0.00")&amp;" kills"))</f>
        <v/>
      </c>
      <c r="Z11" s="28" t="str" cm="1">
        <f t="array" ref="Z11">IF($B11="","",KW(($H11&amp;", "&amp;$AB$3),"Torrent")=TRUE)</f>
        <v/>
      </c>
      <c r="AA11" s="28" t="str" cm="1">
        <f t="array" ref="AA11">IF($B11="","",KW(($H11&amp;", "&amp;$AB$3),"Lethal Hits")=TRUE)</f>
        <v/>
      </c>
      <c r="AB11" s="28" t="str" cm="1">
        <f t="array" ref="AB11">IF($B11="","",N(KW(($H11&amp;", "&amp;$AB$3),"Sustained Hits")))</f>
        <v/>
      </c>
      <c r="AC11" s="28" t="str" cm="1">
        <f t="array" ref="AC11">IF($B11="","",KW(($H11&amp;", "&amp;$AB$3),"Devastating Wounds")=TRUE)</f>
        <v/>
      </c>
      <c r="AD11" s="28" t="str" cm="1">
        <f t="array" ref="AD11">IF($B11="","",KW(($H11&amp;", "&amp;$AB$3),"Twin-Linked")=TRUE)</f>
        <v/>
      </c>
      <c r="AE11" s="28" t="str" cm="1">
        <f t="array" ref="AE11">IF($B11="","",KW(($H11&amp;", "&amp;$AB$3),"Lance")=TRUE)</f>
        <v/>
      </c>
      <c r="AF11" s="28" t="str" cm="1">
        <f t="array" ref="AF11">IF($B11="","",KW(($H11&amp;", "&amp;$AB$3),"Heavy")=TRUE)</f>
        <v/>
      </c>
      <c r="AG11" s="28" t="str" cm="1">
        <f t="array" ref="AG11">IF($B11="","",N(KW(($H11&amp;", "&amp;$AB$3),"Rapid Fire")))</f>
        <v/>
      </c>
      <c r="AH11" s="28" t="str" cm="1">
        <f t="array" ref="AH11">IF($B11="","",N(KW(($H11&amp;", "&amp;$AB$3),"Blast")))</f>
        <v/>
      </c>
      <c r="AI11" s="28" t="str" cm="1">
        <f t="array" ref="AI11">IF($B11="","",N(KW(($H11&amp;", "&amp;$AB$3),"Cleave")))</f>
        <v/>
      </c>
      <c r="AJ11" s="28" t="str" cm="1">
        <f t="array" ref="AJ11">IF($B11="","",N(KW(($H11&amp;", "&amp;$AB$3),"Melta")))</f>
        <v/>
      </c>
      <c r="AK11" s="28" t="str" cm="1">
        <f t="array" ref="AK11">IF($B11="","",KW(($H11&amp;", "&amp;$AB$3),"Ignores Cover")=TRUE)</f>
        <v/>
      </c>
      <c r="AL11" s="28" t="str" cm="1">
        <f t="array" ref="AL11">IF($B11="","",KW(($H11&amp;", "&amp;$AB$3),"Psychic")=TRUE)</f>
        <v/>
      </c>
      <c r="AM11" s="29" t="str" cm="1">
        <f t="array" ref="AM11">IF($B11="","",_xlfn.LET(_xlpm.src,$H11&amp;", "&amp;$AB$3,_xlpm.a,KWANTI(_xlpm.src,($N$6&amp;", "&amp;$AC$3)),_xlpm.c,KWMIN(_xlpm.src,"Critical Wounds"),MIN(_xlpm.a,IF(ISNUMBER(_xlpm.c),MEDIAN(2,6,_xlpm.c),6))))</f>
        <v/>
      </c>
      <c r="AN11" s="29" t="str">
        <f t="shared" si="2"/>
        <v/>
      </c>
      <c r="AO11" s="29" t="str">
        <f t="shared" si="3"/>
        <v/>
      </c>
      <c r="AP11" s="29" t="str">
        <f t="shared" si="4"/>
        <v/>
      </c>
      <c r="AQ11" s="30" t="str">
        <f>IF(OR($B11="",N($J$6)&lt;=0),"",ROUNDUP($J$6/MIN($U11,$J$6),0)/(($Z$3-1)/6))</f>
        <v/>
      </c>
      <c r="AR11" s="30" t="str" cm="1">
        <f t="array" ref="AR11">IF($B11="","",KWSUM(($H11&amp;", "&amp;$AB$3),"Hit Modifier"))</f>
        <v/>
      </c>
      <c r="AS11" s="30" t="str" cm="1">
        <f t="array" ref="AS11">IF($B11="","",KWSUM(($H11&amp;", "&amp;$AB$3),"Wound Modifier"))</f>
        <v/>
      </c>
      <c r="AT11" s="30" t="str" cm="1">
        <f t="array" ref="AT11">IF($B11="","",KWSUM(($H11&amp;", "&amp;$AB$3),"AP Modifier"))</f>
        <v/>
      </c>
      <c r="AU11" s="30" t="str" cm="1">
        <f t="array" ref="AU11">IF($B11="","",KWSUM(($H11&amp;", "&amp;$AB$3),"Damage Modifier"))</f>
        <v/>
      </c>
      <c r="AV11" s="30" t="str" cm="1">
        <f t="array" ref="AV11">IF($B11="","",_xlfn.LET(_xlpm.src,$H11&amp;", "&amp;$AB$3,_xlpm.full,ISNUMBER(_xlfn.XMATCH("Reroll Hits",TRIM(_xlfn.TEXTSPLIT(_xlpm.src,",")))),_xlpm.r,KW(_xlpm.src,"Reroll Hits"),IF(_xlpm.full,2,IF(N(_xlpm.r)&gt;=1,1,0))))</f>
        <v/>
      </c>
      <c r="AW11" s="30" t="str" cm="1">
        <f t="array" ref="AW11">IF($B11="","",_xlfn.LET(_xlpm.src,$H11&amp;", "&amp;$AB$3,_xlpm.full,OR($AD11,ISNUMBER(_xlfn.XMATCH("Reroll Wounds",TRIM(_xlfn.TEXTSPLIT(_xlpm.src,","))))),_xlpm.r,KW(_xlpm.src,"Reroll Wounds"),IF(_xlpm.full,2,IF(N(_xlpm.r)&gt;=1,1,0))))</f>
        <v/>
      </c>
      <c r="AX11" s="30" t="str">
        <f t="shared" si="5"/>
        <v/>
      </c>
      <c r="AY11" s="30" t="str" cm="1">
        <f t="array" ref="AY11">IF($B11="","",KWSUM($H11&amp;", "&amp;$AB$3,"Attacks Modifier"))</f>
        <v/>
      </c>
      <c r="AZ11" s="30" t="str" cm="1">
        <f t="array" ref="AZ11">IF($B11="","",KWSUM($H11&amp;", "&amp;$AB$3,"Strength Modifier"))</f>
        <v/>
      </c>
      <c r="BA11" s="30" t="str" cm="1">
        <f t="array" ref="BA11">IF($B11="","",KWSUM($H11&amp;", "&amp;$AB$3,"WS Modifier"))</f>
        <v/>
      </c>
      <c r="BB11" s="30" t="str" cm="1">
        <f t="array" ref="BB11">IF($B11="","",_xlfn.LET(_xlpm.c,KWMIN($H11&amp;", "&amp;$AB$3,"Critical Hits"),IF(ISNUMBER(_xlpm.c),MEDIAN(2,6,_xlpm.c),6)))</f>
        <v/>
      </c>
      <c r="BC11" s="30" t="str" cm="1">
        <f t="array" ref="BC11">IF($B11="","",KWSUM($H11&amp;", "&amp;$AB$3,"Save Modifier"))</f>
        <v/>
      </c>
    </row>
    <row r="12" spans="1:63" ht="14.55" customHeight="1" x14ac:dyDescent="0.3">
      <c r="A12" s="64" t="b">
        <v>1</v>
      </c>
      <c r="B12" s="55"/>
      <c r="C12" s="38"/>
      <c r="D12" s="38"/>
      <c r="E12" s="38"/>
      <c r="F12" s="38"/>
      <c r="G12" s="38"/>
      <c r="H12" s="1"/>
      <c r="I12" s="9"/>
      <c r="J12" s="34"/>
      <c r="K12" s="34"/>
      <c r="L12" s="34"/>
      <c r="M12" s="34"/>
      <c r="N12" s="11"/>
      <c r="O12" s="37" t="str">
        <f t="shared" si="0"/>
        <v/>
      </c>
      <c r="P12" s="37" t="str">
        <f t="shared" si="1"/>
        <v/>
      </c>
      <c r="Q12" s="37" t="str">
        <f>IF(OR($B12="",NOT($A12)),"",IF(AND($AA12,NOT($Z12)),$O12*$AX12,0))</f>
        <v/>
      </c>
      <c r="R12" s="37" t="str">
        <f>IF(OR($B12="",NOT($A12)),"",_xlfn.LET(_xlpm.n,$P12-$Q12,_xlpm.pW,(7-$AO12)/6,_xlpm.pC,(7-$AM12)/6,_xlpm.pT,MAX(_xlpm.pW,_xlpm.pC),_xlpm.rr,$AW12,_xlpm.n*IF(_xlpm.rr=2,1-(1-_xlpm.pT)^2,IF(_xlpm.rr=1,_xlpm.pT+_xlpm.pT/6,_xlpm.pT))+$Q12))</f>
        <v/>
      </c>
      <c r="S12" s="37" t="str">
        <f>IF(OR($B12="",NOT($A12)),"",IF($AC12,_xlfn.LET(_xlpm.n,$P12-$Q12,_xlpm.pW,(7-$AO12)/6,_xlpm.pC,(7-$AM12)/6,_xlpm.pT,MAX(_xlpm.pW,_xlpm.pC),_xlpm.rr,$AW12,_xlpm.n*IF(_xlpm.rr=2,_xlpm.pC+(1-_xlpm.pT)*_xlpm.pC,IF(_xlpm.rr=1,_xlpm.pC+_xlpm.pC/6,_xlpm.pC))),0))</f>
        <v/>
      </c>
      <c r="T12" s="37" t="str">
        <f>IF(OR($B12="",NOT($A12)),"",($R12-$S12)*($AP12-1)/6)</f>
        <v/>
      </c>
      <c r="U12" s="37" t="str">
        <f>IF(OR($B12="",NOT($A12)),"",MAX(1,IF(LEFT($G12,1)="D",(VALUE(MID($G12,2,99))+1)/2,$G12)+$AJ12*FALSE+$AU12+$AG$3))</f>
        <v/>
      </c>
      <c r="V12" s="37" t="str">
        <f>IF(OR($B12="",NOT($A12)),"",($T12+$S12)*IF(N($J$6)&gt;0,MIN($U12,$J$6),$U12)*($Z$3-1)/6)</f>
        <v/>
      </c>
      <c r="W12" s="37" t="str">
        <f>IF(OR($B12="",NOT($A12),$AQ12=""),"",MIN($E$3,($T12+$S12)/$AQ12))</f>
        <v/>
      </c>
      <c r="X12" s="56" t="str">
        <f>IF(OR($B12="",NOT($A12)),"",TEXT($V12,"0.00")&amp;" dmg"&amp;IF($W12="","",", "&amp;TEXT($W12,"0.00")&amp;" kills"))</f>
        <v/>
      </c>
      <c r="Z12" s="28" t="str" cm="1">
        <f t="array" ref="Z12">IF($B12="","",KW(($H12&amp;", "&amp;$AB$3),"Torrent")=TRUE)</f>
        <v/>
      </c>
      <c r="AA12" s="28" t="str" cm="1">
        <f t="array" ref="AA12">IF($B12="","",KW(($H12&amp;", "&amp;$AB$3),"Lethal Hits")=TRUE)</f>
        <v/>
      </c>
      <c r="AB12" s="28" t="str" cm="1">
        <f t="array" ref="AB12">IF($B12="","",N(KW(($H12&amp;", "&amp;$AB$3),"Sustained Hits")))</f>
        <v/>
      </c>
      <c r="AC12" s="28" t="str" cm="1">
        <f t="array" ref="AC12">IF($B12="","",KW(($H12&amp;", "&amp;$AB$3),"Devastating Wounds")=TRUE)</f>
        <v/>
      </c>
      <c r="AD12" s="28" t="str" cm="1">
        <f t="array" ref="AD12">IF($B12="","",KW(($H12&amp;", "&amp;$AB$3),"Twin-Linked")=TRUE)</f>
        <v/>
      </c>
      <c r="AE12" s="28" t="str" cm="1">
        <f t="array" ref="AE12">IF($B12="","",KW(($H12&amp;", "&amp;$AB$3),"Lance")=TRUE)</f>
        <v/>
      </c>
      <c r="AF12" s="28" t="str" cm="1">
        <f t="array" ref="AF12">IF($B12="","",KW(($H12&amp;", "&amp;$AB$3),"Heavy")=TRUE)</f>
        <v/>
      </c>
      <c r="AG12" s="28" t="str" cm="1">
        <f t="array" ref="AG12">IF($B12="","",N(KW(($H12&amp;", "&amp;$AB$3),"Rapid Fire")))</f>
        <v/>
      </c>
      <c r="AH12" s="28" t="str" cm="1">
        <f t="array" ref="AH12">IF($B12="","",N(KW(($H12&amp;", "&amp;$AB$3),"Blast")))</f>
        <v/>
      </c>
      <c r="AI12" s="28" t="str" cm="1">
        <f t="array" ref="AI12">IF($B12="","",N(KW(($H12&amp;", "&amp;$AB$3),"Cleave")))</f>
        <v/>
      </c>
      <c r="AJ12" s="28" t="str" cm="1">
        <f t="array" ref="AJ12">IF($B12="","",N(KW(($H12&amp;", "&amp;$AB$3),"Melta")))</f>
        <v/>
      </c>
      <c r="AK12" s="28" t="str" cm="1">
        <f t="array" ref="AK12">IF($B12="","",KW(($H12&amp;", "&amp;$AB$3),"Ignores Cover")=TRUE)</f>
        <v/>
      </c>
      <c r="AL12" s="28" t="str" cm="1">
        <f t="array" ref="AL12">IF($B12="","",KW(($H12&amp;", "&amp;$AB$3),"Psychic")=TRUE)</f>
        <v/>
      </c>
      <c r="AM12" s="29" t="str" cm="1">
        <f t="array" ref="AM12">IF($B12="","",_xlfn.LET(_xlpm.src,$H12&amp;", "&amp;$AB$3,_xlpm.a,KWANTI(_xlpm.src,($N$6&amp;", "&amp;$AC$3)),_xlpm.c,KWMIN(_xlpm.src,"Critical Wounds"),MIN(_xlpm.a,IF(ISNUMBER(_xlpm.c),MEDIAN(2,6,_xlpm.c),6))))</f>
        <v/>
      </c>
      <c r="AN12" s="29" t="str">
        <f t="shared" si="2"/>
        <v/>
      </c>
      <c r="AO12" s="29" t="str">
        <f t="shared" si="3"/>
        <v/>
      </c>
      <c r="AP12" s="29" t="str">
        <f t="shared" si="4"/>
        <v/>
      </c>
      <c r="AQ12" s="30" t="str">
        <f>IF(OR($B12="",N($J$6)&lt;=0),"",ROUNDUP($J$6/MIN($U12,$J$6),0)/(($Z$3-1)/6))</f>
        <v/>
      </c>
      <c r="AR12" s="30" t="str" cm="1">
        <f t="array" ref="AR12">IF($B12="","",KWSUM(($H12&amp;", "&amp;$AB$3),"Hit Modifier"))</f>
        <v/>
      </c>
      <c r="AS12" s="30" t="str" cm="1">
        <f t="array" ref="AS12">IF($B12="","",KWSUM(($H12&amp;", "&amp;$AB$3),"Wound Modifier"))</f>
        <v/>
      </c>
      <c r="AT12" s="30" t="str" cm="1">
        <f t="array" ref="AT12">IF($B12="","",KWSUM(($H12&amp;", "&amp;$AB$3),"AP Modifier"))</f>
        <v/>
      </c>
      <c r="AU12" s="30" t="str" cm="1">
        <f t="array" ref="AU12">IF($B12="","",KWSUM(($H12&amp;", "&amp;$AB$3),"Damage Modifier"))</f>
        <v/>
      </c>
      <c r="AV12" s="30" t="str" cm="1">
        <f t="array" ref="AV12">IF($B12="","",_xlfn.LET(_xlpm.src,$H12&amp;", "&amp;$AB$3,_xlpm.full,ISNUMBER(_xlfn.XMATCH("Reroll Hits",TRIM(_xlfn.TEXTSPLIT(_xlpm.src,",")))),_xlpm.r,KW(_xlpm.src,"Reroll Hits"),IF(_xlpm.full,2,IF(N(_xlpm.r)&gt;=1,1,0))))</f>
        <v/>
      </c>
      <c r="AW12" s="30" t="str" cm="1">
        <f t="array" ref="AW12">IF($B12="","",_xlfn.LET(_xlpm.src,$H12&amp;", "&amp;$AB$3,_xlpm.full,OR($AD12,ISNUMBER(_xlfn.XMATCH("Reroll Wounds",TRIM(_xlfn.TEXTSPLIT(_xlpm.src,","))))),_xlpm.r,KW(_xlpm.src,"Reroll Wounds"),IF(_xlpm.full,2,IF(N(_xlpm.r)&gt;=1,1,0))))</f>
        <v/>
      </c>
      <c r="AX12" s="30" t="str">
        <f t="shared" si="5"/>
        <v/>
      </c>
      <c r="AY12" s="30" t="str" cm="1">
        <f t="array" ref="AY12">IF($B12="","",KWSUM($H12&amp;", "&amp;$AB$3,"Attacks Modifier"))</f>
        <v/>
      </c>
      <c r="AZ12" s="30" t="str" cm="1">
        <f t="array" ref="AZ12">IF($B12="","",KWSUM($H12&amp;", "&amp;$AB$3,"Strength Modifier"))</f>
        <v/>
      </c>
      <c r="BA12" s="30" t="str" cm="1">
        <f t="array" ref="BA12">IF($B12="","",KWSUM($H12&amp;", "&amp;$AB$3,"WS Modifier"))</f>
        <v/>
      </c>
      <c r="BB12" s="30" t="str" cm="1">
        <f t="array" ref="BB12">IF($B12="","",_xlfn.LET(_xlpm.c,KWMIN($H12&amp;", "&amp;$AB$3,"Critical Hits"),IF(ISNUMBER(_xlpm.c),MEDIAN(2,6,_xlpm.c),6)))</f>
        <v/>
      </c>
      <c r="BC12" s="30" t="str" cm="1">
        <f t="array" ref="BC12">IF($B12="","",KWSUM($H12&amp;", "&amp;$AB$3,"Save Modifier"))</f>
        <v/>
      </c>
    </row>
    <row r="13" spans="1:63" ht="14.55" customHeight="1" x14ac:dyDescent="0.3">
      <c r="A13" s="64" t="b">
        <v>1</v>
      </c>
      <c r="B13" s="55"/>
      <c r="C13" s="38"/>
      <c r="D13" s="38"/>
      <c r="E13" s="38"/>
      <c r="F13" s="38"/>
      <c r="G13" s="38"/>
      <c r="H13" s="1"/>
      <c r="I13" s="9"/>
      <c r="J13" s="34"/>
      <c r="K13" s="34"/>
      <c r="L13" s="34"/>
      <c r="M13" s="34"/>
      <c r="N13" s="11"/>
      <c r="O13" s="37" t="str">
        <f t="shared" si="0"/>
        <v/>
      </c>
      <c r="P13" s="37" t="str">
        <f t="shared" si="1"/>
        <v/>
      </c>
      <c r="Q13" s="37" t="str">
        <f>IF(OR($B13="",NOT($A13)),"",IF(AND($AA13,NOT($Z13)),$O13*$AX13,0))</f>
        <v/>
      </c>
      <c r="R13" s="37" t="str">
        <f>IF(OR($B13="",NOT($A13)),"",_xlfn.LET(_xlpm.n,$P13-$Q13,_xlpm.pW,(7-$AO13)/6,_xlpm.pC,(7-$AM13)/6,_xlpm.pT,MAX(_xlpm.pW,_xlpm.pC),_xlpm.rr,$AW13,_xlpm.n*IF(_xlpm.rr=2,1-(1-_xlpm.pT)^2,IF(_xlpm.rr=1,_xlpm.pT+_xlpm.pT/6,_xlpm.pT))+$Q13))</f>
        <v/>
      </c>
      <c r="S13" s="37" t="str">
        <f>IF(OR($B13="",NOT($A13)),"",IF($AC13,_xlfn.LET(_xlpm.n,$P13-$Q13,_xlpm.pW,(7-$AO13)/6,_xlpm.pC,(7-$AM13)/6,_xlpm.pT,MAX(_xlpm.pW,_xlpm.pC),_xlpm.rr,$AW13,_xlpm.n*IF(_xlpm.rr=2,_xlpm.pC+(1-_xlpm.pT)*_xlpm.pC,IF(_xlpm.rr=1,_xlpm.pC+_xlpm.pC/6,_xlpm.pC))),0))</f>
        <v/>
      </c>
      <c r="T13" s="37" t="str">
        <f>IF(OR($B13="",NOT($A13)),"",($R13-$S13)*($AP13-1)/6)</f>
        <v/>
      </c>
      <c r="U13" s="37" t="str">
        <f>IF(OR($B13="",NOT($A13)),"",MAX(1,IF(LEFT($G13,1)="D",(VALUE(MID($G13,2,99))+1)/2,$G13)+$AJ13*FALSE+$AU13+$AG$3))</f>
        <v/>
      </c>
      <c r="V13" s="37" t="str">
        <f>IF(OR($B13="",NOT($A13)),"",($T13+$S13)*IF(N($J$6)&gt;0,MIN($U13,$J$6),$U13)*($Z$3-1)/6)</f>
        <v/>
      </c>
      <c r="W13" s="37" t="str">
        <f>IF(OR($B13="",NOT($A13),$AQ13=""),"",MIN($E$3,($T13+$S13)/$AQ13))</f>
        <v/>
      </c>
      <c r="X13" s="56" t="str">
        <f>IF(OR($B13="",NOT($A13)),"",TEXT($V13,"0.00")&amp;" dmg"&amp;IF($W13="","",", "&amp;TEXT($W13,"0.00")&amp;" kills"))</f>
        <v/>
      </c>
      <c r="Z13" s="28" t="str" cm="1">
        <f t="array" ref="Z13">IF($B13="","",KW(($H13&amp;", "&amp;$AB$3),"Torrent")=TRUE)</f>
        <v/>
      </c>
      <c r="AA13" s="28" t="str" cm="1">
        <f t="array" ref="AA13">IF($B13="","",KW(($H13&amp;", "&amp;$AB$3),"Lethal Hits")=TRUE)</f>
        <v/>
      </c>
      <c r="AB13" s="28" t="str" cm="1">
        <f t="array" ref="AB13">IF($B13="","",N(KW(($H13&amp;", "&amp;$AB$3),"Sustained Hits")))</f>
        <v/>
      </c>
      <c r="AC13" s="28" t="str" cm="1">
        <f t="array" ref="AC13">IF($B13="","",KW(($H13&amp;", "&amp;$AB$3),"Devastating Wounds")=TRUE)</f>
        <v/>
      </c>
      <c r="AD13" s="28" t="str" cm="1">
        <f t="array" ref="AD13">IF($B13="","",KW(($H13&amp;", "&amp;$AB$3),"Twin-Linked")=TRUE)</f>
        <v/>
      </c>
      <c r="AE13" s="28" t="str" cm="1">
        <f t="array" ref="AE13">IF($B13="","",KW(($H13&amp;", "&amp;$AB$3),"Lance")=TRUE)</f>
        <v/>
      </c>
      <c r="AF13" s="28" t="str" cm="1">
        <f t="array" ref="AF13">IF($B13="","",KW(($H13&amp;", "&amp;$AB$3),"Heavy")=TRUE)</f>
        <v/>
      </c>
      <c r="AG13" s="28" t="str" cm="1">
        <f t="array" ref="AG13">IF($B13="","",N(KW(($H13&amp;", "&amp;$AB$3),"Rapid Fire")))</f>
        <v/>
      </c>
      <c r="AH13" s="28" t="str" cm="1">
        <f t="array" ref="AH13">IF($B13="","",N(KW(($H13&amp;", "&amp;$AB$3),"Blast")))</f>
        <v/>
      </c>
      <c r="AI13" s="28" t="str" cm="1">
        <f t="array" ref="AI13">IF($B13="","",N(KW(($H13&amp;", "&amp;$AB$3),"Cleave")))</f>
        <v/>
      </c>
      <c r="AJ13" s="28" t="str" cm="1">
        <f t="array" ref="AJ13">IF($B13="","",N(KW(($H13&amp;", "&amp;$AB$3),"Melta")))</f>
        <v/>
      </c>
      <c r="AK13" s="28" t="str" cm="1">
        <f t="array" ref="AK13">IF($B13="","",KW(($H13&amp;", "&amp;$AB$3),"Ignores Cover")=TRUE)</f>
        <v/>
      </c>
      <c r="AL13" s="28" t="str" cm="1">
        <f t="array" ref="AL13">IF($B13="","",KW(($H13&amp;", "&amp;$AB$3),"Psychic")=TRUE)</f>
        <v/>
      </c>
      <c r="AM13" s="29" t="str" cm="1">
        <f t="array" ref="AM13">IF($B13="","",_xlfn.LET(_xlpm.src,$H13&amp;", "&amp;$AB$3,_xlpm.a,KWANTI(_xlpm.src,($N$6&amp;", "&amp;$AC$3)),_xlpm.c,KWMIN(_xlpm.src,"Critical Wounds"),MIN(_xlpm.a,IF(ISNUMBER(_xlpm.c),MEDIAN(2,6,_xlpm.c),6))))</f>
        <v/>
      </c>
      <c r="AN13" s="29" t="str">
        <f t="shared" si="2"/>
        <v/>
      </c>
      <c r="AO13" s="29" t="str">
        <f t="shared" si="3"/>
        <v/>
      </c>
      <c r="AP13" s="29" t="str">
        <f t="shared" si="4"/>
        <v/>
      </c>
      <c r="AQ13" s="30" t="str">
        <f>IF(OR($B13="",N($J$6)&lt;=0),"",ROUNDUP($J$6/MIN($U13,$J$6),0)/(($Z$3-1)/6))</f>
        <v/>
      </c>
      <c r="AR13" s="30" t="str" cm="1">
        <f t="array" ref="AR13">IF($B13="","",KWSUM(($H13&amp;", "&amp;$AB$3),"Hit Modifier"))</f>
        <v/>
      </c>
      <c r="AS13" s="30" t="str" cm="1">
        <f t="array" ref="AS13">IF($B13="","",KWSUM(($H13&amp;", "&amp;$AB$3),"Wound Modifier"))</f>
        <v/>
      </c>
      <c r="AT13" s="30" t="str" cm="1">
        <f t="array" ref="AT13">IF($B13="","",KWSUM(($H13&amp;", "&amp;$AB$3),"AP Modifier"))</f>
        <v/>
      </c>
      <c r="AU13" s="30" t="str" cm="1">
        <f t="array" ref="AU13">IF($B13="","",KWSUM(($H13&amp;", "&amp;$AB$3),"Damage Modifier"))</f>
        <v/>
      </c>
      <c r="AV13" s="30" t="str" cm="1">
        <f t="array" ref="AV13">IF($B13="","",_xlfn.LET(_xlpm.src,$H13&amp;", "&amp;$AB$3,_xlpm.full,ISNUMBER(_xlfn.XMATCH("Reroll Hits",TRIM(_xlfn.TEXTSPLIT(_xlpm.src,",")))),_xlpm.r,KW(_xlpm.src,"Reroll Hits"),IF(_xlpm.full,2,IF(N(_xlpm.r)&gt;=1,1,0))))</f>
        <v/>
      </c>
      <c r="AW13" s="30" t="str" cm="1">
        <f t="array" ref="AW13">IF($B13="","",_xlfn.LET(_xlpm.src,$H13&amp;", "&amp;$AB$3,_xlpm.full,OR($AD13,ISNUMBER(_xlfn.XMATCH("Reroll Wounds",TRIM(_xlfn.TEXTSPLIT(_xlpm.src,","))))),_xlpm.r,KW(_xlpm.src,"Reroll Wounds"),IF(_xlpm.full,2,IF(N(_xlpm.r)&gt;=1,1,0))))</f>
        <v/>
      </c>
      <c r="AX13" s="30" t="str">
        <f t="shared" si="5"/>
        <v/>
      </c>
      <c r="AY13" s="30" t="str" cm="1">
        <f t="array" ref="AY13">IF($B13="","",KWSUM($H13&amp;", "&amp;$AB$3,"Attacks Modifier"))</f>
        <v/>
      </c>
      <c r="AZ13" s="30" t="str" cm="1">
        <f t="array" ref="AZ13">IF($B13="","",KWSUM($H13&amp;", "&amp;$AB$3,"Strength Modifier"))</f>
        <v/>
      </c>
      <c r="BA13" s="30" t="str" cm="1">
        <f t="array" ref="BA13">IF($B13="","",KWSUM($H13&amp;", "&amp;$AB$3,"WS Modifier"))</f>
        <v/>
      </c>
      <c r="BB13" s="30" t="str" cm="1">
        <f t="array" ref="BB13">IF($B13="","",_xlfn.LET(_xlpm.c,KWMIN($H13&amp;", "&amp;$AB$3,"Critical Hits"),IF(ISNUMBER(_xlpm.c),MEDIAN(2,6,_xlpm.c),6)))</f>
        <v/>
      </c>
      <c r="BC13" s="30" t="str" cm="1">
        <f t="array" ref="BC13">IF($B13="","",KWSUM($H13&amp;", "&amp;$AB$3,"Save Modifier"))</f>
        <v/>
      </c>
    </row>
    <row r="14" spans="1:63" ht="14.55" customHeight="1" x14ac:dyDescent="0.3">
      <c r="A14" s="64" t="b">
        <v>1</v>
      </c>
      <c r="B14" s="55"/>
      <c r="C14" s="38"/>
      <c r="D14" s="38"/>
      <c r="E14" s="38"/>
      <c r="F14" s="38"/>
      <c r="G14" s="38"/>
      <c r="H14" s="1"/>
      <c r="I14" s="9"/>
      <c r="J14" s="34"/>
      <c r="K14" s="34"/>
      <c r="L14" s="34"/>
      <c r="M14" s="34"/>
      <c r="N14" s="11"/>
      <c r="O14" s="37" t="str">
        <f t="shared" si="0"/>
        <v/>
      </c>
      <c r="P14" s="37" t="str">
        <f t="shared" si="1"/>
        <v/>
      </c>
      <c r="Q14" s="37" t="str">
        <f>IF(OR($B14="",NOT($A14)),"",IF(AND($AA14,NOT($Z14)),$O14*$AX14,0))</f>
        <v/>
      </c>
      <c r="R14" s="37" t="str">
        <f>IF(OR($B14="",NOT($A14)),"",_xlfn.LET(_xlpm.n,$P14-$Q14,_xlpm.pW,(7-$AO14)/6,_xlpm.pC,(7-$AM14)/6,_xlpm.pT,MAX(_xlpm.pW,_xlpm.pC),_xlpm.rr,$AW14,_xlpm.n*IF(_xlpm.rr=2,1-(1-_xlpm.pT)^2,IF(_xlpm.rr=1,_xlpm.pT+_xlpm.pT/6,_xlpm.pT))+$Q14))</f>
        <v/>
      </c>
      <c r="S14" s="37" t="str">
        <f>IF(OR($B14="",NOT($A14)),"",IF($AC14,_xlfn.LET(_xlpm.n,$P14-$Q14,_xlpm.pW,(7-$AO14)/6,_xlpm.pC,(7-$AM14)/6,_xlpm.pT,MAX(_xlpm.pW,_xlpm.pC),_xlpm.rr,$AW14,_xlpm.n*IF(_xlpm.rr=2,_xlpm.pC+(1-_xlpm.pT)*_xlpm.pC,IF(_xlpm.rr=1,_xlpm.pC+_xlpm.pC/6,_xlpm.pC))),0))</f>
        <v/>
      </c>
      <c r="T14" s="37" t="str">
        <f>IF(OR($B14="",NOT($A14)),"",($R14-$S14)*($AP14-1)/6)</f>
        <v/>
      </c>
      <c r="U14" s="37" t="str">
        <f>IF(OR($B14="",NOT($A14)),"",MAX(1,IF(LEFT($G14,1)="D",(VALUE(MID($G14,2,99))+1)/2,$G14)+$AJ14*FALSE+$AU14+$AG$3))</f>
        <v/>
      </c>
      <c r="V14" s="37" t="str">
        <f>IF(OR($B14="",NOT($A14)),"",($T14+$S14)*IF(N($J$6)&gt;0,MIN($U14,$J$6),$U14)*($Z$3-1)/6)</f>
        <v/>
      </c>
      <c r="W14" s="37" t="str">
        <f>IF(OR($B14="",NOT($A14),$AQ14=""),"",MIN($E$3,($T14+$S14)/$AQ14))</f>
        <v/>
      </c>
      <c r="X14" s="56" t="str">
        <f>IF(OR($B14="",NOT($A14)),"",TEXT($V14,"0.00")&amp;" dmg"&amp;IF($W14="","",", "&amp;TEXT($W14,"0.00")&amp;" kills"))</f>
        <v/>
      </c>
      <c r="Z14" s="28" t="str" cm="1">
        <f t="array" ref="Z14">IF($B14="","",KW(($H14&amp;", "&amp;$AB$3),"Torrent")=TRUE)</f>
        <v/>
      </c>
      <c r="AA14" s="28" t="str" cm="1">
        <f t="array" ref="AA14">IF($B14="","",KW(($H14&amp;", "&amp;$AB$3),"Lethal Hits")=TRUE)</f>
        <v/>
      </c>
      <c r="AB14" s="28" t="str" cm="1">
        <f t="array" ref="AB14">IF($B14="","",N(KW(($H14&amp;", "&amp;$AB$3),"Sustained Hits")))</f>
        <v/>
      </c>
      <c r="AC14" s="28" t="str" cm="1">
        <f t="array" ref="AC14">IF($B14="","",KW(($H14&amp;", "&amp;$AB$3),"Devastating Wounds")=TRUE)</f>
        <v/>
      </c>
      <c r="AD14" s="28" t="str" cm="1">
        <f t="array" ref="AD14">IF($B14="","",KW(($H14&amp;", "&amp;$AB$3),"Twin-Linked")=TRUE)</f>
        <v/>
      </c>
      <c r="AE14" s="28" t="str" cm="1">
        <f t="array" ref="AE14">IF($B14="","",KW(($H14&amp;", "&amp;$AB$3),"Lance")=TRUE)</f>
        <v/>
      </c>
      <c r="AF14" s="28" t="str" cm="1">
        <f t="array" ref="AF14">IF($B14="","",KW(($H14&amp;", "&amp;$AB$3),"Heavy")=TRUE)</f>
        <v/>
      </c>
      <c r="AG14" s="28" t="str" cm="1">
        <f t="array" ref="AG14">IF($B14="","",N(KW(($H14&amp;", "&amp;$AB$3),"Rapid Fire")))</f>
        <v/>
      </c>
      <c r="AH14" s="28" t="str" cm="1">
        <f t="array" ref="AH14">IF($B14="","",N(KW(($H14&amp;", "&amp;$AB$3),"Blast")))</f>
        <v/>
      </c>
      <c r="AI14" s="28" t="str" cm="1">
        <f t="array" ref="AI14">IF($B14="","",N(KW(($H14&amp;", "&amp;$AB$3),"Cleave")))</f>
        <v/>
      </c>
      <c r="AJ14" s="28" t="str" cm="1">
        <f t="array" ref="AJ14">IF($B14="","",N(KW(($H14&amp;", "&amp;$AB$3),"Melta")))</f>
        <v/>
      </c>
      <c r="AK14" s="28" t="str" cm="1">
        <f t="array" ref="AK14">IF($B14="","",KW(($H14&amp;", "&amp;$AB$3),"Ignores Cover")=TRUE)</f>
        <v/>
      </c>
      <c r="AL14" s="28" t="str" cm="1">
        <f t="array" ref="AL14">IF($B14="","",KW(($H14&amp;", "&amp;$AB$3),"Psychic")=TRUE)</f>
        <v/>
      </c>
      <c r="AM14" s="29" t="str" cm="1">
        <f t="array" ref="AM14">IF($B14="","",_xlfn.LET(_xlpm.src,$H14&amp;", "&amp;$AB$3,_xlpm.a,KWANTI(_xlpm.src,($N$6&amp;", "&amp;$AC$3)),_xlpm.c,KWMIN(_xlpm.src,"Critical Wounds"),MIN(_xlpm.a,IF(ISNUMBER(_xlpm.c),MEDIAN(2,6,_xlpm.c),6))))</f>
        <v/>
      </c>
      <c r="AN14" s="29" t="str">
        <f t="shared" si="2"/>
        <v/>
      </c>
      <c r="AO14" s="29" t="str">
        <f t="shared" si="3"/>
        <v/>
      </c>
      <c r="AP14" s="29" t="str">
        <f t="shared" si="4"/>
        <v/>
      </c>
      <c r="AQ14" s="30" t="str">
        <f>IF(OR($B14="",N($J$6)&lt;=0),"",ROUNDUP($J$6/MIN($U14,$J$6),0)/(($Z$3-1)/6))</f>
        <v/>
      </c>
      <c r="AR14" s="30" t="str" cm="1">
        <f t="array" ref="AR14">IF($B14="","",KWSUM(($H14&amp;", "&amp;$AB$3),"Hit Modifier"))</f>
        <v/>
      </c>
      <c r="AS14" s="30" t="str" cm="1">
        <f t="array" ref="AS14">IF($B14="","",KWSUM(($H14&amp;", "&amp;$AB$3),"Wound Modifier"))</f>
        <v/>
      </c>
      <c r="AT14" s="30" t="str" cm="1">
        <f t="array" ref="AT14">IF($B14="","",KWSUM(($H14&amp;", "&amp;$AB$3),"AP Modifier"))</f>
        <v/>
      </c>
      <c r="AU14" s="30" t="str" cm="1">
        <f t="array" ref="AU14">IF($B14="","",KWSUM(($H14&amp;", "&amp;$AB$3),"Damage Modifier"))</f>
        <v/>
      </c>
      <c r="AV14" s="30" t="str" cm="1">
        <f t="array" ref="AV14">IF($B14="","",_xlfn.LET(_xlpm.src,$H14&amp;", "&amp;$AB$3,_xlpm.full,ISNUMBER(_xlfn.XMATCH("Reroll Hits",TRIM(_xlfn.TEXTSPLIT(_xlpm.src,",")))),_xlpm.r,KW(_xlpm.src,"Reroll Hits"),IF(_xlpm.full,2,IF(N(_xlpm.r)&gt;=1,1,0))))</f>
        <v/>
      </c>
      <c r="AW14" s="30" t="str" cm="1">
        <f t="array" ref="AW14">IF($B14="","",_xlfn.LET(_xlpm.src,$H14&amp;", "&amp;$AB$3,_xlpm.full,OR($AD14,ISNUMBER(_xlfn.XMATCH("Reroll Wounds",TRIM(_xlfn.TEXTSPLIT(_xlpm.src,","))))),_xlpm.r,KW(_xlpm.src,"Reroll Wounds"),IF(_xlpm.full,2,IF(N(_xlpm.r)&gt;=1,1,0))))</f>
        <v/>
      </c>
      <c r="AX14" s="30" t="str">
        <f t="shared" si="5"/>
        <v/>
      </c>
      <c r="AY14" s="30" t="str" cm="1">
        <f t="array" ref="AY14">IF($B14="","",KWSUM($H14&amp;", "&amp;$AB$3,"Attacks Modifier"))</f>
        <v/>
      </c>
      <c r="AZ14" s="30" t="str" cm="1">
        <f t="array" ref="AZ14">IF($B14="","",KWSUM($H14&amp;", "&amp;$AB$3,"Strength Modifier"))</f>
        <v/>
      </c>
      <c r="BA14" s="30" t="str" cm="1">
        <f t="array" ref="BA14">IF($B14="","",KWSUM($H14&amp;", "&amp;$AB$3,"WS Modifier"))</f>
        <v/>
      </c>
      <c r="BB14" s="30" t="str" cm="1">
        <f t="array" ref="BB14">IF($B14="","",_xlfn.LET(_xlpm.c,KWMIN($H14&amp;", "&amp;$AB$3,"Critical Hits"),IF(ISNUMBER(_xlpm.c),MEDIAN(2,6,_xlpm.c),6)))</f>
        <v/>
      </c>
      <c r="BC14" s="30" t="str" cm="1">
        <f t="array" ref="BC14">IF($B14="","",KWSUM($H14&amp;", "&amp;$AB$3,"Save Modifier"))</f>
        <v/>
      </c>
    </row>
    <row r="15" spans="1:63" ht="14.55" customHeight="1" x14ac:dyDescent="0.3">
      <c r="A15" s="64" t="b">
        <v>1</v>
      </c>
      <c r="B15" s="55"/>
      <c r="C15" s="38"/>
      <c r="D15" s="38"/>
      <c r="E15" s="38"/>
      <c r="F15" s="38"/>
      <c r="G15" s="38"/>
      <c r="H15" s="1"/>
      <c r="I15" s="9"/>
      <c r="J15" s="34"/>
      <c r="K15" s="34"/>
      <c r="L15" s="34"/>
      <c r="M15" s="34"/>
      <c r="N15" s="11"/>
      <c r="O15" s="37" t="str">
        <f t="shared" si="0"/>
        <v/>
      </c>
      <c r="P15" s="37" t="str">
        <f t="shared" si="1"/>
        <v/>
      </c>
      <c r="Q15" s="37" t="str">
        <f>IF(OR($B15="",NOT($A15)),"",IF(AND($AA15,NOT($Z15)),$O15*$AX15,0))</f>
        <v/>
      </c>
      <c r="R15" s="37" t="str">
        <f>IF(OR($B15="",NOT($A15)),"",_xlfn.LET(_xlpm.n,$P15-$Q15,_xlpm.pW,(7-$AO15)/6,_xlpm.pC,(7-$AM15)/6,_xlpm.pT,MAX(_xlpm.pW,_xlpm.pC),_xlpm.rr,$AW15,_xlpm.n*IF(_xlpm.rr=2,1-(1-_xlpm.pT)^2,IF(_xlpm.rr=1,_xlpm.pT+_xlpm.pT/6,_xlpm.pT))+$Q15))</f>
        <v/>
      </c>
      <c r="S15" s="37" t="str">
        <f>IF(OR($B15="",NOT($A15)),"",IF($AC15,_xlfn.LET(_xlpm.n,$P15-$Q15,_xlpm.pW,(7-$AO15)/6,_xlpm.pC,(7-$AM15)/6,_xlpm.pT,MAX(_xlpm.pW,_xlpm.pC),_xlpm.rr,$AW15,_xlpm.n*IF(_xlpm.rr=2,_xlpm.pC+(1-_xlpm.pT)*_xlpm.pC,IF(_xlpm.rr=1,_xlpm.pC+_xlpm.pC/6,_xlpm.pC))),0))</f>
        <v/>
      </c>
      <c r="T15" s="37" t="str">
        <f>IF(OR($B15="",NOT($A15)),"",($R15-$S15)*($AP15-1)/6)</f>
        <v/>
      </c>
      <c r="U15" s="37" t="str">
        <f>IF(OR($B15="",NOT($A15)),"",MAX(1,IF(LEFT($G15,1)="D",(VALUE(MID($G15,2,99))+1)/2,$G15)+$AJ15*FALSE+$AU15+$AG$3))</f>
        <v/>
      </c>
      <c r="V15" s="37" t="str">
        <f>IF(OR($B15="",NOT($A15)),"",($T15+$S15)*IF(N($J$6)&gt;0,MIN($U15,$J$6),$U15)*($Z$3-1)/6)</f>
        <v/>
      </c>
      <c r="W15" s="37" t="str">
        <f>IF(OR($B15="",NOT($A15),$AQ15=""),"",MIN($E$3,($T15+$S15)/$AQ15))</f>
        <v/>
      </c>
      <c r="X15" s="56" t="str">
        <f>IF(OR($B15="",NOT($A15)),"",TEXT($V15,"0.00")&amp;" dmg"&amp;IF($W15="","",", "&amp;TEXT($W15,"0.00")&amp;" kills"))</f>
        <v/>
      </c>
      <c r="Z15" s="28" t="str" cm="1">
        <f t="array" ref="Z15">IF($B15="","",KW(($H15&amp;", "&amp;$AB$3),"Torrent")=TRUE)</f>
        <v/>
      </c>
      <c r="AA15" s="28" t="str" cm="1">
        <f t="array" ref="AA15">IF($B15="","",KW(($H15&amp;", "&amp;$AB$3),"Lethal Hits")=TRUE)</f>
        <v/>
      </c>
      <c r="AB15" s="28" t="str" cm="1">
        <f t="array" ref="AB15">IF($B15="","",N(KW(($H15&amp;", "&amp;$AB$3),"Sustained Hits")))</f>
        <v/>
      </c>
      <c r="AC15" s="28" t="str" cm="1">
        <f t="array" ref="AC15">IF($B15="","",KW(($H15&amp;", "&amp;$AB$3),"Devastating Wounds")=TRUE)</f>
        <v/>
      </c>
      <c r="AD15" s="28" t="str" cm="1">
        <f t="array" ref="AD15">IF($B15="","",KW(($H15&amp;", "&amp;$AB$3),"Twin-Linked")=TRUE)</f>
        <v/>
      </c>
      <c r="AE15" s="28" t="str" cm="1">
        <f t="array" ref="AE15">IF($B15="","",KW(($H15&amp;", "&amp;$AB$3),"Lance")=TRUE)</f>
        <v/>
      </c>
      <c r="AF15" s="28" t="str" cm="1">
        <f t="array" ref="AF15">IF($B15="","",KW(($H15&amp;", "&amp;$AB$3),"Heavy")=TRUE)</f>
        <v/>
      </c>
      <c r="AG15" s="28" t="str" cm="1">
        <f t="array" ref="AG15">IF($B15="","",N(KW(($H15&amp;", "&amp;$AB$3),"Rapid Fire")))</f>
        <v/>
      </c>
      <c r="AH15" s="28" t="str" cm="1">
        <f t="array" ref="AH15">IF($B15="","",N(KW(($H15&amp;", "&amp;$AB$3),"Blast")))</f>
        <v/>
      </c>
      <c r="AI15" s="28" t="str" cm="1">
        <f t="array" ref="AI15">IF($B15="","",N(KW(($H15&amp;", "&amp;$AB$3),"Cleave")))</f>
        <v/>
      </c>
      <c r="AJ15" s="28" t="str" cm="1">
        <f t="array" ref="AJ15">IF($B15="","",N(KW(($H15&amp;", "&amp;$AB$3),"Melta")))</f>
        <v/>
      </c>
      <c r="AK15" s="28" t="str" cm="1">
        <f t="array" ref="AK15">IF($B15="","",KW(($H15&amp;", "&amp;$AB$3),"Ignores Cover")=TRUE)</f>
        <v/>
      </c>
      <c r="AL15" s="28" t="str" cm="1">
        <f t="array" ref="AL15">IF($B15="","",KW(($H15&amp;", "&amp;$AB$3),"Psychic")=TRUE)</f>
        <v/>
      </c>
      <c r="AM15" s="29" t="str" cm="1">
        <f t="array" ref="AM15">IF($B15="","",_xlfn.LET(_xlpm.src,$H15&amp;", "&amp;$AB$3,_xlpm.a,KWANTI(_xlpm.src,($N$6&amp;", "&amp;$AC$3)),_xlpm.c,KWMIN(_xlpm.src,"Critical Wounds"),MIN(_xlpm.a,IF(ISNUMBER(_xlpm.c),MEDIAN(2,6,_xlpm.c),6))))</f>
        <v/>
      </c>
      <c r="AN15" s="29" t="str">
        <f t="shared" si="2"/>
        <v/>
      </c>
      <c r="AO15" s="29" t="str">
        <f t="shared" si="3"/>
        <v/>
      </c>
      <c r="AP15" s="29" t="str">
        <f t="shared" si="4"/>
        <v/>
      </c>
      <c r="AQ15" s="30" t="str">
        <f>IF(OR($B15="",N($J$6)&lt;=0),"",ROUNDUP($J$6/MIN($U15,$J$6),0)/(($Z$3-1)/6))</f>
        <v/>
      </c>
      <c r="AR15" s="30" t="str" cm="1">
        <f t="array" ref="AR15">IF($B15="","",KWSUM(($H15&amp;", "&amp;$AB$3),"Hit Modifier"))</f>
        <v/>
      </c>
      <c r="AS15" s="30" t="str" cm="1">
        <f t="array" ref="AS15">IF($B15="","",KWSUM(($H15&amp;", "&amp;$AB$3),"Wound Modifier"))</f>
        <v/>
      </c>
      <c r="AT15" s="30" t="str" cm="1">
        <f t="array" ref="AT15">IF($B15="","",KWSUM(($H15&amp;", "&amp;$AB$3),"AP Modifier"))</f>
        <v/>
      </c>
      <c r="AU15" s="30" t="str" cm="1">
        <f t="array" ref="AU15">IF($B15="","",KWSUM(($H15&amp;", "&amp;$AB$3),"Damage Modifier"))</f>
        <v/>
      </c>
      <c r="AV15" s="30" t="str" cm="1">
        <f t="array" ref="AV15">IF($B15="","",_xlfn.LET(_xlpm.src,$H15&amp;", "&amp;$AB$3,_xlpm.full,ISNUMBER(_xlfn.XMATCH("Reroll Hits",TRIM(_xlfn.TEXTSPLIT(_xlpm.src,",")))),_xlpm.r,KW(_xlpm.src,"Reroll Hits"),IF(_xlpm.full,2,IF(N(_xlpm.r)&gt;=1,1,0))))</f>
        <v/>
      </c>
      <c r="AW15" s="30" t="str" cm="1">
        <f t="array" ref="AW15">IF($B15="","",_xlfn.LET(_xlpm.src,$H15&amp;", "&amp;$AB$3,_xlpm.full,OR($AD15,ISNUMBER(_xlfn.XMATCH("Reroll Wounds",TRIM(_xlfn.TEXTSPLIT(_xlpm.src,","))))),_xlpm.r,KW(_xlpm.src,"Reroll Wounds"),IF(_xlpm.full,2,IF(N(_xlpm.r)&gt;=1,1,0))))</f>
        <v/>
      </c>
      <c r="AX15" s="30" t="str">
        <f t="shared" si="5"/>
        <v/>
      </c>
      <c r="AY15" s="30" t="str" cm="1">
        <f t="array" ref="AY15">IF($B15="","",KWSUM($H15&amp;", "&amp;$AB$3,"Attacks Modifier"))</f>
        <v/>
      </c>
      <c r="AZ15" s="30" t="str" cm="1">
        <f t="array" ref="AZ15">IF($B15="","",KWSUM($H15&amp;", "&amp;$AB$3,"Strength Modifier"))</f>
        <v/>
      </c>
      <c r="BA15" s="30" t="str" cm="1">
        <f t="array" ref="BA15">IF($B15="","",KWSUM($H15&amp;", "&amp;$AB$3,"WS Modifier"))</f>
        <v/>
      </c>
      <c r="BB15" s="30" t="str" cm="1">
        <f t="array" ref="BB15">IF($B15="","",_xlfn.LET(_xlpm.c,KWMIN($H15&amp;", "&amp;$AB$3,"Critical Hits"),IF(ISNUMBER(_xlpm.c),MEDIAN(2,6,_xlpm.c),6)))</f>
        <v/>
      </c>
      <c r="BC15" s="30" t="str" cm="1">
        <f t="array" ref="BC15">IF($B15="","",KWSUM($H15&amp;", "&amp;$AB$3,"Save Modifier"))</f>
        <v/>
      </c>
    </row>
    <row r="16" spans="1:63" ht="14.55" customHeight="1" x14ac:dyDescent="0.3">
      <c r="A16" s="64" t="b">
        <v>1</v>
      </c>
      <c r="B16" s="55"/>
      <c r="C16" s="38"/>
      <c r="D16" s="38"/>
      <c r="E16" s="38"/>
      <c r="F16" s="38"/>
      <c r="G16" s="38"/>
      <c r="H16" s="1"/>
      <c r="I16" s="9"/>
      <c r="J16" s="34"/>
      <c r="K16" s="34"/>
      <c r="L16" s="34"/>
      <c r="M16" s="34"/>
      <c r="N16" s="11"/>
      <c r="O16" s="37" t="str">
        <f t="shared" si="0"/>
        <v/>
      </c>
      <c r="P16" s="37" t="str">
        <f t="shared" si="1"/>
        <v/>
      </c>
      <c r="Q16" s="37" t="str">
        <f>IF(OR($B16="",NOT($A16)),"",IF(AND($AA16,NOT($Z16)),$O16*$AX16,0))</f>
        <v/>
      </c>
      <c r="R16" s="37" t="str">
        <f>IF(OR($B16="",NOT($A16)),"",_xlfn.LET(_xlpm.n,$P16-$Q16,_xlpm.pW,(7-$AO16)/6,_xlpm.pC,(7-$AM16)/6,_xlpm.pT,MAX(_xlpm.pW,_xlpm.pC),_xlpm.rr,$AW16,_xlpm.n*IF(_xlpm.rr=2,1-(1-_xlpm.pT)^2,IF(_xlpm.rr=1,_xlpm.pT+_xlpm.pT/6,_xlpm.pT))+$Q16))</f>
        <v/>
      </c>
      <c r="S16" s="37" t="str">
        <f>IF(OR($B16="",NOT($A16)),"",IF($AC16,_xlfn.LET(_xlpm.n,$P16-$Q16,_xlpm.pW,(7-$AO16)/6,_xlpm.pC,(7-$AM16)/6,_xlpm.pT,MAX(_xlpm.pW,_xlpm.pC),_xlpm.rr,$AW16,_xlpm.n*IF(_xlpm.rr=2,_xlpm.pC+(1-_xlpm.pT)*_xlpm.pC,IF(_xlpm.rr=1,_xlpm.pC+_xlpm.pC/6,_xlpm.pC))),0))</f>
        <v/>
      </c>
      <c r="T16" s="37" t="str">
        <f>IF(OR($B16="",NOT($A16)),"",($R16-$S16)*($AP16-1)/6)</f>
        <v/>
      </c>
      <c r="U16" s="37" t="str">
        <f>IF(OR($B16="",NOT($A16)),"",MAX(1,IF(LEFT($G16,1)="D",(VALUE(MID($G16,2,99))+1)/2,$G16)+$AJ16*FALSE+$AU16+$AG$3))</f>
        <v/>
      </c>
      <c r="V16" s="37" t="str">
        <f>IF(OR($B16="",NOT($A16)),"",($T16+$S16)*IF(N($J$6)&gt;0,MIN($U16,$J$6),$U16)*($Z$3-1)/6)</f>
        <v/>
      </c>
      <c r="W16" s="37" t="str">
        <f>IF(OR($B16="",NOT($A16),$AQ16=""),"",MIN($E$3,($T16+$S16)/$AQ16))</f>
        <v/>
      </c>
      <c r="X16" s="56" t="str">
        <f>IF(OR($B16="",NOT($A16)),"",TEXT($V16,"0.00")&amp;" dmg"&amp;IF($W16="","",", "&amp;TEXT($W16,"0.00")&amp;" kills"))</f>
        <v/>
      </c>
      <c r="Z16" s="28" t="str" cm="1">
        <f t="array" ref="Z16">IF($B16="","",KW(($H16&amp;", "&amp;$AB$3),"Torrent")=TRUE)</f>
        <v/>
      </c>
      <c r="AA16" s="28" t="str" cm="1">
        <f t="array" ref="AA16">IF($B16="","",KW(($H16&amp;", "&amp;$AB$3),"Lethal Hits")=TRUE)</f>
        <v/>
      </c>
      <c r="AB16" s="28" t="str" cm="1">
        <f t="array" ref="AB16">IF($B16="","",N(KW(($H16&amp;", "&amp;$AB$3),"Sustained Hits")))</f>
        <v/>
      </c>
      <c r="AC16" s="28" t="str" cm="1">
        <f t="array" ref="AC16">IF($B16="","",KW(($H16&amp;", "&amp;$AB$3),"Devastating Wounds")=TRUE)</f>
        <v/>
      </c>
      <c r="AD16" s="28" t="str" cm="1">
        <f t="array" ref="AD16">IF($B16="","",KW(($H16&amp;", "&amp;$AB$3),"Twin-Linked")=TRUE)</f>
        <v/>
      </c>
      <c r="AE16" s="28" t="str" cm="1">
        <f t="array" ref="AE16">IF($B16="","",KW(($H16&amp;", "&amp;$AB$3),"Lance")=TRUE)</f>
        <v/>
      </c>
      <c r="AF16" s="28" t="str" cm="1">
        <f t="array" ref="AF16">IF($B16="","",KW(($H16&amp;", "&amp;$AB$3),"Heavy")=TRUE)</f>
        <v/>
      </c>
      <c r="AG16" s="28" t="str" cm="1">
        <f t="array" ref="AG16">IF($B16="","",N(KW(($H16&amp;", "&amp;$AB$3),"Rapid Fire")))</f>
        <v/>
      </c>
      <c r="AH16" s="28" t="str" cm="1">
        <f t="array" ref="AH16">IF($B16="","",N(KW(($H16&amp;", "&amp;$AB$3),"Blast")))</f>
        <v/>
      </c>
      <c r="AI16" s="28" t="str" cm="1">
        <f t="array" ref="AI16">IF($B16="","",N(KW(($H16&amp;", "&amp;$AB$3),"Cleave")))</f>
        <v/>
      </c>
      <c r="AJ16" s="28" t="str" cm="1">
        <f t="array" ref="AJ16">IF($B16="","",N(KW(($H16&amp;", "&amp;$AB$3),"Melta")))</f>
        <v/>
      </c>
      <c r="AK16" s="28" t="str" cm="1">
        <f t="array" ref="AK16">IF($B16="","",KW(($H16&amp;", "&amp;$AB$3),"Ignores Cover")=TRUE)</f>
        <v/>
      </c>
      <c r="AL16" s="28" t="str" cm="1">
        <f t="array" ref="AL16">IF($B16="","",KW(($H16&amp;", "&amp;$AB$3),"Psychic")=TRUE)</f>
        <v/>
      </c>
      <c r="AM16" s="29" t="str" cm="1">
        <f t="array" ref="AM16">IF($B16="","",_xlfn.LET(_xlpm.src,$H16&amp;", "&amp;$AB$3,_xlpm.a,KWANTI(_xlpm.src,($N$6&amp;", "&amp;$AC$3)),_xlpm.c,KWMIN(_xlpm.src,"Critical Wounds"),MIN(_xlpm.a,IF(ISNUMBER(_xlpm.c),MEDIAN(2,6,_xlpm.c),6))))</f>
        <v/>
      </c>
      <c r="AN16" s="29" t="str">
        <f t="shared" si="2"/>
        <v/>
      </c>
      <c r="AO16" s="29" t="str">
        <f t="shared" si="3"/>
        <v/>
      </c>
      <c r="AP16" s="29" t="str">
        <f t="shared" si="4"/>
        <v/>
      </c>
      <c r="AQ16" s="30" t="str">
        <f>IF(OR($B16="",N($J$6)&lt;=0),"",ROUNDUP($J$6/MIN($U16,$J$6),0)/(($Z$3-1)/6))</f>
        <v/>
      </c>
      <c r="AR16" s="30" t="str" cm="1">
        <f t="array" ref="AR16">IF($B16="","",KWSUM(($H16&amp;", "&amp;$AB$3),"Hit Modifier"))</f>
        <v/>
      </c>
      <c r="AS16" s="30" t="str" cm="1">
        <f t="array" ref="AS16">IF($B16="","",KWSUM(($H16&amp;", "&amp;$AB$3),"Wound Modifier"))</f>
        <v/>
      </c>
      <c r="AT16" s="30" t="str" cm="1">
        <f t="array" ref="AT16">IF($B16="","",KWSUM(($H16&amp;", "&amp;$AB$3),"AP Modifier"))</f>
        <v/>
      </c>
      <c r="AU16" s="30" t="str" cm="1">
        <f t="array" ref="AU16">IF($B16="","",KWSUM(($H16&amp;", "&amp;$AB$3),"Damage Modifier"))</f>
        <v/>
      </c>
      <c r="AV16" s="30" t="str" cm="1">
        <f t="array" ref="AV16">IF($B16="","",_xlfn.LET(_xlpm.src,$H16&amp;", "&amp;$AB$3,_xlpm.full,ISNUMBER(_xlfn.XMATCH("Reroll Hits",TRIM(_xlfn.TEXTSPLIT(_xlpm.src,",")))),_xlpm.r,KW(_xlpm.src,"Reroll Hits"),IF(_xlpm.full,2,IF(N(_xlpm.r)&gt;=1,1,0))))</f>
        <v/>
      </c>
      <c r="AW16" s="30" t="str" cm="1">
        <f t="array" ref="AW16">IF($B16="","",_xlfn.LET(_xlpm.src,$H16&amp;", "&amp;$AB$3,_xlpm.full,OR($AD16,ISNUMBER(_xlfn.XMATCH("Reroll Wounds",TRIM(_xlfn.TEXTSPLIT(_xlpm.src,","))))),_xlpm.r,KW(_xlpm.src,"Reroll Wounds"),IF(_xlpm.full,2,IF(N(_xlpm.r)&gt;=1,1,0))))</f>
        <v/>
      </c>
      <c r="AX16" s="30" t="str">
        <f t="shared" si="5"/>
        <v/>
      </c>
      <c r="AY16" s="30" t="str" cm="1">
        <f t="array" ref="AY16">IF($B16="","",KWSUM($H16&amp;", "&amp;$AB$3,"Attacks Modifier"))</f>
        <v/>
      </c>
      <c r="AZ16" s="30" t="str" cm="1">
        <f t="array" ref="AZ16">IF($B16="","",KWSUM($H16&amp;", "&amp;$AB$3,"Strength Modifier"))</f>
        <v/>
      </c>
      <c r="BA16" s="30" t="str" cm="1">
        <f t="array" ref="BA16">IF($B16="","",KWSUM($H16&amp;", "&amp;$AB$3,"WS Modifier"))</f>
        <v/>
      </c>
      <c r="BB16" s="30" t="str" cm="1">
        <f t="array" ref="BB16">IF($B16="","",_xlfn.LET(_xlpm.c,KWMIN($H16&amp;", "&amp;$AB$3,"Critical Hits"),IF(ISNUMBER(_xlpm.c),MEDIAN(2,6,_xlpm.c),6)))</f>
        <v/>
      </c>
      <c r="BC16" s="30" t="str" cm="1">
        <f t="array" ref="BC16">IF($B16="","",KWSUM($H16&amp;", "&amp;$AB$3,"Save Modifier"))</f>
        <v/>
      </c>
    </row>
    <row r="17" spans="1:55" ht="14.55" customHeight="1" x14ac:dyDescent="0.3">
      <c r="A17" s="64" t="b">
        <v>1</v>
      </c>
      <c r="B17" s="55"/>
      <c r="C17" s="38"/>
      <c r="D17" s="38"/>
      <c r="E17" s="38"/>
      <c r="F17" s="38"/>
      <c r="G17" s="38"/>
      <c r="H17" s="1"/>
      <c r="I17" s="9"/>
      <c r="J17" s="34"/>
      <c r="K17" s="34"/>
      <c r="L17" s="34"/>
      <c r="M17" s="34"/>
      <c r="N17" s="11"/>
      <c r="O17" s="37" t="str">
        <f t="shared" si="0"/>
        <v/>
      </c>
      <c r="P17" s="37" t="str">
        <f t="shared" si="1"/>
        <v/>
      </c>
      <c r="Q17" s="37" t="str">
        <f>IF(OR($B17="",NOT($A17)),"",IF(AND($AA17,NOT($Z17)),$O17*$AX17,0))</f>
        <v/>
      </c>
      <c r="R17" s="37" t="str">
        <f>IF(OR($B17="",NOT($A17)),"",_xlfn.LET(_xlpm.n,$P17-$Q17,_xlpm.pW,(7-$AO17)/6,_xlpm.pC,(7-$AM17)/6,_xlpm.pT,MAX(_xlpm.pW,_xlpm.pC),_xlpm.rr,$AW17,_xlpm.n*IF(_xlpm.rr=2,1-(1-_xlpm.pT)^2,IF(_xlpm.rr=1,_xlpm.pT+_xlpm.pT/6,_xlpm.pT))+$Q17))</f>
        <v/>
      </c>
      <c r="S17" s="37" t="str">
        <f>IF(OR($B17="",NOT($A17)),"",IF($AC17,_xlfn.LET(_xlpm.n,$P17-$Q17,_xlpm.pW,(7-$AO17)/6,_xlpm.pC,(7-$AM17)/6,_xlpm.pT,MAX(_xlpm.pW,_xlpm.pC),_xlpm.rr,$AW17,_xlpm.n*IF(_xlpm.rr=2,_xlpm.pC+(1-_xlpm.pT)*_xlpm.pC,IF(_xlpm.rr=1,_xlpm.pC+_xlpm.pC/6,_xlpm.pC))),0))</f>
        <v/>
      </c>
      <c r="T17" s="37" t="str">
        <f>IF(OR($B17="",NOT($A17)),"",($R17-$S17)*($AP17-1)/6)</f>
        <v/>
      </c>
      <c r="U17" s="37" t="str">
        <f>IF(OR($B17="",NOT($A17)),"",MAX(1,IF(LEFT($G17,1)="D",(VALUE(MID($G17,2,99))+1)/2,$G17)+$AJ17*FALSE+$AU17+$AG$3))</f>
        <v/>
      </c>
      <c r="V17" s="37" t="str">
        <f>IF(OR($B17="",NOT($A17)),"",($T17+$S17)*IF(N($J$6)&gt;0,MIN($U17,$J$6),$U17)*($Z$3-1)/6)</f>
        <v/>
      </c>
      <c r="W17" s="37" t="str">
        <f>IF(OR($B17="",NOT($A17),$AQ17=""),"",MIN($E$3,($T17+$S17)/$AQ17))</f>
        <v/>
      </c>
      <c r="X17" s="56" t="str">
        <f>IF(OR($B17="",NOT($A17)),"",TEXT($V17,"0.00")&amp;" dmg"&amp;IF($W17="","",", "&amp;TEXT($W17,"0.00")&amp;" kills"))</f>
        <v/>
      </c>
      <c r="Z17" s="28" t="str" cm="1">
        <f t="array" ref="Z17">IF($B17="","",KW(($H17&amp;", "&amp;$AB$3),"Torrent")=TRUE)</f>
        <v/>
      </c>
      <c r="AA17" s="28" t="str" cm="1">
        <f t="array" ref="AA17">IF($B17="","",KW(($H17&amp;", "&amp;$AB$3),"Lethal Hits")=TRUE)</f>
        <v/>
      </c>
      <c r="AB17" s="28" t="str" cm="1">
        <f t="array" ref="AB17">IF($B17="","",N(KW(($H17&amp;", "&amp;$AB$3),"Sustained Hits")))</f>
        <v/>
      </c>
      <c r="AC17" s="28" t="str" cm="1">
        <f t="array" ref="AC17">IF($B17="","",KW(($H17&amp;", "&amp;$AB$3),"Devastating Wounds")=TRUE)</f>
        <v/>
      </c>
      <c r="AD17" s="28" t="str" cm="1">
        <f t="array" ref="AD17">IF($B17="","",KW(($H17&amp;", "&amp;$AB$3),"Twin-Linked")=TRUE)</f>
        <v/>
      </c>
      <c r="AE17" s="28" t="str" cm="1">
        <f t="array" ref="AE17">IF($B17="","",KW(($H17&amp;", "&amp;$AB$3),"Lance")=TRUE)</f>
        <v/>
      </c>
      <c r="AF17" s="28" t="str" cm="1">
        <f t="array" ref="AF17">IF($B17="","",KW(($H17&amp;", "&amp;$AB$3),"Heavy")=TRUE)</f>
        <v/>
      </c>
      <c r="AG17" s="28" t="str" cm="1">
        <f t="array" ref="AG17">IF($B17="","",N(KW(($H17&amp;", "&amp;$AB$3),"Rapid Fire")))</f>
        <v/>
      </c>
      <c r="AH17" s="28" t="str" cm="1">
        <f t="array" ref="AH17">IF($B17="","",N(KW(($H17&amp;", "&amp;$AB$3),"Blast")))</f>
        <v/>
      </c>
      <c r="AI17" s="28" t="str" cm="1">
        <f t="array" ref="AI17">IF($B17="","",N(KW(($H17&amp;", "&amp;$AB$3),"Cleave")))</f>
        <v/>
      </c>
      <c r="AJ17" s="28" t="str" cm="1">
        <f t="array" ref="AJ17">IF($B17="","",N(KW(($H17&amp;", "&amp;$AB$3),"Melta")))</f>
        <v/>
      </c>
      <c r="AK17" s="28" t="str" cm="1">
        <f t="array" ref="AK17">IF($B17="","",KW(($H17&amp;", "&amp;$AB$3),"Ignores Cover")=TRUE)</f>
        <v/>
      </c>
      <c r="AL17" s="28" t="str" cm="1">
        <f t="array" ref="AL17">IF($B17="","",KW(($H17&amp;", "&amp;$AB$3),"Psychic")=TRUE)</f>
        <v/>
      </c>
      <c r="AM17" s="29" t="str" cm="1">
        <f t="array" ref="AM17">IF($B17="","",_xlfn.LET(_xlpm.src,$H17&amp;", "&amp;$AB$3,_xlpm.a,KWANTI(_xlpm.src,($N$6&amp;", "&amp;$AC$3)),_xlpm.c,KWMIN(_xlpm.src,"Critical Wounds"),MIN(_xlpm.a,IF(ISNUMBER(_xlpm.c),MEDIAN(2,6,_xlpm.c),6))))</f>
        <v/>
      </c>
      <c r="AN17" s="29" t="str">
        <f t="shared" si="2"/>
        <v/>
      </c>
      <c r="AO17" s="29" t="str">
        <f t="shared" si="3"/>
        <v/>
      </c>
      <c r="AP17" s="29" t="str">
        <f t="shared" si="4"/>
        <v/>
      </c>
      <c r="AQ17" s="30" t="str">
        <f>IF(OR($B17="",N($J$6)&lt;=0),"",ROUNDUP($J$6/MIN($U17,$J$6),0)/(($Z$3-1)/6))</f>
        <v/>
      </c>
      <c r="AR17" s="30" t="str" cm="1">
        <f t="array" ref="AR17">IF($B17="","",KWSUM(($H17&amp;", "&amp;$AB$3),"Hit Modifier"))</f>
        <v/>
      </c>
      <c r="AS17" s="30" t="str" cm="1">
        <f t="array" ref="AS17">IF($B17="","",KWSUM(($H17&amp;", "&amp;$AB$3),"Wound Modifier"))</f>
        <v/>
      </c>
      <c r="AT17" s="30" t="str" cm="1">
        <f t="array" ref="AT17">IF($B17="","",KWSUM(($H17&amp;", "&amp;$AB$3),"AP Modifier"))</f>
        <v/>
      </c>
      <c r="AU17" s="30" t="str" cm="1">
        <f t="array" ref="AU17">IF($B17="","",KWSUM(($H17&amp;", "&amp;$AB$3),"Damage Modifier"))</f>
        <v/>
      </c>
      <c r="AV17" s="30" t="str" cm="1">
        <f t="array" ref="AV17">IF($B17="","",_xlfn.LET(_xlpm.src,$H17&amp;", "&amp;$AB$3,_xlpm.full,ISNUMBER(_xlfn.XMATCH("Reroll Hits",TRIM(_xlfn.TEXTSPLIT(_xlpm.src,",")))),_xlpm.r,KW(_xlpm.src,"Reroll Hits"),IF(_xlpm.full,2,IF(N(_xlpm.r)&gt;=1,1,0))))</f>
        <v/>
      </c>
      <c r="AW17" s="30" t="str" cm="1">
        <f t="array" ref="AW17">IF($B17="","",_xlfn.LET(_xlpm.src,$H17&amp;", "&amp;$AB$3,_xlpm.full,OR($AD17,ISNUMBER(_xlfn.XMATCH("Reroll Wounds",TRIM(_xlfn.TEXTSPLIT(_xlpm.src,","))))),_xlpm.r,KW(_xlpm.src,"Reroll Wounds"),IF(_xlpm.full,2,IF(N(_xlpm.r)&gt;=1,1,0))))</f>
        <v/>
      </c>
      <c r="AX17" s="30" t="str">
        <f t="shared" si="5"/>
        <v/>
      </c>
      <c r="AY17" s="30" t="str" cm="1">
        <f t="array" ref="AY17">IF($B17="","",KWSUM($H17&amp;", "&amp;$AB$3,"Attacks Modifier"))</f>
        <v/>
      </c>
      <c r="AZ17" s="30" t="str" cm="1">
        <f t="array" ref="AZ17">IF($B17="","",KWSUM($H17&amp;", "&amp;$AB$3,"Strength Modifier"))</f>
        <v/>
      </c>
      <c r="BA17" s="30" t="str" cm="1">
        <f t="array" ref="BA17">IF($B17="","",KWSUM($H17&amp;", "&amp;$AB$3,"WS Modifier"))</f>
        <v/>
      </c>
      <c r="BB17" s="30" t="str" cm="1">
        <f t="array" ref="BB17">IF($B17="","",_xlfn.LET(_xlpm.c,KWMIN($H17&amp;", "&amp;$AB$3,"Critical Hits"),IF(ISNUMBER(_xlpm.c),MEDIAN(2,6,_xlpm.c),6)))</f>
        <v/>
      </c>
      <c r="BC17" s="30" t="str" cm="1">
        <f t="array" ref="BC17">IF($B17="","",KWSUM($H17&amp;", "&amp;$AB$3,"Save Modifier"))</f>
        <v/>
      </c>
    </row>
    <row r="18" spans="1:55" ht="14.55" customHeight="1" x14ac:dyDescent="0.3">
      <c r="A18" s="64" t="b">
        <v>1</v>
      </c>
      <c r="B18" s="55"/>
      <c r="C18" s="38"/>
      <c r="D18" s="38"/>
      <c r="E18" s="38"/>
      <c r="F18" s="38"/>
      <c r="G18" s="38"/>
      <c r="H18" s="1"/>
      <c r="I18" s="9"/>
      <c r="J18" s="34"/>
      <c r="K18" s="34"/>
      <c r="L18" s="34"/>
      <c r="M18" s="34"/>
      <c r="N18" s="11"/>
      <c r="O18" s="37" t="str">
        <f t="shared" si="0"/>
        <v/>
      </c>
      <c r="P18" s="37" t="str">
        <f t="shared" si="1"/>
        <v/>
      </c>
      <c r="Q18" s="37" t="str">
        <f>IF(OR($B18="",NOT($A18)),"",IF(AND($AA18,NOT($Z18)),$O18*$AX18,0))</f>
        <v/>
      </c>
      <c r="R18" s="37" t="str">
        <f>IF(OR($B18="",NOT($A18)),"",_xlfn.LET(_xlpm.n,$P18-$Q18,_xlpm.pW,(7-$AO18)/6,_xlpm.pC,(7-$AM18)/6,_xlpm.pT,MAX(_xlpm.pW,_xlpm.pC),_xlpm.rr,$AW18,_xlpm.n*IF(_xlpm.rr=2,1-(1-_xlpm.pT)^2,IF(_xlpm.rr=1,_xlpm.pT+_xlpm.pT/6,_xlpm.pT))+$Q18))</f>
        <v/>
      </c>
      <c r="S18" s="37" t="str">
        <f>IF(OR($B18="",NOT($A18)),"",IF($AC18,_xlfn.LET(_xlpm.n,$P18-$Q18,_xlpm.pW,(7-$AO18)/6,_xlpm.pC,(7-$AM18)/6,_xlpm.pT,MAX(_xlpm.pW,_xlpm.pC),_xlpm.rr,$AW18,_xlpm.n*IF(_xlpm.rr=2,_xlpm.pC+(1-_xlpm.pT)*_xlpm.pC,IF(_xlpm.rr=1,_xlpm.pC+_xlpm.pC/6,_xlpm.pC))),0))</f>
        <v/>
      </c>
      <c r="T18" s="37" t="str">
        <f>IF(OR($B18="",NOT($A18)),"",($R18-$S18)*($AP18-1)/6)</f>
        <v/>
      </c>
      <c r="U18" s="37" t="str">
        <f>IF(OR($B18="",NOT($A18)),"",MAX(1,IF(LEFT($G18,1)="D",(VALUE(MID($G18,2,99))+1)/2,$G18)+$AJ18*FALSE+$AU18+$AG$3))</f>
        <v/>
      </c>
      <c r="V18" s="37" t="str">
        <f>IF(OR($B18="",NOT($A18)),"",($T18+$S18)*IF(N($J$6)&gt;0,MIN($U18,$J$6),$U18)*($Z$3-1)/6)</f>
        <v/>
      </c>
      <c r="W18" s="37" t="str">
        <f>IF(OR($B18="",NOT($A18),$AQ18=""),"",MIN($E$3,($T18+$S18)/$AQ18))</f>
        <v/>
      </c>
      <c r="X18" s="56" t="str">
        <f>IF(OR($B18="",NOT($A18)),"",TEXT($V18,"0.00")&amp;" dmg"&amp;IF($W18="","",", "&amp;TEXT($W18,"0.00")&amp;" kills"))</f>
        <v/>
      </c>
      <c r="Z18" s="28" t="str" cm="1">
        <f t="array" ref="Z18">IF($B18="","",KW(($H18&amp;", "&amp;$AB$3),"Torrent")=TRUE)</f>
        <v/>
      </c>
      <c r="AA18" s="28" t="str" cm="1">
        <f t="array" ref="AA18">IF($B18="","",KW(($H18&amp;", "&amp;$AB$3),"Lethal Hits")=TRUE)</f>
        <v/>
      </c>
      <c r="AB18" s="28" t="str" cm="1">
        <f t="array" ref="AB18">IF($B18="","",N(KW(($H18&amp;", "&amp;$AB$3),"Sustained Hits")))</f>
        <v/>
      </c>
      <c r="AC18" s="28" t="str" cm="1">
        <f t="array" ref="AC18">IF($B18="","",KW(($H18&amp;", "&amp;$AB$3),"Devastating Wounds")=TRUE)</f>
        <v/>
      </c>
      <c r="AD18" s="28" t="str" cm="1">
        <f t="array" ref="AD18">IF($B18="","",KW(($H18&amp;", "&amp;$AB$3),"Twin-Linked")=TRUE)</f>
        <v/>
      </c>
      <c r="AE18" s="28" t="str" cm="1">
        <f t="array" ref="AE18">IF($B18="","",KW(($H18&amp;", "&amp;$AB$3),"Lance")=TRUE)</f>
        <v/>
      </c>
      <c r="AF18" s="28" t="str" cm="1">
        <f t="array" ref="AF18">IF($B18="","",KW(($H18&amp;", "&amp;$AB$3),"Heavy")=TRUE)</f>
        <v/>
      </c>
      <c r="AG18" s="28" t="str" cm="1">
        <f t="array" ref="AG18">IF($B18="","",N(KW(($H18&amp;", "&amp;$AB$3),"Rapid Fire")))</f>
        <v/>
      </c>
      <c r="AH18" s="28" t="str" cm="1">
        <f t="array" ref="AH18">IF($B18="","",N(KW(($H18&amp;", "&amp;$AB$3),"Blast")))</f>
        <v/>
      </c>
      <c r="AI18" s="28" t="str" cm="1">
        <f t="array" ref="AI18">IF($B18="","",N(KW(($H18&amp;", "&amp;$AB$3),"Cleave")))</f>
        <v/>
      </c>
      <c r="AJ18" s="28" t="str" cm="1">
        <f t="array" ref="AJ18">IF($B18="","",N(KW(($H18&amp;", "&amp;$AB$3),"Melta")))</f>
        <v/>
      </c>
      <c r="AK18" s="28" t="str" cm="1">
        <f t="array" ref="AK18">IF($B18="","",KW(($H18&amp;", "&amp;$AB$3),"Ignores Cover")=TRUE)</f>
        <v/>
      </c>
      <c r="AL18" s="28" t="str" cm="1">
        <f t="array" ref="AL18">IF($B18="","",KW(($H18&amp;", "&amp;$AB$3),"Psychic")=TRUE)</f>
        <v/>
      </c>
      <c r="AM18" s="29" t="str" cm="1">
        <f t="array" ref="AM18">IF($B18="","",_xlfn.LET(_xlpm.src,$H18&amp;", "&amp;$AB$3,_xlpm.a,KWANTI(_xlpm.src,($N$6&amp;", "&amp;$AC$3)),_xlpm.c,KWMIN(_xlpm.src,"Critical Wounds"),MIN(_xlpm.a,IF(ISNUMBER(_xlpm.c),MEDIAN(2,6,_xlpm.c),6))))</f>
        <v/>
      </c>
      <c r="AN18" s="29" t="str">
        <f t="shared" si="2"/>
        <v/>
      </c>
      <c r="AO18" s="29" t="str">
        <f t="shared" si="3"/>
        <v/>
      </c>
      <c r="AP18" s="29" t="str">
        <f t="shared" si="4"/>
        <v/>
      </c>
      <c r="AQ18" s="30" t="str">
        <f>IF(OR($B18="",N($J$6)&lt;=0),"",ROUNDUP($J$6/MIN($U18,$J$6),0)/(($Z$3-1)/6))</f>
        <v/>
      </c>
      <c r="AR18" s="30" t="str" cm="1">
        <f t="array" ref="AR18">IF($B18="","",KWSUM(($H18&amp;", "&amp;$AB$3),"Hit Modifier"))</f>
        <v/>
      </c>
      <c r="AS18" s="30" t="str" cm="1">
        <f t="array" ref="AS18">IF($B18="","",KWSUM(($H18&amp;", "&amp;$AB$3),"Wound Modifier"))</f>
        <v/>
      </c>
      <c r="AT18" s="30" t="str" cm="1">
        <f t="array" ref="AT18">IF($B18="","",KWSUM(($H18&amp;", "&amp;$AB$3),"AP Modifier"))</f>
        <v/>
      </c>
      <c r="AU18" s="30" t="str" cm="1">
        <f t="array" ref="AU18">IF($B18="","",KWSUM(($H18&amp;", "&amp;$AB$3),"Damage Modifier"))</f>
        <v/>
      </c>
      <c r="AV18" s="30" t="str" cm="1">
        <f t="array" ref="AV18">IF($B18="","",_xlfn.LET(_xlpm.src,$H18&amp;", "&amp;$AB$3,_xlpm.full,ISNUMBER(_xlfn.XMATCH("Reroll Hits",TRIM(_xlfn.TEXTSPLIT(_xlpm.src,",")))),_xlpm.r,KW(_xlpm.src,"Reroll Hits"),IF(_xlpm.full,2,IF(N(_xlpm.r)&gt;=1,1,0))))</f>
        <v/>
      </c>
      <c r="AW18" s="30" t="str" cm="1">
        <f t="array" ref="AW18">IF($B18="","",_xlfn.LET(_xlpm.src,$H18&amp;", "&amp;$AB$3,_xlpm.full,OR($AD18,ISNUMBER(_xlfn.XMATCH("Reroll Wounds",TRIM(_xlfn.TEXTSPLIT(_xlpm.src,","))))),_xlpm.r,KW(_xlpm.src,"Reroll Wounds"),IF(_xlpm.full,2,IF(N(_xlpm.r)&gt;=1,1,0))))</f>
        <v/>
      </c>
      <c r="AX18" s="30" t="str">
        <f t="shared" si="5"/>
        <v/>
      </c>
      <c r="AY18" s="30" t="str" cm="1">
        <f t="array" ref="AY18">IF($B18="","",KWSUM($H18&amp;", "&amp;$AB$3,"Attacks Modifier"))</f>
        <v/>
      </c>
      <c r="AZ18" s="30" t="str" cm="1">
        <f t="array" ref="AZ18">IF($B18="","",KWSUM($H18&amp;", "&amp;$AB$3,"Strength Modifier"))</f>
        <v/>
      </c>
      <c r="BA18" s="30" t="str" cm="1">
        <f t="array" ref="BA18">IF($B18="","",KWSUM($H18&amp;", "&amp;$AB$3,"WS Modifier"))</f>
        <v/>
      </c>
      <c r="BB18" s="30" t="str" cm="1">
        <f t="array" ref="BB18">IF($B18="","",_xlfn.LET(_xlpm.c,KWMIN($H18&amp;", "&amp;$AB$3,"Critical Hits"),IF(ISNUMBER(_xlpm.c),MEDIAN(2,6,_xlpm.c),6)))</f>
        <v/>
      </c>
      <c r="BC18" s="30" t="str" cm="1">
        <f t="array" ref="BC18">IF($B18="","",KWSUM($H18&amp;", "&amp;$AB$3,"Save Modifier"))</f>
        <v/>
      </c>
    </row>
    <row r="19" spans="1:55" ht="14.55" customHeight="1" x14ac:dyDescent="0.3">
      <c r="A19" s="64" t="b">
        <v>1</v>
      </c>
      <c r="B19" s="55"/>
      <c r="C19" s="38"/>
      <c r="D19" s="38"/>
      <c r="E19" s="38"/>
      <c r="F19" s="38"/>
      <c r="G19" s="38"/>
      <c r="H19" s="1"/>
      <c r="I19" s="9"/>
      <c r="J19" s="34"/>
      <c r="K19" s="34"/>
      <c r="L19" s="34"/>
      <c r="M19" s="34"/>
      <c r="N19" s="11"/>
      <c r="O19" s="37" t="str">
        <f t="shared" si="0"/>
        <v/>
      </c>
      <c r="P19" s="37" t="str">
        <f t="shared" si="1"/>
        <v/>
      </c>
      <c r="Q19" s="37" t="str">
        <f>IF(OR($B19="",NOT($A19)),"",IF(AND($AA19,NOT($Z19)),$O19*$AX19,0))</f>
        <v/>
      </c>
      <c r="R19" s="37" t="str">
        <f>IF(OR($B19="",NOT($A19)),"",_xlfn.LET(_xlpm.n,$P19-$Q19,_xlpm.pW,(7-$AO19)/6,_xlpm.pC,(7-$AM19)/6,_xlpm.pT,MAX(_xlpm.pW,_xlpm.pC),_xlpm.rr,$AW19,_xlpm.n*IF(_xlpm.rr=2,1-(1-_xlpm.pT)^2,IF(_xlpm.rr=1,_xlpm.pT+_xlpm.pT/6,_xlpm.pT))+$Q19))</f>
        <v/>
      </c>
      <c r="S19" s="37" t="str">
        <f>IF(OR($B19="",NOT($A19)),"",IF($AC19,_xlfn.LET(_xlpm.n,$P19-$Q19,_xlpm.pW,(7-$AO19)/6,_xlpm.pC,(7-$AM19)/6,_xlpm.pT,MAX(_xlpm.pW,_xlpm.pC),_xlpm.rr,$AW19,_xlpm.n*IF(_xlpm.rr=2,_xlpm.pC+(1-_xlpm.pT)*_xlpm.pC,IF(_xlpm.rr=1,_xlpm.pC+_xlpm.pC/6,_xlpm.pC))),0))</f>
        <v/>
      </c>
      <c r="T19" s="37" t="str">
        <f>IF(OR($B19="",NOT($A19)),"",($R19-$S19)*($AP19-1)/6)</f>
        <v/>
      </c>
      <c r="U19" s="37" t="str">
        <f>IF(OR($B19="",NOT($A19)),"",MAX(1,IF(LEFT($G19,1)="D",(VALUE(MID($G19,2,99))+1)/2,$G19)+$AJ19*FALSE+$AU19+$AG$3))</f>
        <v/>
      </c>
      <c r="V19" s="37" t="str">
        <f>IF(OR($B19="",NOT($A19)),"",($T19+$S19)*IF(N($J$6)&gt;0,MIN($U19,$J$6),$U19)*($Z$3-1)/6)</f>
        <v/>
      </c>
      <c r="W19" s="37" t="str">
        <f>IF(OR($B19="",NOT($A19),$AQ19=""),"",MIN($E$3,($T19+$S19)/$AQ19))</f>
        <v/>
      </c>
      <c r="X19" s="56" t="str">
        <f>IF(OR($B19="",NOT($A19)),"",TEXT($V19,"0.00")&amp;" dmg"&amp;IF($W19="","",", "&amp;TEXT($W19,"0.00")&amp;" kills"))</f>
        <v/>
      </c>
      <c r="Z19" s="28" t="str" cm="1">
        <f t="array" ref="Z19">IF($B19="","",KW(($H19&amp;", "&amp;$AB$3),"Torrent")=TRUE)</f>
        <v/>
      </c>
      <c r="AA19" s="28" t="str" cm="1">
        <f t="array" ref="AA19">IF($B19="","",KW(($H19&amp;", "&amp;$AB$3),"Lethal Hits")=TRUE)</f>
        <v/>
      </c>
      <c r="AB19" s="28" t="str" cm="1">
        <f t="array" ref="AB19">IF($B19="","",N(KW(($H19&amp;", "&amp;$AB$3),"Sustained Hits")))</f>
        <v/>
      </c>
      <c r="AC19" s="28" t="str" cm="1">
        <f t="array" ref="AC19">IF($B19="","",KW(($H19&amp;", "&amp;$AB$3),"Devastating Wounds")=TRUE)</f>
        <v/>
      </c>
      <c r="AD19" s="28" t="str" cm="1">
        <f t="array" ref="AD19">IF($B19="","",KW(($H19&amp;", "&amp;$AB$3),"Twin-Linked")=TRUE)</f>
        <v/>
      </c>
      <c r="AE19" s="28" t="str" cm="1">
        <f t="array" ref="AE19">IF($B19="","",KW(($H19&amp;", "&amp;$AB$3),"Lance")=TRUE)</f>
        <v/>
      </c>
      <c r="AF19" s="28" t="str" cm="1">
        <f t="array" ref="AF19">IF($B19="","",KW(($H19&amp;", "&amp;$AB$3),"Heavy")=TRUE)</f>
        <v/>
      </c>
      <c r="AG19" s="28" t="str" cm="1">
        <f t="array" ref="AG19">IF($B19="","",N(KW(($H19&amp;", "&amp;$AB$3),"Rapid Fire")))</f>
        <v/>
      </c>
      <c r="AH19" s="28" t="str" cm="1">
        <f t="array" ref="AH19">IF($B19="","",N(KW(($H19&amp;", "&amp;$AB$3),"Blast")))</f>
        <v/>
      </c>
      <c r="AI19" s="28" t="str" cm="1">
        <f t="array" ref="AI19">IF($B19="","",N(KW(($H19&amp;", "&amp;$AB$3),"Cleave")))</f>
        <v/>
      </c>
      <c r="AJ19" s="28" t="str" cm="1">
        <f t="array" ref="AJ19">IF($B19="","",N(KW(($H19&amp;", "&amp;$AB$3),"Melta")))</f>
        <v/>
      </c>
      <c r="AK19" s="28" t="str" cm="1">
        <f t="array" ref="AK19">IF($B19="","",KW(($H19&amp;", "&amp;$AB$3),"Ignores Cover")=TRUE)</f>
        <v/>
      </c>
      <c r="AL19" s="28" t="str" cm="1">
        <f t="array" ref="AL19">IF($B19="","",KW(($H19&amp;", "&amp;$AB$3),"Psychic")=TRUE)</f>
        <v/>
      </c>
      <c r="AM19" s="29" t="str" cm="1">
        <f t="array" ref="AM19">IF($B19="","",_xlfn.LET(_xlpm.src,$H19&amp;", "&amp;$AB$3,_xlpm.a,KWANTI(_xlpm.src,($N$6&amp;", "&amp;$AC$3)),_xlpm.c,KWMIN(_xlpm.src,"Critical Wounds"),MIN(_xlpm.a,IF(ISNUMBER(_xlpm.c),MEDIAN(2,6,_xlpm.c),6))))</f>
        <v/>
      </c>
      <c r="AN19" s="29" t="str">
        <f t="shared" si="2"/>
        <v/>
      </c>
      <c r="AO19" s="29" t="str">
        <f t="shared" si="3"/>
        <v/>
      </c>
      <c r="AP19" s="29" t="str">
        <f t="shared" si="4"/>
        <v/>
      </c>
      <c r="AQ19" s="30" t="str">
        <f>IF(OR($B19="",N($J$6)&lt;=0),"",ROUNDUP($J$6/MIN($U19,$J$6),0)/(($Z$3-1)/6))</f>
        <v/>
      </c>
      <c r="AR19" s="30" t="str" cm="1">
        <f t="array" ref="AR19">IF($B19="","",KWSUM(($H19&amp;", "&amp;$AB$3),"Hit Modifier"))</f>
        <v/>
      </c>
      <c r="AS19" s="30" t="str" cm="1">
        <f t="array" ref="AS19">IF($B19="","",KWSUM(($H19&amp;", "&amp;$AB$3),"Wound Modifier"))</f>
        <v/>
      </c>
      <c r="AT19" s="30" t="str" cm="1">
        <f t="array" ref="AT19">IF($B19="","",KWSUM(($H19&amp;", "&amp;$AB$3),"AP Modifier"))</f>
        <v/>
      </c>
      <c r="AU19" s="30" t="str" cm="1">
        <f t="array" ref="AU19">IF($B19="","",KWSUM(($H19&amp;", "&amp;$AB$3),"Damage Modifier"))</f>
        <v/>
      </c>
      <c r="AV19" s="30" t="str" cm="1">
        <f t="array" ref="AV19">IF($B19="","",_xlfn.LET(_xlpm.src,$H19&amp;", "&amp;$AB$3,_xlpm.full,ISNUMBER(_xlfn.XMATCH("Reroll Hits",TRIM(_xlfn.TEXTSPLIT(_xlpm.src,",")))),_xlpm.r,KW(_xlpm.src,"Reroll Hits"),IF(_xlpm.full,2,IF(N(_xlpm.r)&gt;=1,1,0))))</f>
        <v/>
      </c>
      <c r="AW19" s="30" t="str" cm="1">
        <f t="array" ref="AW19">IF($B19="","",_xlfn.LET(_xlpm.src,$H19&amp;", "&amp;$AB$3,_xlpm.full,OR($AD19,ISNUMBER(_xlfn.XMATCH("Reroll Wounds",TRIM(_xlfn.TEXTSPLIT(_xlpm.src,","))))),_xlpm.r,KW(_xlpm.src,"Reroll Wounds"),IF(_xlpm.full,2,IF(N(_xlpm.r)&gt;=1,1,0))))</f>
        <v/>
      </c>
      <c r="AX19" s="30" t="str">
        <f t="shared" si="5"/>
        <v/>
      </c>
      <c r="AY19" s="30" t="str" cm="1">
        <f t="array" ref="AY19">IF($B19="","",KWSUM($H19&amp;", "&amp;$AB$3,"Attacks Modifier"))</f>
        <v/>
      </c>
      <c r="AZ19" s="30" t="str" cm="1">
        <f t="array" ref="AZ19">IF($B19="","",KWSUM($H19&amp;", "&amp;$AB$3,"Strength Modifier"))</f>
        <v/>
      </c>
      <c r="BA19" s="30" t="str" cm="1">
        <f t="array" ref="BA19">IF($B19="","",KWSUM($H19&amp;", "&amp;$AB$3,"WS Modifier"))</f>
        <v/>
      </c>
      <c r="BB19" s="30" t="str" cm="1">
        <f t="array" ref="BB19">IF($B19="","",_xlfn.LET(_xlpm.c,KWMIN($H19&amp;", "&amp;$AB$3,"Critical Hits"),IF(ISNUMBER(_xlpm.c),MEDIAN(2,6,_xlpm.c),6)))</f>
        <v/>
      </c>
      <c r="BC19" s="30" t="str" cm="1">
        <f t="array" ref="BC19">IF($B19="","",KWSUM($H19&amp;", "&amp;$AB$3,"Save Modifier"))</f>
        <v/>
      </c>
    </row>
    <row r="20" spans="1:55" ht="14.55" customHeight="1" x14ac:dyDescent="0.3">
      <c r="A20" s="64" t="b">
        <v>1</v>
      </c>
      <c r="B20" s="55"/>
      <c r="C20" s="38"/>
      <c r="D20" s="38"/>
      <c r="E20" s="38"/>
      <c r="F20" s="38"/>
      <c r="G20" s="38"/>
      <c r="H20" s="1"/>
      <c r="I20" s="9"/>
      <c r="J20" s="34"/>
      <c r="K20" s="34"/>
      <c r="L20" s="34"/>
      <c r="M20" s="34"/>
      <c r="N20" s="11"/>
      <c r="O20" s="37" t="str">
        <f t="shared" si="0"/>
        <v/>
      </c>
      <c r="P20" s="37" t="str">
        <f t="shared" si="1"/>
        <v/>
      </c>
      <c r="Q20" s="37" t="str">
        <f>IF(OR($B20="",NOT($A20)),"",IF(AND($AA20,NOT($Z20)),$O20*$AX20,0))</f>
        <v/>
      </c>
      <c r="R20" s="37" t="str">
        <f>IF(OR($B20="",NOT($A20)),"",_xlfn.LET(_xlpm.n,$P20-$Q20,_xlpm.pW,(7-$AO20)/6,_xlpm.pC,(7-$AM20)/6,_xlpm.pT,MAX(_xlpm.pW,_xlpm.pC),_xlpm.rr,$AW20,_xlpm.n*IF(_xlpm.rr=2,1-(1-_xlpm.pT)^2,IF(_xlpm.rr=1,_xlpm.pT+_xlpm.pT/6,_xlpm.pT))+$Q20))</f>
        <v/>
      </c>
      <c r="S20" s="37" t="str">
        <f>IF(OR($B20="",NOT($A20)),"",IF($AC20,_xlfn.LET(_xlpm.n,$P20-$Q20,_xlpm.pW,(7-$AO20)/6,_xlpm.pC,(7-$AM20)/6,_xlpm.pT,MAX(_xlpm.pW,_xlpm.pC),_xlpm.rr,$AW20,_xlpm.n*IF(_xlpm.rr=2,_xlpm.pC+(1-_xlpm.pT)*_xlpm.pC,IF(_xlpm.rr=1,_xlpm.pC+_xlpm.pC/6,_xlpm.pC))),0))</f>
        <v/>
      </c>
      <c r="T20" s="37" t="str">
        <f>IF(OR($B20="",NOT($A20)),"",($R20-$S20)*($AP20-1)/6)</f>
        <v/>
      </c>
      <c r="U20" s="37" t="str">
        <f>IF(OR($B20="",NOT($A20)),"",MAX(1,IF(LEFT($G20,1)="D",(VALUE(MID($G20,2,99))+1)/2,$G20)+$AJ20*FALSE+$AU20+$AG$3))</f>
        <v/>
      </c>
      <c r="V20" s="37" t="str">
        <f>IF(OR($B20="",NOT($A20)),"",($T20+$S20)*IF(N($J$6)&gt;0,MIN($U20,$J$6),$U20)*($Z$3-1)/6)</f>
        <v/>
      </c>
      <c r="W20" s="37" t="str">
        <f>IF(OR($B20="",NOT($A20),$AQ20=""),"",MIN($E$3,($T20+$S20)/$AQ20))</f>
        <v/>
      </c>
      <c r="X20" s="56" t="str">
        <f>IF(OR($B20="",NOT($A20)),"",TEXT($V20,"0.00")&amp;" dmg"&amp;IF($W20="","",", "&amp;TEXT($W20,"0.00")&amp;" kills"))</f>
        <v/>
      </c>
      <c r="Z20" s="28" t="str" cm="1">
        <f t="array" ref="Z20">IF($B20="","",KW(($H20&amp;", "&amp;$AB$3),"Torrent")=TRUE)</f>
        <v/>
      </c>
      <c r="AA20" s="28" t="str" cm="1">
        <f t="array" ref="AA20">IF($B20="","",KW(($H20&amp;", "&amp;$AB$3),"Lethal Hits")=TRUE)</f>
        <v/>
      </c>
      <c r="AB20" s="28" t="str" cm="1">
        <f t="array" ref="AB20">IF($B20="","",N(KW(($H20&amp;", "&amp;$AB$3),"Sustained Hits")))</f>
        <v/>
      </c>
      <c r="AC20" s="28" t="str" cm="1">
        <f t="array" ref="AC20">IF($B20="","",KW(($H20&amp;", "&amp;$AB$3),"Devastating Wounds")=TRUE)</f>
        <v/>
      </c>
      <c r="AD20" s="28" t="str" cm="1">
        <f t="array" ref="AD20">IF($B20="","",KW(($H20&amp;", "&amp;$AB$3),"Twin-Linked")=TRUE)</f>
        <v/>
      </c>
      <c r="AE20" s="28" t="str" cm="1">
        <f t="array" ref="AE20">IF($B20="","",KW(($H20&amp;", "&amp;$AB$3),"Lance")=TRUE)</f>
        <v/>
      </c>
      <c r="AF20" s="28" t="str" cm="1">
        <f t="array" ref="AF20">IF($B20="","",KW(($H20&amp;", "&amp;$AB$3),"Heavy")=TRUE)</f>
        <v/>
      </c>
      <c r="AG20" s="28" t="str" cm="1">
        <f t="array" ref="AG20">IF($B20="","",N(KW(($H20&amp;", "&amp;$AB$3),"Rapid Fire")))</f>
        <v/>
      </c>
      <c r="AH20" s="28" t="str" cm="1">
        <f t="array" ref="AH20">IF($B20="","",N(KW(($H20&amp;", "&amp;$AB$3),"Blast")))</f>
        <v/>
      </c>
      <c r="AI20" s="28" t="str" cm="1">
        <f t="array" ref="AI20">IF($B20="","",N(KW(($H20&amp;", "&amp;$AB$3),"Cleave")))</f>
        <v/>
      </c>
      <c r="AJ20" s="28" t="str" cm="1">
        <f t="array" ref="AJ20">IF($B20="","",N(KW(($H20&amp;", "&amp;$AB$3),"Melta")))</f>
        <v/>
      </c>
      <c r="AK20" s="28" t="str" cm="1">
        <f t="array" ref="AK20">IF($B20="","",KW(($H20&amp;", "&amp;$AB$3),"Ignores Cover")=TRUE)</f>
        <v/>
      </c>
      <c r="AL20" s="28" t="str" cm="1">
        <f t="array" ref="AL20">IF($B20="","",KW(($H20&amp;", "&amp;$AB$3),"Psychic")=TRUE)</f>
        <v/>
      </c>
      <c r="AM20" s="29" t="str" cm="1">
        <f t="array" ref="AM20">IF($B20="","",_xlfn.LET(_xlpm.src,$H20&amp;", "&amp;$AB$3,_xlpm.a,KWANTI(_xlpm.src,($N$6&amp;", "&amp;$AC$3)),_xlpm.c,KWMIN(_xlpm.src,"Critical Wounds"),MIN(_xlpm.a,IF(ISNUMBER(_xlpm.c),MEDIAN(2,6,_xlpm.c),6))))</f>
        <v/>
      </c>
      <c r="AN20" s="29" t="str">
        <f t="shared" si="2"/>
        <v/>
      </c>
      <c r="AO20" s="29" t="str">
        <f t="shared" si="3"/>
        <v/>
      </c>
      <c r="AP20" s="29" t="str">
        <f t="shared" si="4"/>
        <v/>
      </c>
      <c r="AQ20" s="30" t="str">
        <f>IF(OR($B20="",N($J$6)&lt;=0),"",ROUNDUP($J$6/MIN($U20,$J$6),0)/(($Z$3-1)/6))</f>
        <v/>
      </c>
      <c r="AR20" s="30" t="str" cm="1">
        <f t="array" ref="AR20">IF($B20="","",KWSUM(($H20&amp;", "&amp;$AB$3),"Hit Modifier"))</f>
        <v/>
      </c>
      <c r="AS20" s="30" t="str" cm="1">
        <f t="array" ref="AS20">IF($B20="","",KWSUM(($H20&amp;", "&amp;$AB$3),"Wound Modifier"))</f>
        <v/>
      </c>
      <c r="AT20" s="30" t="str" cm="1">
        <f t="array" ref="AT20">IF($B20="","",KWSUM(($H20&amp;", "&amp;$AB$3),"AP Modifier"))</f>
        <v/>
      </c>
      <c r="AU20" s="30" t="str" cm="1">
        <f t="array" ref="AU20">IF($B20="","",KWSUM(($H20&amp;", "&amp;$AB$3),"Damage Modifier"))</f>
        <v/>
      </c>
      <c r="AV20" s="30" t="str" cm="1">
        <f t="array" ref="AV20">IF($B20="","",_xlfn.LET(_xlpm.src,$H20&amp;", "&amp;$AB$3,_xlpm.full,ISNUMBER(_xlfn.XMATCH("Reroll Hits",TRIM(_xlfn.TEXTSPLIT(_xlpm.src,",")))),_xlpm.r,KW(_xlpm.src,"Reroll Hits"),IF(_xlpm.full,2,IF(N(_xlpm.r)&gt;=1,1,0))))</f>
        <v/>
      </c>
      <c r="AW20" s="30" t="str" cm="1">
        <f t="array" ref="AW20">IF($B20="","",_xlfn.LET(_xlpm.src,$H20&amp;", "&amp;$AB$3,_xlpm.full,OR($AD20,ISNUMBER(_xlfn.XMATCH("Reroll Wounds",TRIM(_xlfn.TEXTSPLIT(_xlpm.src,","))))),_xlpm.r,KW(_xlpm.src,"Reroll Wounds"),IF(_xlpm.full,2,IF(N(_xlpm.r)&gt;=1,1,0))))</f>
        <v/>
      </c>
      <c r="AX20" s="30" t="str">
        <f t="shared" si="5"/>
        <v/>
      </c>
      <c r="AY20" s="30" t="str" cm="1">
        <f t="array" ref="AY20">IF($B20="","",KWSUM($H20&amp;", "&amp;$AB$3,"Attacks Modifier"))</f>
        <v/>
      </c>
      <c r="AZ20" s="30" t="str" cm="1">
        <f t="array" ref="AZ20">IF($B20="","",KWSUM($H20&amp;", "&amp;$AB$3,"Strength Modifier"))</f>
        <v/>
      </c>
      <c r="BA20" s="30" t="str" cm="1">
        <f t="array" ref="BA20">IF($B20="","",KWSUM($H20&amp;", "&amp;$AB$3,"WS Modifier"))</f>
        <v/>
      </c>
      <c r="BB20" s="30" t="str" cm="1">
        <f t="array" ref="BB20">IF($B20="","",_xlfn.LET(_xlpm.c,KWMIN($H20&amp;", "&amp;$AB$3,"Critical Hits"),IF(ISNUMBER(_xlpm.c),MEDIAN(2,6,_xlpm.c),6)))</f>
        <v/>
      </c>
      <c r="BC20" s="30" t="str" cm="1">
        <f t="array" ref="BC20">IF($B20="","",KWSUM($H20&amp;", "&amp;$AB$3,"Save Modifier"))</f>
        <v/>
      </c>
    </row>
    <row r="21" spans="1:55" ht="14.55" customHeight="1" x14ac:dyDescent="0.3">
      <c r="A21" s="64" t="b">
        <v>1</v>
      </c>
      <c r="B21" s="55"/>
      <c r="C21" s="38"/>
      <c r="D21" s="38"/>
      <c r="E21" s="38"/>
      <c r="F21" s="38"/>
      <c r="G21" s="38"/>
      <c r="H21" s="1"/>
      <c r="I21" s="9"/>
      <c r="J21" s="34"/>
      <c r="K21" s="34"/>
      <c r="L21" s="34"/>
      <c r="M21" s="34"/>
      <c r="N21" s="11"/>
      <c r="O21" s="37" t="str">
        <f t="shared" si="0"/>
        <v/>
      </c>
      <c r="P21" s="37" t="str">
        <f t="shared" si="1"/>
        <v/>
      </c>
      <c r="Q21" s="37" t="str">
        <f>IF(OR($B21="",NOT($A21)),"",IF(AND($AA21,NOT($Z21)),$O21*$AX21,0))</f>
        <v/>
      </c>
      <c r="R21" s="37" t="str">
        <f>IF(OR($B21="",NOT($A21)),"",_xlfn.LET(_xlpm.n,$P21-$Q21,_xlpm.pW,(7-$AO21)/6,_xlpm.pC,(7-$AM21)/6,_xlpm.pT,MAX(_xlpm.pW,_xlpm.pC),_xlpm.rr,$AW21,_xlpm.n*IF(_xlpm.rr=2,1-(1-_xlpm.pT)^2,IF(_xlpm.rr=1,_xlpm.pT+_xlpm.pT/6,_xlpm.pT))+$Q21))</f>
        <v/>
      </c>
      <c r="S21" s="37" t="str">
        <f>IF(OR($B21="",NOT($A21)),"",IF($AC21,_xlfn.LET(_xlpm.n,$P21-$Q21,_xlpm.pW,(7-$AO21)/6,_xlpm.pC,(7-$AM21)/6,_xlpm.pT,MAX(_xlpm.pW,_xlpm.pC),_xlpm.rr,$AW21,_xlpm.n*IF(_xlpm.rr=2,_xlpm.pC+(1-_xlpm.pT)*_xlpm.pC,IF(_xlpm.rr=1,_xlpm.pC+_xlpm.pC/6,_xlpm.pC))),0))</f>
        <v/>
      </c>
      <c r="T21" s="37" t="str">
        <f>IF(OR($B21="",NOT($A21)),"",($R21-$S21)*($AP21-1)/6)</f>
        <v/>
      </c>
      <c r="U21" s="37" t="str">
        <f>IF(OR($B21="",NOT($A21)),"",MAX(1,IF(LEFT($G21,1)="D",(VALUE(MID($G21,2,99))+1)/2,$G21)+$AJ21*FALSE+$AU21+$AG$3))</f>
        <v/>
      </c>
      <c r="V21" s="37" t="str">
        <f>IF(OR($B21="",NOT($A21)),"",($T21+$S21)*IF(N($J$6)&gt;0,MIN($U21,$J$6),$U21)*($Z$3-1)/6)</f>
        <v/>
      </c>
      <c r="W21" s="37" t="str">
        <f>IF(OR($B21="",NOT($A21),$AQ21=""),"",MIN($E$3,($T21+$S21)/$AQ21))</f>
        <v/>
      </c>
      <c r="X21" s="56" t="str">
        <f>IF(OR($B21="",NOT($A21)),"",TEXT($V21,"0.00")&amp;" dmg"&amp;IF($W21="","",", "&amp;TEXT($W21,"0.00")&amp;" kills"))</f>
        <v/>
      </c>
      <c r="Z21" s="28" t="str" cm="1">
        <f t="array" ref="Z21">IF($B21="","",KW(($H21&amp;", "&amp;$AB$3),"Torrent")=TRUE)</f>
        <v/>
      </c>
      <c r="AA21" s="28" t="str" cm="1">
        <f t="array" ref="AA21">IF($B21="","",KW(($H21&amp;", "&amp;$AB$3),"Lethal Hits")=TRUE)</f>
        <v/>
      </c>
      <c r="AB21" s="28" t="str" cm="1">
        <f t="array" ref="AB21">IF($B21="","",N(KW(($H21&amp;", "&amp;$AB$3),"Sustained Hits")))</f>
        <v/>
      </c>
      <c r="AC21" s="28" t="str" cm="1">
        <f t="array" ref="AC21">IF($B21="","",KW(($H21&amp;", "&amp;$AB$3),"Devastating Wounds")=TRUE)</f>
        <v/>
      </c>
      <c r="AD21" s="28" t="str" cm="1">
        <f t="array" ref="AD21">IF($B21="","",KW(($H21&amp;", "&amp;$AB$3),"Twin-Linked")=TRUE)</f>
        <v/>
      </c>
      <c r="AE21" s="28" t="str" cm="1">
        <f t="array" ref="AE21">IF($B21="","",KW(($H21&amp;", "&amp;$AB$3),"Lance")=TRUE)</f>
        <v/>
      </c>
      <c r="AF21" s="28" t="str" cm="1">
        <f t="array" ref="AF21">IF($B21="","",KW(($H21&amp;", "&amp;$AB$3),"Heavy")=TRUE)</f>
        <v/>
      </c>
      <c r="AG21" s="28" t="str" cm="1">
        <f t="array" ref="AG21">IF($B21="","",N(KW(($H21&amp;", "&amp;$AB$3),"Rapid Fire")))</f>
        <v/>
      </c>
      <c r="AH21" s="28" t="str" cm="1">
        <f t="array" ref="AH21">IF($B21="","",N(KW(($H21&amp;", "&amp;$AB$3),"Blast")))</f>
        <v/>
      </c>
      <c r="AI21" s="28" t="str" cm="1">
        <f t="array" ref="AI21">IF($B21="","",N(KW(($H21&amp;", "&amp;$AB$3),"Cleave")))</f>
        <v/>
      </c>
      <c r="AJ21" s="28" t="str" cm="1">
        <f t="array" ref="AJ21">IF($B21="","",N(KW(($H21&amp;", "&amp;$AB$3),"Melta")))</f>
        <v/>
      </c>
      <c r="AK21" s="28" t="str" cm="1">
        <f t="array" ref="AK21">IF($B21="","",KW(($H21&amp;", "&amp;$AB$3),"Ignores Cover")=TRUE)</f>
        <v/>
      </c>
      <c r="AL21" s="28" t="str" cm="1">
        <f t="array" ref="AL21">IF($B21="","",KW(($H21&amp;", "&amp;$AB$3),"Psychic")=TRUE)</f>
        <v/>
      </c>
      <c r="AM21" s="29" t="str" cm="1">
        <f t="array" ref="AM21">IF($B21="","",_xlfn.LET(_xlpm.src,$H21&amp;", "&amp;$AB$3,_xlpm.a,KWANTI(_xlpm.src,($N$6&amp;", "&amp;$AC$3)),_xlpm.c,KWMIN(_xlpm.src,"Critical Wounds"),MIN(_xlpm.a,IF(ISNUMBER(_xlpm.c),MEDIAN(2,6,_xlpm.c),6))))</f>
        <v/>
      </c>
      <c r="AN21" s="29" t="str">
        <f t="shared" si="2"/>
        <v/>
      </c>
      <c r="AO21" s="29" t="str">
        <f t="shared" si="3"/>
        <v/>
      </c>
      <c r="AP21" s="29" t="str">
        <f t="shared" si="4"/>
        <v/>
      </c>
      <c r="AQ21" s="30" t="str">
        <f>IF(OR($B21="",N($J$6)&lt;=0),"",ROUNDUP($J$6/MIN($U21,$J$6),0)/(($Z$3-1)/6))</f>
        <v/>
      </c>
      <c r="AR21" s="30" t="str" cm="1">
        <f t="array" ref="AR21">IF($B21="","",KWSUM(($H21&amp;", "&amp;$AB$3),"Hit Modifier"))</f>
        <v/>
      </c>
      <c r="AS21" s="30" t="str" cm="1">
        <f t="array" ref="AS21">IF($B21="","",KWSUM(($H21&amp;", "&amp;$AB$3),"Wound Modifier"))</f>
        <v/>
      </c>
      <c r="AT21" s="30" t="str" cm="1">
        <f t="array" ref="AT21">IF($B21="","",KWSUM(($H21&amp;", "&amp;$AB$3),"AP Modifier"))</f>
        <v/>
      </c>
      <c r="AU21" s="30" t="str" cm="1">
        <f t="array" ref="AU21">IF($B21="","",KWSUM(($H21&amp;", "&amp;$AB$3),"Damage Modifier"))</f>
        <v/>
      </c>
      <c r="AV21" s="30" t="str" cm="1">
        <f t="array" ref="AV21">IF($B21="","",_xlfn.LET(_xlpm.src,$H21&amp;", "&amp;$AB$3,_xlpm.full,ISNUMBER(_xlfn.XMATCH("Reroll Hits",TRIM(_xlfn.TEXTSPLIT(_xlpm.src,",")))),_xlpm.r,KW(_xlpm.src,"Reroll Hits"),IF(_xlpm.full,2,IF(N(_xlpm.r)&gt;=1,1,0))))</f>
        <v/>
      </c>
      <c r="AW21" s="30" t="str" cm="1">
        <f t="array" ref="AW21">IF($B21="","",_xlfn.LET(_xlpm.src,$H21&amp;", "&amp;$AB$3,_xlpm.full,OR($AD21,ISNUMBER(_xlfn.XMATCH("Reroll Wounds",TRIM(_xlfn.TEXTSPLIT(_xlpm.src,","))))),_xlpm.r,KW(_xlpm.src,"Reroll Wounds"),IF(_xlpm.full,2,IF(N(_xlpm.r)&gt;=1,1,0))))</f>
        <v/>
      </c>
      <c r="AX21" s="30" t="str">
        <f t="shared" si="5"/>
        <v/>
      </c>
      <c r="AY21" s="30" t="str" cm="1">
        <f t="array" ref="AY21">IF($B21="","",KWSUM($H21&amp;", "&amp;$AB$3,"Attacks Modifier"))</f>
        <v/>
      </c>
      <c r="AZ21" s="30" t="str" cm="1">
        <f t="array" ref="AZ21">IF($B21="","",KWSUM($H21&amp;", "&amp;$AB$3,"Strength Modifier"))</f>
        <v/>
      </c>
      <c r="BA21" s="30" t="str" cm="1">
        <f t="array" ref="BA21">IF($B21="","",KWSUM($H21&amp;", "&amp;$AB$3,"WS Modifier"))</f>
        <v/>
      </c>
      <c r="BB21" s="30" t="str" cm="1">
        <f t="array" ref="BB21">IF($B21="","",_xlfn.LET(_xlpm.c,KWMIN($H21&amp;", "&amp;$AB$3,"Critical Hits"),IF(ISNUMBER(_xlpm.c),MEDIAN(2,6,_xlpm.c),6)))</f>
        <v/>
      </c>
      <c r="BC21" s="30" t="str" cm="1">
        <f t="array" ref="BC21">IF($B21="","",KWSUM($H21&amp;", "&amp;$AB$3,"Save Modifier"))</f>
        <v/>
      </c>
    </row>
    <row r="22" spans="1:55" ht="14.55" customHeight="1" x14ac:dyDescent="0.3">
      <c r="A22" s="64" t="b">
        <v>1</v>
      </c>
      <c r="B22" s="55"/>
      <c r="C22" s="38"/>
      <c r="D22" s="38"/>
      <c r="E22" s="38"/>
      <c r="F22" s="38"/>
      <c r="G22" s="38"/>
      <c r="H22" s="1"/>
      <c r="I22" s="9"/>
      <c r="J22" s="34"/>
      <c r="K22" s="34"/>
      <c r="L22" s="34"/>
      <c r="M22" s="34"/>
      <c r="N22" s="11"/>
      <c r="O22" s="37" t="str">
        <f t="shared" si="0"/>
        <v/>
      </c>
      <c r="P22" s="37" t="str">
        <f t="shared" si="1"/>
        <v/>
      </c>
      <c r="Q22" s="37" t="str">
        <f>IF(OR($B22="",NOT($A22)),"",IF(AND($AA22,NOT($Z22)),$O22*$AX22,0))</f>
        <v/>
      </c>
      <c r="R22" s="37" t="str">
        <f>IF(OR($B22="",NOT($A22)),"",_xlfn.LET(_xlpm.n,$P22-$Q22,_xlpm.pW,(7-$AO22)/6,_xlpm.pC,(7-$AM22)/6,_xlpm.pT,MAX(_xlpm.pW,_xlpm.pC),_xlpm.rr,$AW22,_xlpm.n*IF(_xlpm.rr=2,1-(1-_xlpm.pT)^2,IF(_xlpm.rr=1,_xlpm.pT+_xlpm.pT/6,_xlpm.pT))+$Q22))</f>
        <v/>
      </c>
      <c r="S22" s="37" t="str">
        <f>IF(OR($B22="",NOT($A22)),"",IF($AC22,_xlfn.LET(_xlpm.n,$P22-$Q22,_xlpm.pW,(7-$AO22)/6,_xlpm.pC,(7-$AM22)/6,_xlpm.pT,MAX(_xlpm.pW,_xlpm.pC),_xlpm.rr,$AW22,_xlpm.n*IF(_xlpm.rr=2,_xlpm.pC+(1-_xlpm.pT)*_xlpm.pC,IF(_xlpm.rr=1,_xlpm.pC+_xlpm.pC/6,_xlpm.pC))),0))</f>
        <v/>
      </c>
      <c r="T22" s="37" t="str">
        <f>IF(OR($B22="",NOT($A22)),"",($R22-$S22)*($AP22-1)/6)</f>
        <v/>
      </c>
      <c r="U22" s="37" t="str">
        <f>IF(OR($B22="",NOT($A22)),"",MAX(1,IF(LEFT($G22,1)="D",(VALUE(MID($G22,2,99))+1)/2,$G22)+$AJ22*FALSE+$AU22+$AG$3))</f>
        <v/>
      </c>
      <c r="V22" s="37" t="str">
        <f>IF(OR($B22="",NOT($A22)),"",($T22+$S22)*IF(N($J$6)&gt;0,MIN($U22,$J$6),$U22)*($Z$3-1)/6)</f>
        <v/>
      </c>
      <c r="W22" s="37" t="str">
        <f>IF(OR($B22="",NOT($A22),$AQ22=""),"",MIN($E$3,($T22+$S22)/$AQ22))</f>
        <v/>
      </c>
      <c r="X22" s="56" t="str">
        <f>IF(OR($B22="",NOT($A22)),"",TEXT($V22,"0.00")&amp;" dmg"&amp;IF($W22="","",", "&amp;TEXT($W22,"0.00")&amp;" kills"))</f>
        <v/>
      </c>
      <c r="Z22" s="28" t="str" cm="1">
        <f t="array" ref="Z22">IF($B22="","",KW(($H22&amp;", "&amp;$AB$3),"Torrent")=TRUE)</f>
        <v/>
      </c>
      <c r="AA22" s="28" t="str" cm="1">
        <f t="array" ref="AA22">IF($B22="","",KW(($H22&amp;", "&amp;$AB$3),"Lethal Hits")=TRUE)</f>
        <v/>
      </c>
      <c r="AB22" s="28" t="str" cm="1">
        <f t="array" ref="AB22">IF($B22="","",N(KW(($H22&amp;", "&amp;$AB$3),"Sustained Hits")))</f>
        <v/>
      </c>
      <c r="AC22" s="28" t="str" cm="1">
        <f t="array" ref="AC22">IF($B22="","",KW(($H22&amp;", "&amp;$AB$3),"Devastating Wounds")=TRUE)</f>
        <v/>
      </c>
      <c r="AD22" s="28" t="str" cm="1">
        <f t="array" ref="AD22">IF($B22="","",KW(($H22&amp;", "&amp;$AB$3),"Twin-Linked")=TRUE)</f>
        <v/>
      </c>
      <c r="AE22" s="28" t="str" cm="1">
        <f t="array" ref="AE22">IF($B22="","",KW(($H22&amp;", "&amp;$AB$3),"Lance")=TRUE)</f>
        <v/>
      </c>
      <c r="AF22" s="28" t="str" cm="1">
        <f t="array" ref="AF22">IF($B22="","",KW(($H22&amp;", "&amp;$AB$3),"Heavy")=TRUE)</f>
        <v/>
      </c>
      <c r="AG22" s="28" t="str" cm="1">
        <f t="array" ref="AG22">IF($B22="","",N(KW(($H22&amp;", "&amp;$AB$3),"Rapid Fire")))</f>
        <v/>
      </c>
      <c r="AH22" s="28" t="str" cm="1">
        <f t="array" ref="AH22">IF($B22="","",N(KW(($H22&amp;", "&amp;$AB$3),"Blast")))</f>
        <v/>
      </c>
      <c r="AI22" s="28" t="str" cm="1">
        <f t="array" ref="AI22">IF($B22="","",N(KW(($H22&amp;", "&amp;$AB$3),"Cleave")))</f>
        <v/>
      </c>
      <c r="AJ22" s="28" t="str" cm="1">
        <f t="array" ref="AJ22">IF($B22="","",N(KW(($H22&amp;", "&amp;$AB$3),"Melta")))</f>
        <v/>
      </c>
      <c r="AK22" s="28" t="str" cm="1">
        <f t="array" ref="AK22">IF($B22="","",KW(($H22&amp;", "&amp;$AB$3),"Ignores Cover")=TRUE)</f>
        <v/>
      </c>
      <c r="AL22" s="28" t="str" cm="1">
        <f t="array" ref="AL22">IF($B22="","",KW(($H22&amp;", "&amp;$AB$3),"Psychic")=TRUE)</f>
        <v/>
      </c>
      <c r="AM22" s="29" t="str" cm="1">
        <f t="array" ref="AM22">IF($B22="","",_xlfn.LET(_xlpm.src,$H22&amp;", "&amp;$AB$3,_xlpm.a,KWANTI(_xlpm.src,($N$6&amp;", "&amp;$AC$3)),_xlpm.c,KWMIN(_xlpm.src,"Critical Wounds"),MIN(_xlpm.a,IF(ISNUMBER(_xlpm.c),MEDIAN(2,6,_xlpm.c),6))))</f>
        <v/>
      </c>
      <c r="AN22" s="29" t="str">
        <f t="shared" si="2"/>
        <v/>
      </c>
      <c r="AO22" s="29" t="str">
        <f t="shared" si="3"/>
        <v/>
      </c>
      <c r="AP22" s="29" t="str">
        <f t="shared" si="4"/>
        <v/>
      </c>
      <c r="AQ22" s="30" t="str">
        <f>IF(OR($B22="",N($J$6)&lt;=0),"",ROUNDUP($J$6/MIN($U22,$J$6),0)/(($Z$3-1)/6))</f>
        <v/>
      </c>
      <c r="AR22" s="30" t="str" cm="1">
        <f t="array" ref="AR22">IF($B22="","",KWSUM(($H22&amp;", "&amp;$AB$3),"Hit Modifier"))</f>
        <v/>
      </c>
      <c r="AS22" s="30" t="str" cm="1">
        <f t="array" ref="AS22">IF($B22="","",KWSUM(($H22&amp;", "&amp;$AB$3),"Wound Modifier"))</f>
        <v/>
      </c>
      <c r="AT22" s="30" t="str" cm="1">
        <f t="array" ref="AT22">IF($B22="","",KWSUM(($H22&amp;", "&amp;$AB$3),"AP Modifier"))</f>
        <v/>
      </c>
      <c r="AU22" s="30" t="str" cm="1">
        <f t="array" ref="AU22">IF($B22="","",KWSUM(($H22&amp;", "&amp;$AB$3),"Damage Modifier"))</f>
        <v/>
      </c>
      <c r="AV22" s="30" t="str" cm="1">
        <f t="array" ref="AV22">IF($B22="","",_xlfn.LET(_xlpm.src,$H22&amp;", "&amp;$AB$3,_xlpm.full,ISNUMBER(_xlfn.XMATCH("Reroll Hits",TRIM(_xlfn.TEXTSPLIT(_xlpm.src,",")))),_xlpm.r,KW(_xlpm.src,"Reroll Hits"),IF(_xlpm.full,2,IF(N(_xlpm.r)&gt;=1,1,0))))</f>
        <v/>
      </c>
      <c r="AW22" s="30" t="str" cm="1">
        <f t="array" ref="AW22">IF($B22="","",_xlfn.LET(_xlpm.src,$H22&amp;", "&amp;$AB$3,_xlpm.full,OR($AD22,ISNUMBER(_xlfn.XMATCH("Reroll Wounds",TRIM(_xlfn.TEXTSPLIT(_xlpm.src,","))))),_xlpm.r,KW(_xlpm.src,"Reroll Wounds"),IF(_xlpm.full,2,IF(N(_xlpm.r)&gt;=1,1,0))))</f>
        <v/>
      </c>
      <c r="AX22" s="30" t="str">
        <f t="shared" si="5"/>
        <v/>
      </c>
      <c r="AY22" s="30" t="str" cm="1">
        <f t="array" ref="AY22">IF($B22="","",KWSUM($H22&amp;", "&amp;$AB$3,"Attacks Modifier"))</f>
        <v/>
      </c>
      <c r="AZ22" s="30" t="str" cm="1">
        <f t="array" ref="AZ22">IF($B22="","",KWSUM($H22&amp;", "&amp;$AB$3,"Strength Modifier"))</f>
        <v/>
      </c>
      <c r="BA22" s="30" t="str" cm="1">
        <f t="array" ref="BA22">IF($B22="","",KWSUM($H22&amp;", "&amp;$AB$3,"WS Modifier"))</f>
        <v/>
      </c>
      <c r="BB22" s="30" t="str" cm="1">
        <f t="array" ref="BB22">IF($B22="","",_xlfn.LET(_xlpm.c,KWMIN($H22&amp;", "&amp;$AB$3,"Critical Hits"),IF(ISNUMBER(_xlpm.c),MEDIAN(2,6,_xlpm.c),6)))</f>
        <v/>
      </c>
      <c r="BC22" s="30" t="str" cm="1">
        <f t="array" ref="BC22">IF($B22="","",KWSUM($H22&amp;", "&amp;$AB$3,"Save Modifier"))</f>
        <v/>
      </c>
    </row>
    <row r="23" spans="1:55" ht="14.55" customHeight="1" x14ac:dyDescent="0.3">
      <c r="A23" s="64" t="b">
        <v>1</v>
      </c>
      <c r="B23" s="55"/>
      <c r="C23" s="38"/>
      <c r="D23" s="38"/>
      <c r="E23" s="38"/>
      <c r="F23" s="38"/>
      <c r="G23" s="38"/>
      <c r="H23" s="1"/>
      <c r="I23" s="9"/>
      <c r="J23" s="34"/>
      <c r="K23" s="34"/>
      <c r="L23" s="34"/>
      <c r="M23" s="34"/>
      <c r="N23" s="11"/>
      <c r="O23" s="37" t="str">
        <f t="shared" si="0"/>
        <v/>
      </c>
      <c r="P23" s="37" t="str">
        <f t="shared" si="1"/>
        <v/>
      </c>
      <c r="Q23" s="37" t="str">
        <f>IF(OR($B23="",NOT($A23)),"",IF(AND($AA23,NOT($Z23)),$O23*$AX23,0))</f>
        <v/>
      </c>
      <c r="R23" s="37" t="str">
        <f>IF(OR($B23="",NOT($A23)),"",_xlfn.LET(_xlpm.n,$P23-$Q23,_xlpm.pW,(7-$AO23)/6,_xlpm.pC,(7-$AM23)/6,_xlpm.pT,MAX(_xlpm.pW,_xlpm.pC),_xlpm.rr,$AW23,_xlpm.n*IF(_xlpm.rr=2,1-(1-_xlpm.pT)^2,IF(_xlpm.rr=1,_xlpm.pT+_xlpm.pT/6,_xlpm.pT))+$Q23))</f>
        <v/>
      </c>
      <c r="S23" s="37" t="str">
        <f>IF(OR($B23="",NOT($A23)),"",IF($AC23,_xlfn.LET(_xlpm.n,$P23-$Q23,_xlpm.pW,(7-$AO23)/6,_xlpm.pC,(7-$AM23)/6,_xlpm.pT,MAX(_xlpm.pW,_xlpm.pC),_xlpm.rr,$AW23,_xlpm.n*IF(_xlpm.rr=2,_xlpm.pC+(1-_xlpm.pT)*_xlpm.pC,IF(_xlpm.rr=1,_xlpm.pC+_xlpm.pC/6,_xlpm.pC))),0))</f>
        <v/>
      </c>
      <c r="T23" s="37" t="str">
        <f>IF(OR($B23="",NOT($A23)),"",($R23-$S23)*($AP23-1)/6)</f>
        <v/>
      </c>
      <c r="U23" s="37" t="str">
        <f>IF(OR($B23="",NOT($A23)),"",MAX(1,IF(LEFT($G23,1)="D",(VALUE(MID($G23,2,99))+1)/2,$G23)+$AJ23*FALSE+$AU23+$AG$3))</f>
        <v/>
      </c>
      <c r="V23" s="37" t="str">
        <f>IF(OR($B23="",NOT($A23)),"",($T23+$S23)*IF(N($J$6)&gt;0,MIN($U23,$J$6),$U23)*($Z$3-1)/6)</f>
        <v/>
      </c>
      <c r="W23" s="37" t="str">
        <f>IF(OR($B23="",NOT($A23),$AQ23=""),"",MIN($E$3,($T23+$S23)/$AQ23))</f>
        <v/>
      </c>
      <c r="X23" s="56" t="str">
        <f>IF(OR($B23="",NOT($A23)),"",TEXT($V23,"0.00")&amp;" dmg"&amp;IF($W23="","",", "&amp;TEXT($W23,"0.00")&amp;" kills"))</f>
        <v/>
      </c>
      <c r="Z23" s="28" t="str" cm="1">
        <f t="array" ref="Z23">IF($B23="","",KW(($H23&amp;", "&amp;$AB$3),"Torrent")=TRUE)</f>
        <v/>
      </c>
      <c r="AA23" s="28" t="str" cm="1">
        <f t="array" ref="AA23">IF($B23="","",KW(($H23&amp;", "&amp;$AB$3),"Lethal Hits")=TRUE)</f>
        <v/>
      </c>
      <c r="AB23" s="28" t="str" cm="1">
        <f t="array" ref="AB23">IF($B23="","",N(KW(($H23&amp;", "&amp;$AB$3),"Sustained Hits")))</f>
        <v/>
      </c>
      <c r="AC23" s="28" t="str" cm="1">
        <f t="array" ref="AC23">IF($B23="","",KW(($H23&amp;", "&amp;$AB$3),"Devastating Wounds")=TRUE)</f>
        <v/>
      </c>
      <c r="AD23" s="28" t="str" cm="1">
        <f t="array" ref="AD23">IF($B23="","",KW(($H23&amp;", "&amp;$AB$3),"Twin-Linked")=TRUE)</f>
        <v/>
      </c>
      <c r="AE23" s="28" t="str" cm="1">
        <f t="array" ref="AE23">IF($B23="","",KW(($H23&amp;", "&amp;$AB$3),"Lance")=TRUE)</f>
        <v/>
      </c>
      <c r="AF23" s="28" t="str" cm="1">
        <f t="array" ref="AF23">IF($B23="","",KW(($H23&amp;", "&amp;$AB$3),"Heavy")=TRUE)</f>
        <v/>
      </c>
      <c r="AG23" s="28" t="str" cm="1">
        <f t="array" ref="AG23">IF($B23="","",N(KW(($H23&amp;", "&amp;$AB$3),"Rapid Fire")))</f>
        <v/>
      </c>
      <c r="AH23" s="28" t="str" cm="1">
        <f t="array" ref="AH23">IF($B23="","",N(KW(($H23&amp;", "&amp;$AB$3),"Blast")))</f>
        <v/>
      </c>
      <c r="AI23" s="28" t="str" cm="1">
        <f t="array" ref="AI23">IF($B23="","",N(KW(($H23&amp;", "&amp;$AB$3),"Cleave")))</f>
        <v/>
      </c>
      <c r="AJ23" s="28" t="str" cm="1">
        <f t="array" ref="AJ23">IF($B23="","",N(KW(($H23&amp;", "&amp;$AB$3),"Melta")))</f>
        <v/>
      </c>
      <c r="AK23" s="28" t="str" cm="1">
        <f t="array" ref="AK23">IF($B23="","",KW(($H23&amp;", "&amp;$AB$3),"Ignores Cover")=TRUE)</f>
        <v/>
      </c>
      <c r="AL23" s="28" t="str" cm="1">
        <f t="array" ref="AL23">IF($B23="","",KW(($H23&amp;", "&amp;$AB$3),"Psychic")=TRUE)</f>
        <v/>
      </c>
      <c r="AM23" s="29" t="str" cm="1">
        <f t="array" ref="AM23">IF($B23="","",_xlfn.LET(_xlpm.src,$H23&amp;", "&amp;$AB$3,_xlpm.a,KWANTI(_xlpm.src,($N$6&amp;", "&amp;$AC$3)),_xlpm.c,KWMIN(_xlpm.src,"Critical Wounds"),MIN(_xlpm.a,IF(ISNUMBER(_xlpm.c),MEDIAN(2,6,_xlpm.c),6))))</f>
        <v/>
      </c>
      <c r="AN23" s="29" t="str">
        <f t="shared" si="2"/>
        <v/>
      </c>
      <c r="AO23" s="29" t="str">
        <f t="shared" si="3"/>
        <v/>
      </c>
      <c r="AP23" s="29" t="str">
        <f t="shared" si="4"/>
        <v/>
      </c>
      <c r="AQ23" s="30" t="str">
        <f>IF(OR($B23="",N($J$6)&lt;=0),"",ROUNDUP($J$6/MIN($U23,$J$6),0)/(($Z$3-1)/6))</f>
        <v/>
      </c>
      <c r="AR23" s="30" t="str" cm="1">
        <f t="array" ref="AR23">IF($B23="","",KWSUM(($H23&amp;", "&amp;$AB$3),"Hit Modifier"))</f>
        <v/>
      </c>
      <c r="AS23" s="30" t="str" cm="1">
        <f t="array" ref="AS23">IF($B23="","",KWSUM(($H23&amp;", "&amp;$AB$3),"Wound Modifier"))</f>
        <v/>
      </c>
      <c r="AT23" s="30" t="str" cm="1">
        <f t="array" ref="AT23">IF($B23="","",KWSUM(($H23&amp;", "&amp;$AB$3),"AP Modifier"))</f>
        <v/>
      </c>
      <c r="AU23" s="30" t="str" cm="1">
        <f t="array" ref="AU23">IF($B23="","",KWSUM(($H23&amp;", "&amp;$AB$3),"Damage Modifier"))</f>
        <v/>
      </c>
      <c r="AV23" s="30" t="str" cm="1">
        <f t="array" ref="AV23">IF($B23="","",_xlfn.LET(_xlpm.src,$H23&amp;", "&amp;$AB$3,_xlpm.full,ISNUMBER(_xlfn.XMATCH("Reroll Hits",TRIM(_xlfn.TEXTSPLIT(_xlpm.src,",")))),_xlpm.r,KW(_xlpm.src,"Reroll Hits"),IF(_xlpm.full,2,IF(N(_xlpm.r)&gt;=1,1,0))))</f>
        <v/>
      </c>
      <c r="AW23" s="30" t="str" cm="1">
        <f t="array" ref="AW23">IF($B23="","",_xlfn.LET(_xlpm.src,$H23&amp;", "&amp;$AB$3,_xlpm.full,OR($AD23,ISNUMBER(_xlfn.XMATCH("Reroll Wounds",TRIM(_xlfn.TEXTSPLIT(_xlpm.src,","))))),_xlpm.r,KW(_xlpm.src,"Reroll Wounds"),IF(_xlpm.full,2,IF(N(_xlpm.r)&gt;=1,1,0))))</f>
        <v/>
      </c>
      <c r="AX23" s="30" t="str">
        <f t="shared" si="5"/>
        <v/>
      </c>
      <c r="AY23" s="30" t="str" cm="1">
        <f t="array" ref="AY23">IF($B23="","",KWSUM($H23&amp;", "&amp;$AB$3,"Attacks Modifier"))</f>
        <v/>
      </c>
      <c r="AZ23" s="30" t="str" cm="1">
        <f t="array" ref="AZ23">IF($B23="","",KWSUM($H23&amp;", "&amp;$AB$3,"Strength Modifier"))</f>
        <v/>
      </c>
      <c r="BA23" s="30" t="str" cm="1">
        <f t="array" ref="BA23">IF($B23="","",KWSUM($H23&amp;", "&amp;$AB$3,"WS Modifier"))</f>
        <v/>
      </c>
      <c r="BB23" s="30" t="str" cm="1">
        <f t="array" ref="BB23">IF($B23="","",_xlfn.LET(_xlpm.c,KWMIN($H23&amp;", "&amp;$AB$3,"Critical Hits"),IF(ISNUMBER(_xlpm.c),MEDIAN(2,6,_xlpm.c),6)))</f>
        <v/>
      </c>
      <c r="BC23" s="30" t="str" cm="1">
        <f t="array" ref="BC23">IF($B23="","",KWSUM($H23&amp;", "&amp;$AB$3,"Save Modifier"))</f>
        <v/>
      </c>
    </row>
    <row r="24" spans="1:55" ht="14.55" customHeight="1" x14ac:dyDescent="0.3">
      <c r="A24" s="64" t="b">
        <v>1</v>
      </c>
      <c r="B24" s="55"/>
      <c r="C24" s="38"/>
      <c r="D24" s="38"/>
      <c r="E24" s="38"/>
      <c r="F24" s="38"/>
      <c r="G24" s="38"/>
      <c r="H24" s="1"/>
      <c r="I24" s="9"/>
      <c r="J24" s="34"/>
      <c r="K24" s="34"/>
      <c r="L24" s="34"/>
      <c r="M24" s="34"/>
      <c r="N24" s="11"/>
      <c r="O24" s="37" t="str">
        <f t="shared" si="0"/>
        <v/>
      </c>
      <c r="P24" s="37" t="str">
        <f t="shared" si="1"/>
        <v/>
      </c>
      <c r="Q24" s="37" t="str">
        <f>IF(OR($B24="",NOT($A24)),"",IF(AND($AA24,NOT($Z24)),$O24*$AX24,0))</f>
        <v/>
      </c>
      <c r="R24" s="37" t="str">
        <f>IF(OR($B24="",NOT($A24)),"",_xlfn.LET(_xlpm.n,$P24-$Q24,_xlpm.pW,(7-$AO24)/6,_xlpm.pC,(7-$AM24)/6,_xlpm.pT,MAX(_xlpm.pW,_xlpm.pC),_xlpm.rr,$AW24,_xlpm.n*IF(_xlpm.rr=2,1-(1-_xlpm.pT)^2,IF(_xlpm.rr=1,_xlpm.pT+_xlpm.pT/6,_xlpm.pT))+$Q24))</f>
        <v/>
      </c>
      <c r="S24" s="37" t="str">
        <f>IF(OR($B24="",NOT($A24)),"",IF($AC24,_xlfn.LET(_xlpm.n,$P24-$Q24,_xlpm.pW,(7-$AO24)/6,_xlpm.pC,(7-$AM24)/6,_xlpm.pT,MAX(_xlpm.pW,_xlpm.pC),_xlpm.rr,$AW24,_xlpm.n*IF(_xlpm.rr=2,_xlpm.pC+(1-_xlpm.pT)*_xlpm.pC,IF(_xlpm.rr=1,_xlpm.pC+_xlpm.pC/6,_xlpm.pC))),0))</f>
        <v/>
      </c>
      <c r="T24" s="37" t="str">
        <f>IF(OR($B24="",NOT($A24)),"",($R24-$S24)*($AP24-1)/6)</f>
        <v/>
      </c>
      <c r="U24" s="37" t="str">
        <f>IF(OR($B24="",NOT($A24)),"",MAX(1,IF(LEFT($G24,1)="D",(VALUE(MID($G24,2,99))+1)/2,$G24)+$AJ24*FALSE+$AU24+$AG$3))</f>
        <v/>
      </c>
      <c r="V24" s="37" t="str">
        <f>IF(OR($B24="",NOT($A24)),"",($T24+$S24)*IF(N($J$6)&gt;0,MIN($U24,$J$6),$U24)*($Z$3-1)/6)</f>
        <v/>
      </c>
      <c r="W24" s="37" t="str">
        <f>IF(OR($B24="",NOT($A24),$AQ24=""),"",MIN($E$3,($T24+$S24)/$AQ24))</f>
        <v/>
      </c>
      <c r="X24" s="56" t="str">
        <f>IF(OR($B24="",NOT($A24)),"",TEXT($V24,"0.00")&amp;" dmg"&amp;IF($W24="","",", "&amp;TEXT($W24,"0.00")&amp;" kills"))</f>
        <v/>
      </c>
      <c r="Z24" s="28" t="str" cm="1">
        <f t="array" ref="Z24">IF($B24="","",KW(($H24&amp;", "&amp;$AB$3),"Torrent")=TRUE)</f>
        <v/>
      </c>
      <c r="AA24" s="28" t="str" cm="1">
        <f t="array" ref="AA24">IF($B24="","",KW(($H24&amp;", "&amp;$AB$3),"Lethal Hits")=TRUE)</f>
        <v/>
      </c>
      <c r="AB24" s="28" t="str" cm="1">
        <f t="array" ref="AB24">IF($B24="","",N(KW(($H24&amp;", "&amp;$AB$3),"Sustained Hits")))</f>
        <v/>
      </c>
      <c r="AC24" s="28" t="str" cm="1">
        <f t="array" ref="AC24">IF($B24="","",KW(($H24&amp;", "&amp;$AB$3),"Devastating Wounds")=TRUE)</f>
        <v/>
      </c>
      <c r="AD24" s="28" t="str" cm="1">
        <f t="array" ref="AD24">IF($B24="","",KW(($H24&amp;", "&amp;$AB$3),"Twin-Linked")=TRUE)</f>
        <v/>
      </c>
      <c r="AE24" s="28" t="str" cm="1">
        <f t="array" ref="AE24">IF($B24="","",KW(($H24&amp;", "&amp;$AB$3),"Lance")=TRUE)</f>
        <v/>
      </c>
      <c r="AF24" s="28" t="str" cm="1">
        <f t="array" ref="AF24">IF($B24="","",KW(($H24&amp;", "&amp;$AB$3),"Heavy")=TRUE)</f>
        <v/>
      </c>
      <c r="AG24" s="28" t="str" cm="1">
        <f t="array" ref="AG24">IF($B24="","",N(KW(($H24&amp;", "&amp;$AB$3),"Rapid Fire")))</f>
        <v/>
      </c>
      <c r="AH24" s="28" t="str" cm="1">
        <f t="array" ref="AH24">IF($B24="","",N(KW(($H24&amp;", "&amp;$AB$3),"Blast")))</f>
        <v/>
      </c>
      <c r="AI24" s="28" t="str" cm="1">
        <f t="array" ref="AI24">IF($B24="","",N(KW(($H24&amp;", "&amp;$AB$3),"Cleave")))</f>
        <v/>
      </c>
      <c r="AJ24" s="28" t="str" cm="1">
        <f t="array" ref="AJ24">IF($B24="","",N(KW(($H24&amp;", "&amp;$AB$3),"Melta")))</f>
        <v/>
      </c>
      <c r="AK24" s="28" t="str" cm="1">
        <f t="array" ref="AK24">IF($B24="","",KW(($H24&amp;", "&amp;$AB$3),"Ignores Cover")=TRUE)</f>
        <v/>
      </c>
      <c r="AL24" s="28" t="str" cm="1">
        <f t="array" ref="AL24">IF($B24="","",KW(($H24&amp;", "&amp;$AB$3),"Psychic")=TRUE)</f>
        <v/>
      </c>
      <c r="AM24" s="29" t="str" cm="1">
        <f t="array" ref="AM24">IF($B24="","",_xlfn.LET(_xlpm.src,$H24&amp;", "&amp;$AB$3,_xlpm.a,KWANTI(_xlpm.src,($N$6&amp;", "&amp;$AC$3)),_xlpm.c,KWMIN(_xlpm.src,"Critical Wounds"),MIN(_xlpm.a,IF(ISNUMBER(_xlpm.c),MEDIAN(2,6,_xlpm.c),6))))</f>
        <v/>
      </c>
      <c r="AN24" s="29" t="str">
        <f t="shared" si="2"/>
        <v/>
      </c>
      <c r="AO24" s="29" t="str">
        <f t="shared" si="3"/>
        <v/>
      </c>
      <c r="AP24" s="29" t="str">
        <f t="shared" si="4"/>
        <v/>
      </c>
      <c r="AQ24" s="30" t="str">
        <f>IF(OR($B24="",N($J$6)&lt;=0),"",ROUNDUP($J$6/MIN($U24,$J$6),0)/(($Z$3-1)/6))</f>
        <v/>
      </c>
      <c r="AR24" s="30" t="str" cm="1">
        <f t="array" ref="AR24">IF($B24="","",KWSUM(($H24&amp;", "&amp;$AB$3),"Hit Modifier"))</f>
        <v/>
      </c>
      <c r="AS24" s="30" t="str" cm="1">
        <f t="array" ref="AS24">IF($B24="","",KWSUM(($H24&amp;", "&amp;$AB$3),"Wound Modifier"))</f>
        <v/>
      </c>
      <c r="AT24" s="30" t="str" cm="1">
        <f t="array" ref="AT24">IF($B24="","",KWSUM(($H24&amp;", "&amp;$AB$3),"AP Modifier"))</f>
        <v/>
      </c>
      <c r="AU24" s="30" t="str" cm="1">
        <f t="array" ref="AU24">IF($B24="","",KWSUM(($H24&amp;", "&amp;$AB$3),"Damage Modifier"))</f>
        <v/>
      </c>
      <c r="AV24" s="30" t="str" cm="1">
        <f t="array" ref="AV24">IF($B24="","",_xlfn.LET(_xlpm.src,$H24&amp;", "&amp;$AB$3,_xlpm.full,ISNUMBER(_xlfn.XMATCH("Reroll Hits",TRIM(_xlfn.TEXTSPLIT(_xlpm.src,",")))),_xlpm.r,KW(_xlpm.src,"Reroll Hits"),IF(_xlpm.full,2,IF(N(_xlpm.r)&gt;=1,1,0))))</f>
        <v/>
      </c>
      <c r="AW24" s="30" t="str" cm="1">
        <f t="array" ref="AW24">IF($B24="","",_xlfn.LET(_xlpm.src,$H24&amp;", "&amp;$AB$3,_xlpm.full,OR($AD24,ISNUMBER(_xlfn.XMATCH("Reroll Wounds",TRIM(_xlfn.TEXTSPLIT(_xlpm.src,","))))),_xlpm.r,KW(_xlpm.src,"Reroll Wounds"),IF(_xlpm.full,2,IF(N(_xlpm.r)&gt;=1,1,0))))</f>
        <v/>
      </c>
      <c r="AX24" s="30" t="str">
        <f t="shared" si="5"/>
        <v/>
      </c>
      <c r="AY24" s="30" t="str" cm="1">
        <f t="array" ref="AY24">IF($B24="","",KWSUM($H24&amp;", "&amp;$AB$3,"Attacks Modifier"))</f>
        <v/>
      </c>
      <c r="AZ24" s="30" t="str" cm="1">
        <f t="array" ref="AZ24">IF($B24="","",KWSUM($H24&amp;", "&amp;$AB$3,"Strength Modifier"))</f>
        <v/>
      </c>
      <c r="BA24" s="30" t="str" cm="1">
        <f t="array" ref="BA24">IF($B24="","",KWSUM($H24&amp;", "&amp;$AB$3,"WS Modifier"))</f>
        <v/>
      </c>
      <c r="BB24" s="30" t="str" cm="1">
        <f t="array" ref="BB24">IF($B24="","",_xlfn.LET(_xlpm.c,KWMIN($H24&amp;", "&amp;$AB$3,"Critical Hits"),IF(ISNUMBER(_xlpm.c),MEDIAN(2,6,_xlpm.c),6)))</f>
        <v/>
      </c>
      <c r="BC24" s="30" t="str" cm="1">
        <f t="array" ref="BC24">IF($B24="","",KWSUM($H24&amp;", "&amp;$AB$3,"Save Modifier"))</f>
        <v/>
      </c>
    </row>
    <row r="25" spans="1:55" ht="14.55" customHeight="1" x14ac:dyDescent="0.3">
      <c r="A25" s="64" t="b">
        <v>1</v>
      </c>
      <c r="B25" s="55"/>
      <c r="C25" s="38"/>
      <c r="D25" s="38"/>
      <c r="E25" s="38"/>
      <c r="F25" s="38"/>
      <c r="G25" s="38"/>
      <c r="H25" s="1"/>
      <c r="I25" s="9"/>
      <c r="J25" s="34"/>
      <c r="K25" s="34"/>
      <c r="L25" s="34"/>
      <c r="M25" s="34"/>
      <c r="N25" s="11"/>
      <c r="O25" s="37" t="str">
        <f t="shared" si="0"/>
        <v/>
      </c>
      <c r="P25" s="37" t="str">
        <f t="shared" si="1"/>
        <v/>
      </c>
      <c r="Q25" s="37" t="str">
        <f>IF(OR($B25="",NOT($A25)),"",IF(AND($AA25,NOT($Z25)),$O25*$AX25,0))</f>
        <v/>
      </c>
      <c r="R25" s="37" t="str">
        <f>IF(OR($B25="",NOT($A25)),"",_xlfn.LET(_xlpm.n,$P25-$Q25,_xlpm.pW,(7-$AO25)/6,_xlpm.pC,(7-$AM25)/6,_xlpm.pT,MAX(_xlpm.pW,_xlpm.pC),_xlpm.rr,$AW25,_xlpm.n*IF(_xlpm.rr=2,1-(1-_xlpm.pT)^2,IF(_xlpm.rr=1,_xlpm.pT+_xlpm.pT/6,_xlpm.pT))+$Q25))</f>
        <v/>
      </c>
      <c r="S25" s="37" t="str">
        <f>IF(OR($B25="",NOT($A25)),"",IF($AC25,_xlfn.LET(_xlpm.n,$P25-$Q25,_xlpm.pW,(7-$AO25)/6,_xlpm.pC,(7-$AM25)/6,_xlpm.pT,MAX(_xlpm.pW,_xlpm.pC),_xlpm.rr,$AW25,_xlpm.n*IF(_xlpm.rr=2,_xlpm.pC+(1-_xlpm.pT)*_xlpm.pC,IF(_xlpm.rr=1,_xlpm.pC+_xlpm.pC/6,_xlpm.pC))),0))</f>
        <v/>
      </c>
      <c r="T25" s="37" t="str">
        <f>IF(OR($B25="",NOT($A25)),"",($R25-$S25)*($AP25-1)/6)</f>
        <v/>
      </c>
      <c r="U25" s="37" t="str">
        <f>IF(OR($B25="",NOT($A25)),"",MAX(1,IF(LEFT($G25,1)="D",(VALUE(MID($G25,2,99))+1)/2,$G25)+$AJ25*FALSE+$AU25+$AG$3))</f>
        <v/>
      </c>
      <c r="V25" s="37" t="str">
        <f>IF(OR($B25="",NOT($A25)),"",($T25+$S25)*IF(N($J$6)&gt;0,MIN($U25,$J$6),$U25)*($Z$3-1)/6)</f>
        <v/>
      </c>
      <c r="W25" s="37" t="str">
        <f>IF(OR($B25="",NOT($A25),$AQ25=""),"",MIN($E$3,($T25+$S25)/$AQ25))</f>
        <v/>
      </c>
      <c r="X25" s="56" t="str">
        <f>IF(OR($B25="",NOT($A25)),"",TEXT($V25,"0.00")&amp;" dmg"&amp;IF($W25="","",", "&amp;TEXT($W25,"0.00")&amp;" kills"))</f>
        <v/>
      </c>
      <c r="Z25" s="28" t="str" cm="1">
        <f t="array" ref="Z25">IF($B25="","",KW(($H25&amp;", "&amp;$AB$3),"Torrent")=TRUE)</f>
        <v/>
      </c>
      <c r="AA25" s="28" t="str" cm="1">
        <f t="array" ref="AA25">IF($B25="","",KW(($H25&amp;", "&amp;$AB$3),"Lethal Hits")=TRUE)</f>
        <v/>
      </c>
      <c r="AB25" s="28" t="str" cm="1">
        <f t="array" ref="AB25">IF($B25="","",N(KW(($H25&amp;", "&amp;$AB$3),"Sustained Hits")))</f>
        <v/>
      </c>
      <c r="AC25" s="28" t="str" cm="1">
        <f t="array" ref="AC25">IF($B25="","",KW(($H25&amp;", "&amp;$AB$3),"Devastating Wounds")=TRUE)</f>
        <v/>
      </c>
      <c r="AD25" s="28" t="str" cm="1">
        <f t="array" ref="AD25">IF($B25="","",KW(($H25&amp;", "&amp;$AB$3),"Twin-Linked")=TRUE)</f>
        <v/>
      </c>
      <c r="AE25" s="28" t="str" cm="1">
        <f t="array" ref="AE25">IF($B25="","",KW(($H25&amp;", "&amp;$AB$3),"Lance")=TRUE)</f>
        <v/>
      </c>
      <c r="AF25" s="28" t="str" cm="1">
        <f t="array" ref="AF25">IF($B25="","",KW(($H25&amp;", "&amp;$AB$3),"Heavy")=TRUE)</f>
        <v/>
      </c>
      <c r="AG25" s="28" t="str" cm="1">
        <f t="array" ref="AG25">IF($B25="","",N(KW(($H25&amp;", "&amp;$AB$3),"Rapid Fire")))</f>
        <v/>
      </c>
      <c r="AH25" s="28" t="str" cm="1">
        <f t="array" ref="AH25">IF($B25="","",N(KW(($H25&amp;", "&amp;$AB$3),"Blast")))</f>
        <v/>
      </c>
      <c r="AI25" s="28" t="str" cm="1">
        <f t="array" ref="AI25">IF($B25="","",N(KW(($H25&amp;", "&amp;$AB$3),"Cleave")))</f>
        <v/>
      </c>
      <c r="AJ25" s="28" t="str" cm="1">
        <f t="array" ref="AJ25">IF($B25="","",N(KW(($H25&amp;", "&amp;$AB$3),"Melta")))</f>
        <v/>
      </c>
      <c r="AK25" s="28" t="str" cm="1">
        <f t="array" ref="AK25">IF($B25="","",KW(($H25&amp;", "&amp;$AB$3),"Ignores Cover")=TRUE)</f>
        <v/>
      </c>
      <c r="AL25" s="28" t="str" cm="1">
        <f t="array" ref="AL25">IF($B25="","",KW(($H25&amp;", "&amp;$AB$3),"Psychic")=TRUE)</f>
        <v/>
      </c>
      <c r="AM25" s="29" t="str" cm="1">
        <f t="array" ref="AM25">IF($B25="","",_xlfn.LET(_xlpm.src,$H25&amp;", "&amp;$AB$3,_xlpm.a,KWANTI(_xlpm.src,($N$6&amp;", "&amp;$AC$3)),_xlpm.c,KWMIN(_xlpm.src,"Critical Wounds"),MIN(_xlpm.a,IF(ISNUMBER(_xlpm.c),MEDIAN(2,6,_xlpm.c),6))))</f>
        <v/>
      </c>
      <c r="AN25" s="29" t="str">
        <f t="shared" si="2"/>
        <v/>
      </c>
      <c r="AO25" s="29" t="str">
        <f t="shared" si="3"/>
        <v/>
      </c>
      <c r="AP25" s="29" t="str">
        <f t="shared" si="4"/>
        <v/>
      </c>
      <c r="AQ25" s="30" t="str">
        <f>IF(OR($B25="",N($J$6)&lt;=0),"",ROUNDUP($J$6/MIN($U25,$J$6),0)/(($Z$3-1)/6))</f>
        <v/>
      </c>
      <c r="AR25" s="30" t="str" cm="1">
        <f t="array" ref="AR25">IF($B25="","",KWSUM(($H25&amp;", "&amp;$AB$3),"Hit Modifier"))</f>
        <v/>
      </c>
      <c r="AS25" s="30" t="str" cm="1">
        <f t="array" ref="AS25">IF($B25="","",KWSUM(($H25&amp;", "&amp;$AB$3),"Wound Modifier"))</f>
        <v/>
      </c>
      <c r="AT25" s="30" t="str" cm="1">
        <f t="array" ref="AT25">IF($B25="","",KWSUM(($H25&amp;", "&amp;$AB$3),"AP Modifier"))</f>
        <v/>
      </c>
      <c r="AU25" s="30" t="str" cm="1">
        <f t="array" ref="AU25">IF($B25="","",KWSUM(($H25&amp;", "&amp;$AB$3),"Damage Modifier"))</f>
        <v/>
      </c>
      <c r="AV25" s="30" t="str" cm="1">
        <f t="array" ref="AV25">IF($B25="","",_xlfn.LET(_xlpm.src,$H25&amp;", "&amp;$AB$3,_xlpm.full,ISNUMBER(_xlfn.XMATCH("Reroll Hits",TRIM(_xlfn.TEXTSPLIT(_xlpm.src,",")))),_xlpm.r,KW(_xlpm.src,"Reroll Hits"),IF(_xlpm.full,2,IF(N(_xlpm.r)&gt;=1,1,0))))</f>
        <v/>
      </c>
      <c r="AW25" s="30" t="str" cm="1">
        <f t="array" ref="AW25">IF($B25="","",_xlfn.LET(_xlpm.src,$H25&amp;", "&amp;$AB$3,_xlpm.full,OR($AD25,ISNUMBER(_xlfn.XMATCH("Reroll Wounds",TRIM(_xlfn.TEXTSPLIT(_xlpm.src,","))))),_xlpm.r,KW(_xlpm.src,"Reroll Wounds"),IF(_xlpm.full,2,IF(N(_xlpm.r)&gt;=1,1,0))))</f>
        <v/>
      </c>
      <c r="AX25" s="30" t="str">
        <f t="shared" si="5"/>
        <v/>
      </c>
      <c r="AY25" s="30" t="str" cm="1">
        <f t="array" ref="AY25">IF($B25="","",KWSUM($H25&amp;", "&amp;$AB$3,"Attacks Modifier"))</f>
        <v/>
      </c>
      <c r="AZ25" s="30" t="str" cm="1">
        <f t="array" ref="AZ25">IF($B25="","",KWSUM($H25&amp;", "&amp;$AB$3,"Strength Modifier"))</f>
        <v/>
      </c>
      <c r="BA25" s="30" t="str" cm="1">
        <f t="array" ref="BA25">IF($B25="","",KWSUM($H25&amp;", "&amp;$AB$3,"WS Modifier"))</f>
        <v/>
      </c>
      <c r="BB25" s="30" t="str" cm="1">
        <f t="array" ref="BB25">IF($B25="","",_xlfn.LET(_xlpm.c,KWMIN($H25&amp;", "&amp;$AB$3,"Critical Hits"),IF(ISNUMBER(_xlpm.c),MEDIAN(2,6,_xlpm.c),6)))</f>
        <v/>
      </c>
      <c r="BC25" s="30" t="str" cm="1">
        <f t="array" ref="BC25">IF($B25="","",KWSUM($H25&amp;", "&amp;$AB$3,"Save Modifier"))</f>
        <v/>
      </c>
    </row>
    <row r="26" spans="1:55" ht="14.55" customHeight="1" x14ac:dyDescent="0.3">
      <c r="A26" s="64" t="b">
        <v>1</v>
      </c>
      <c r="B26" s="55"/>
      <c r="C26" s="38"/>
      <c r="D26" s="38"/>
      <c r="E26" s="38"/>
      <c r="F26" s="38"/>
      <c r="G26" s="38"/>
      <c r="H26" s="1"/>
      <c r="I26" s="9"/>
      <c r="J26" s="34"/>
      <c r="K26" s="34"/>
      <c r="L26" s="34"/>
      <c r="M26" s="34"/>
      <c r="N26" s="11"/>
      <c r="O26" s="37" t="str">
        <f t="shared" si="0"/>
        <v/>
      </c>
      <c r="P26" s="37" t="str">
        <f t="shared" si="1"/>
        <v/>
      </c>
      <c r="Q26" s="37" t="str">
        <f>IF(OR($B26="",NOT($A26)),"",IF(AND($AA26,NOT($Z26)),$O26*$AX26,0))</f>
        <v/>
      </c>
      <c r="R26" s="37" t="str">
        <f>IF(OR($B26="",NOT($A26)),"",_xlfn.LET(_xlpm.n,$P26-$Q26,_xlpm.pW,(7-$AO26)/6,_xlpm.pC,(7-$AM26)/6,_xlpm.pT,MAX(_xlpm.pW,_xlpm.pC),_xlpm.rr,$AW26,_xlpm.n*IF(_xlpm.rr=2,1-(1-_xlpm.pT)^2,IF(_xlpm.rr=1,_xlpm.pT+_xlpm.pT/6,_xlpm.pT))+$Q26))</f>
        <v/>
      </c>
      <c r="S26" s="37" t="str">
        <f>IF(OR($B26="",NOT($A26)),"",IF($AC26,_xlfn.LET(_xlpm.n,$P26-$Q26,_xlpm.pW,(7-$AO26)/6,_xlpm.pC,(7-$AM26)/6,_xlpm.pT,MAX(_xlpm.pW,_xlpm.pC),_xlpm.rr,$AW26,_xlpm.n*IF(_xlpm.rr=2,_xlpm.pC+(1-_xlpm.pT)*_xlpm.pC,IF(_xlpm.rr=1,_xlpm.pC+_xlpm.pC/6,_xlpm.pC))),0))</f>
        <v/>
      </c>
      <c r="T26" s="37" t="str">
        <f>IF(OR($B26="",NOT($A26)),"",($R26-$S26)*($AP26-1)/6)</f>
        <v/>
      </c>
      <c r="U26" s="37" t="str">
        <f>IF(OR($B26="",NOT($A26)),"",MAX(1,IF(LEFT($G26,1)="D",(VALUE(MID($G26,2,99))+1)/2,$G26)+$AJ26*FALSE+$AU26+$AG$3))</f>
        <v/>
      </c>
      <c r="V26" s="37" t="str">
        <f>IF(OR($B26="",NOT($A26)),"",($T26+$S26)*IF(N($J$6)&gt;0,MIN($U26,$J$6),$U26)*($Z$3-1)/6)</f>
        <v/>
      </c>
      <c r="W26" s="37" t="str">
        <f>IF(OR($B26="",NOT($A26),$AQ26=""),"",MIN($E$3,($T26+$S26)/$AQ26))</f>
        <v/>
      </c>
      <c r="X26" s="56" t="str">
        <f>IF(OR($B26="",NOT($A26)),"",TEXT($V26,"0.00")&amp;" dmg"&amp;IF($W26="","",", "&amp;TEXT($W26,"0.00")&amp;" kills"))</f>
        <v/>
      </c>
      <c r="Z26" s="28" t="str" cm="1">
        <f t="array" ref="Z26">IF($B26="","",KW(($H26&amp;", "&amp;$AB$3),"Torrent")=TRUE)</f>
        <v/>
      </c>
      <c r="AA26" s="28" t="str" cm="1">
        <f t="array" ref="AA26">IF($B26="","",KW(($H26&amp;", "&amp;$AB$3),"Lethal Hits")=TRUE)</f>
        <v/>
      </c>
      <c r="AB26" s="28" t="str" cm="1">
        <f t="array" ref="AB26">IF($B26="","",N(KW(($H26&amp;", "&amp;$AB$3),"Sustained Hits")))</f>
        <v/>
      </c>
      <c r="AC26" s="28" t="str" cm="1">
        <f t="array" ref="AC26">IF($B26="","",KW(($H26&amp;", "&amp;$AB$3),"Devastating Wounds")=TRUE)</f>
        <v/>
      </c>
      <c r="AD26" s="28" t="str" cm="1">
        <f t="array" ref="AD26">IF($B26="","",KW(($H26&amp;", "&amp;$AB$3),"Twin-Linked")=TRUE)</f>
        <v/>
      </c>
      <c r="AE26" s="28" t="str" cm="1">
        <f t="array" ref="AE26">IF($B26="","",KW(($H26&amp;", "&amp;$AB$3),"Lance")=TRUE)</f>
        <v/>
      </c>
      <c r="AF26" s="28" t="str" cm="1">
        <f t="array" ref="AF26">IF($B26="","",KW(($H26&amp;", "&amp;$AB$3),"Heavy")=TRUE)</f>
        <v/>
      </c>
      <c r="AG26" s="28" t="str" cm="1">
        <f t="array" ref="AG26">IF($B26="","",N(KW(($H26&amp;", "&amp;$AB$3),"Rapid Fire")))</f>
        <v/>
      </c>
      <c r="AH26" s="28" t="str" cm="1">
        <f t="array" ref="AH26">IF($B26="","",N(KW(($H26&amp;", "&amp;$AB$3),"Blast")))</f>
        <v/>
      </c>
      <c r="AI26" s="28" t="str" cm="1">
        <f t="array" ref="AI26">IF($B26="","",N(KW(($H26&amp;", "&amp;$AB$3),"Cleave")))</f>
        <v/>
      </c>
      <c r="AJ26" s="28" t="str" cm="1">
        <f t="array" ref="AJ26">IF($B26="","",N(KW(($H26&amp;", "&amp;$AB$3),"Melta")))</f>
        <v/>
      </c>
      <c r="AK26" s="28" t="str" cm="1">
        <f t="array" ref="AK26">IF($B26="","",KW(($H26&amp;", "&amp;$AB$3),"Ignores Cover")=TRUE)</f>
        <v/>
      </c>
      <c r="AL26" s="28" t="str" cm="1">
        <f t="array" ref="AL26">IF($B26="","",KW(($H26&amp;", "&amp;$AB$3),"Psychic")=TRUE)</f>
        <v/>
      </c>
      <c r="AM26" s="29" t="str" cm="1">
        <f t="array" ref="AM26">IF($B26="","",_xlfn.LET(_xlpm.src,$H26&amp;", "&amp;$AB$3,_xlpm.a,KWANTI(_xlpm.src,($N$6&amp;", "&amp;$AC$3)),_xlpm.c,KWMIN(_xlpm.src,"Critical Wounds"),MIN(_xlpm.a,IF(ISNUMBER(_xlpm.c),MEDIAN(2,6,_xlpm.c),6))))</f>
        <v/>
      </c>
      <c r="AN26" s="29" t="str">
        <f t="shared" si="2"/>
        <v/>
      </c>
      <c r="AO26" s="29" t="str">
        <f t="shared" si="3"/>
        <v/>
      </c>
      <c r="AP26" s="29" t="str">
        <f t="shared" si="4"/>
        <v/>
      </c>
      <c r="AQ26" s="30" t="str">
        <f>IF(OR($B26="",N($J$6)&lt;=0),"",ROUNDUP($J$6/MIN($U26,$J$6),0)/(($Z$3-1)/6))</f>
        <v/>
      </c>
      <c r="AR26" s="30" t="str" cm="1">
        <f t="array" ref="AR26">IF($B26="","",KWSUM(($H26&amp;", "&amp;$AB$3),"Hit Modifier"))</f>
        <v/>
      </c>
      <c r="AS26" s="30" t="str" cm="1">
        <f t="array" ref="AS26">IF($B26="","",KWSUM(($H26&amp;", "&amp;$AB$3),"Wound Modifier"))</f>
        <v/>
      </c>
      <c r="AT26" s="30" t="str" cm="1">
        <f t="array" ref="AT26">IF($B26="","",KWSUM(($H26&amp;", "&amp;$AB$3),"AP Modifier"))</f>
        <v/>
      </c>
      <c r="AU26" s="30" t="str" cm="1">
        <f t="array" ref="AU26">IF($B26="","",KWSUM(($H26&amp;", "&amp;$AB$3),"Damage Modifier"))</f>
        <v/>
      </c>
      <c r="AV26" s="30" t="str" cm="1">
        <f t="array" ref="AV26">IF($B26="","",_xlfn.LET(_xlpm.src,$H26&amp;", "&amp;$AB$3,_xlpm.full,ISNUMBER(_xlfn.XMATCH("Reroll Hits",TRIM(_xlfn.TEXTSPLIT(_xlpm.src,",")))),_xlpm.r,KW(_xlpm.src,"Reroll Hits"),IF(_xlpm.full,2,IF(N(_xlpm.r)&gt;=1,1,0))))</f>
        <v/>
      </c>
      <c r="AW26" s="30" t="str" cm="1">
        <f t="array" ref="AW26">IF($B26="","",_xlfn.LET(_xlpm.src,$H26&amp;", "&amp;$AB$3,_xlpm.full,OR($AD26,ISNUMBER(_xlfn.XMATCH("Reroll Wounds",TRIM(_xlfn.TEXTSPLIT(_xlpm.src,","))))),_xlpm.r,KW(_xlpm.src,"Reroll Wounds"),IF(_xlpm.full,2,IF(N(_xlpm.r)&gt;=1,1,0))))</f>
        <v/>
      </c>
      <c r="AX26" s="30" t="str">
        <f t="shared" si="5"/>
        <v/>
      </c>
      <c r="AY26" s="30" t="str" cm="1">
        <f t="array" ref="AY26">IF($B26="","",KWSUM($H26&amp;", "&amp;$AB$3,"Attacks Modifier"))</f>
        <v/>
      </c>
      <c r="AZ26" s="30" t="str" cm="1">
        <f t="array" ref="AZ26">IF($B26="","",KWSUM($H26&amp;", "&amp;$AB$3,"Strength Modifier"))</f>
        <v/>
      </c>
      <c r="BA26" s="30" t="str" cm="1">
        <f t="array" ref="BA26">IF($B26="","",KWSUM($H26&amp;", "&amp;$AB$3,"WS Modifier"))</f>
        <v/>
      </c>
      <c r="BB26" s="30" t="str" cm="1">
        <f t="array" ref="BB26">IF($B26="","",_xlfn.LET(_xlpm.c,KWMIN($H26&amp;", "&amp;$AB$3,"Critical Hits"),IF(ISNUMBER(_xlpm.c),MEDIAN(2,6,_xlpm.c),6)))</f>
        <v/>
      </c>
      <c r="BC26" s="30" t="str" cm="1">
        <f t="array" ref="BC26">IF($B26="","",KWSUM($H26&amp;", "&amp;$AB$3,"Save Modifier"))</f>
        <v/>
      </c>
    </row>
    <row r="27" spans="1:55" ht="14.55" customHeight="1" x14ac:dyDescent="0.3">
      <c r="A27" s="64" t="b">
        <v>1</v>
      </c>
      <c r="B27" s="55"/>
      <c r="C27" s="38"/>
      <c r="D27" s="38"/>
      <c r="E27" s="38"/>
      <c r="F27" s="38"/>
      <c r="G27" s="38"/>
      <c r="H27" s="1"/>
      <c r="I27" s="9"/>
      <c r="J27" s="34"/>
      <c r="K27" s="34"/>
      <c r="L27" s="34"/>
      <c r="M27" s="34"/>
      <c r="N27" s="11"/>
      <c r="O27" s="37" t="str">
        <f t="shared" si="0"/>
        <v/>
      </c>
      <c r="P27" s="37" t="str">
        <f t="shared" si="1"/>
        <v/>
      </c>
      <c r="Q27" s="37" t="str">
        <f>IF(OR($B27="",NOT($A27)),"",IF(AND($AA27,NOT($Z27)),$O27*$AX27,0))</f>
        <v/>
      </c>
      <c r="R27" s="37" t="str">
        <f>IF(OR($B27="",NOT($A27)),"",_xlfn.LET(_xlpm.n,$P27-$Q27,_xlpm.pW,(7-$AO27)/6,_xlpm.pC,(7-$AM27)/6,_xlpm.pT,MAX(_xlpm.pW,_xlpm.pC),_xlpm.rr,$AW27,_xlpm.n*IF(_xlpm.rr=2,1-(1-_xlpm.pT)^2,IF(_xlpm.rr=1,_xlpm.pT+_xlpm.pT/6,_xlpm.pT))+$Q27))</f>
        <v/>
      </c>
      <c r="S27" s="37" t="str">
        <f>IF(OR($B27="",NOT($A27)),"",IF($AC27,_xlfn.LET(_xlpm.n,$P27-$Q27,_xlpm.pW,(7-$AO27)/6,_xlpm.pC,(7-$AM27)/6,_xlpm.pT,MAX(_xlpm.pW,_xlpm.pC),_xlpm.rr,$AW27,_xlpm.n*IF(_xlpm.rr=2,_xlpm.pC+(1-_xlpm.pT)*_xlpm.pC,IF(_xlpm.rr=1,_xlpm.pC+_xlpm.pC/6,_xlpm.pC))),0))</f>
        <v/>
      </c>
      <c r="T27" s="37" t="str">
        <f>IF(OR($B27="",NOT($A27)),"",($R27-$S27)*($AP27-1)/6)</f>
        <v/>
      </c>
      <c r="U27" s="37" t="str">
        <f>IF(OR($B27="",NOT($A27)),"",MAX(1,IF(LEFT($G27,1)="D",(VALUE(MID($G27,2,99))+1)/2,$G27)+$AJ27*FALSE+$AU27+$AG$3))</f>
        <v/>
      </c>
      <c r="V27" s="37" t="str">
        <f>IF(OR($B27="",NOT($A27)),"",($T27+$S27)*IF(N($J$6)&gt;0,MIN($U27,$J$6),$U27)*($Z$3-1)/6)</f>
        <v/>
      </c>
      <c r="W27" s="37" t="str">
        <f>IF(OR($B27="",NOT($A27),$AQ27=""),"",MIN($E$3,($T27+$S27)/$AQ27))</f>
        <v/>
      </c>
      <c r="X27" s="56" t="str">
        <f>IF(OR($B27="",NOT($A27)),"",TEXT($V27,"0.00")&amp;" dmg"&amp;IF($W27="","",", "&amp;TEXT($W27,"0.00")&amp;" kills"))</f>
        <v/>
      </c>
      <c r="Z27" s="28" t="str" cm="1">
        <f t="array" ref="Z27">IF($B27="","",KW(($H27&amp;", "&amp;$AB$3),"Torrent")=TRUE)</f>
        <v/>
      </c>
      <c r="AA27" s="28" t="str" cm="1">
        <f t="array" ref="AA27">IF($B27="","",KW(($H27&amp;", "&amp;$AB$3),"Lethal Hits")=TRUE)</f>
        <v/>
      </c>
      <c r="AB27" s="28" t="str" cm="1">
        <f t="array" ref="AB27">IF($B27="","",N(KW(($H27&amp;", "&amp;$AB$3),"Sustained Hits")))</f>
        <v/>
      </c>
      <c r="AC27" s="28" t="str" cm="1">
        <f t="array" ref="AC27">IF($B27="","",KW(($H27&amp;", "&amp;$AB$3),"Devastating Wounds")=TRUE)</f>
        <v/>
      </c>
      <c r="AD27" s="28" t="str" cm="1">
        <f t="array" ref="AD27">IF($B27="","",KW(($H27&amp;", "&amp;$AB$3),"Twin-Linked")=TRUE)</f>
        <v/>
      </c>
      <c r="AE27" s="28" t="str" cm="1">
        <f t="array" ref="AE27">IF($B27="","",KW(($H27&amp;", "&amp;$AB$3),"Lance")=TRUE)</f>
        <v/>
      </c>
      <c r="AF27" s="28" t="str" cm="1">
        <f t="array" ref="AF27">IF($B27="","",KW(($H27&amp;", "&amp;$AB$3),"Heavy")=TRUE)</f>
        <v/>
      </c>
      <c r="AG27" s="28" t="str" cm="1">
        <f t="array" ref="AG27">IF($B27="","",N(KW(($H27&amp;", "&amp;$AB$3),"Rapid Fire")))</f>
        <v/>
      </c>
      <c r="AH27" s="28" t="str" cm="1">
        <f t="array" ref="AH27">IF($B27="","",N(KW(($H27&amp;", "&amp;$AB$3),"Blast")))</f>
        <v/>
      </c>
      <c r="AI27" s="28" t="str" cm="1">
        <f t="array" ref="AI27">IF($B27="","",N(KW(($H27&amp;", "&amp;$AB$3),"Cleave")))</f>
        <v/>
      </c>
      <c r="AJ27" s="28" t="str" cm="1">
        <f t="array" ref="AJ27">IF($B27="","",N(KW(($H27&amp;", "&amp;$AB$3),"Melta")))</f>
        <v/>
      </c>
      <c r="AK27" s="28" t="str" cm="1">
        <f t="array" ref="AK27">IF($B27="","",KW(($H27&amp;", "&amp;$AB$3),"Ignores Cover")=TRUE)</f>
        <v/>
      </c>
      <c r="AL27" s="28" t="str" cm="1">
        <f t="array" ref="AL27">IF($B27="","",KW(($H27&amp;", "&amp;$AB$3),"Psychic")=TRUE)</f>
        <v/>
      </c>
      <c r="AM27" s="29" t="str" cm="1">
        <f t="array" ref="AM27">IF($B27="","",_xlfn.LET(_xlpm.src,$H27&amp;", "&amp;$AB$3,_xlpm.a,KWANTI(_xlpm.src,($N$6&amp;", "&amp;$AC$3)),_xlpm.c,KWMIN(_xlpm.src,"Critical Wounds"),MIN(_xlpm.a,IF(ISNUMBER(_xlpm.c),MEDIAN(2,6,_xlpm.c),6))))</f>
        <v/>
      </c>
      <c r="AN27" s="29" t="str">
        <f t="shared" si="2"/>
        <v/>
      </c>
      <c r="AO27" s="29" t="str">
        <f t="shared" si="3"/>
        <v/>
      </c>
      <c r="AP27" s="29" t="str">
        <f t="shared" si="4"/>
        <v/>
      </c>
      <c r="AQ27" s="30" t="str">
        <f>IF(OR($B27="",N($J$6)&lt;=0),"",ROUNDUP($J$6/MIN($U27,$J$6),0)/(($Z$3-1)/6))</f>
        <v/>
      </c>
      <c r="AR27" s="30" t="str" cm="1">
        <f t="array" ref="AR27">IF($B27="","",KWSUM(($H27&amp;", "&amp;$AB$3),"Hit Modifier"))</f>
        <v/>
      </c>
      <c r="AS27" s="30" t="str" cm="1">
        <f t="array" ref="AS27">IF($B27="","",KWSUM(($H27&amp;", "&amp;$AB$3),"Wound Modifier"))</f>
        <v/>
      </c>
      <c r="AT27" s="30" t="str" cm="1">
        <f t="array" ref="AT27">IF($B27="","",KWSUM(($H27&amp;", "&amp;$AB$3),"AP Modifier"))</f>
        <v/>
      </c>
      <c r="AU27" s="30" t="str" cm="1">
        <f t="array" ref="AU27">IF($B27="","",KWSUM(($H27&amp;", "&amp;$AB$3),"Damage Modifier"))</f>
        <v/>
      </c>
      <c r="AV27" s="30" t="str" cm="1">
        <f t="array" ref="AV27">IF($B27="","",_xlfn.LET(_xlpm.src,$H27&amp;", "&amp;$AB$3,_xlpm.full,ISNUMBER(_xlfn.XMATCH("Reroll Hits",TRIM(_xlfn.TEXTSPLIT(_xlpm.src,",")))),_xlpm.r,KW(_xlpm.src,"Reroll Hits"),IF(_xlpm.full,2,IF(N(_xlpm.r)&gt;=1,1,0))))</f>
        <v/>
      </c>
      <c r="AW27" s="30" t="str" cm="1">
        <f t="array" ref="AW27">IF($B27="","",_xlfn.LET(_xlpm.src,$H27&amp;", "&amp;$AB$3,_xlpm.full,OR($AD27,ISNUMBER(_xlfn.XMATCH("Reroll Wounds",TRIM(_xlfn.TEXTSPLIT(_xlpm.src,","))))),_xlpm.r,KW(_xlpm.src,"Reroll Wounds"),IF(_xlpm.full,2,IF(N(_xlpm.r)&gt;=1,1,0))))</f>
        <v/>
      </c>
      <c r="AX27" s="30" t="str">
        <f t="shared" si="5"/>
        <v/>
      </c>
      <c r="AY27" s="30" t="str" cm="1">
        <f t="array" ref="AY27">IF($B27="","",KWSUM($H27&amp;", "&amp;$AB$3,"Attacks Modifier"))</f>
        <v/>
      </c>
      <c r="AZ27" s="30" t="str" cm="1">
        <f t="array" ref="AZ27">IF($B27="","",KWSUM($H27&amp;", "&amp;$AB$3,"Strength Modifier"))</f>
        <v/>
      </c>
      <c r="BA27" s="30" t="str" cm="1">
        <f t="array" ref="BA27">IF($B27="","",KWSUM($H27&amp;", "&amp;$AB$3,"WS Modifier"))</f>
        <v/>
      </c>
      <c r="BB27" s="30" t="str" cm="1">
        <f t="array" ref="BB27">IF($B27="","",_xlfn.LET(_xlpm.c,KWMIN($H27&amp;", "&amp;$AB$3,"Critical Hits"),IF(ISNUMBER(_xlpm.c),MEDIAN(2,6,_xlpm.c),6)))</f>
        <v/>
      </c>
      <c r="BC27" s="30" t="str" cm="1">
        <f t="array" ref="BC27">IF($B27="","",KWSUM($H27&amp;", "&amp;$AB$3,"Save Modifier"))</f>
        <v/>
      </c>
    </row>
    <row r="28" spans="1:55" ht="14.55" customHeight="1" x14ac:dyDescent="0.3">
      <c r="A28" s="64" t="b">
        <v>1</v>
      </c>
      <c r="B28" s="55"/>
      <c r="C28" s="38"/>
      <c r="D28" s="38"/>
      <c r="E28" s="38"/>
      <c r="F28" s="38"/>
      <c r="G28" s="38"/>
      <c r="H28" s="1"/>
      <c r="I28" s="9"/>
      <c r="J28" s="34"/>
      <c r="K28" s="34"/>
      <c r="L28" s="34"/>
      <c r="M28" s="34"/>
      <c r="N28" s="11"/>
      <c r="O28" s="37" t="str">
        <f t="shared" si="0"/>
        <v/>
      </c>
      <c r="P28" s="37" t="str">
        <f t="shared" si="1"/>
        <v/>
      </c>
      <c r="Q28" s="37" t="str">
        <f>IF(OR($B28="",NOT($A28)),"",IF(AND($AA28,NOT($Z28)),$O28*$AX28,0))</f>
        <v/>
      </c>
      <c r="R28" s="37" t="str">
        <f>IF(OR($B28="",NOT($A28)),"",_xlfn.LET(_xlpm.n,$P28-$Q28,_xlpm.pW,(7-$AO28)/6,_xlpm.pC,(7-$AM28)/6,_xlpm.pT,MAX(_xlpm.pW,_xlpm.pC),_xlpm.rr,$AW28,_xlpm.n*IF(_xlpm.rr=2,1-(1-_xlpm.pT)^2,IF(_xlpm.rr=1,_xlpm.pT+_xlpm.pT/6,_xlpm.pT))+$Q28))</f>
        <v/>
      </c>
      <c r="S28" s="37" t="str">
        <f>IF(OR($B28="",NOT($A28)),"",IF($AC28,_xlfn.LET(_xlpm.n,$P28-$Q28,_xlpm.pW,(7-$AO28)/6,_xlpm.pC,(7-$AM28)/6,_xlpm.pT,MAX(_xlpm.pW,_xlpm.pC),_xlpm.rr,$AW28,_xlpm.n*IF(_xlpm.rr=2,_xlpm.pC+(1-_xlpm.pT)*_xlpm.pC,IF(_xlpm.rr=1,_xlpm.pC+_xlpm.pC/6,_xlpm.pC))),0))</f>
        <v/>
      </c>
      <c r="T28" s="37" t="str">
        <f>IF(OR($B28="",NOT($A28)),"",($R28-$S28)*($AP28-1)/6)</f>
        <v/>
      </c>
      <c r="U28" s="37" t="str">
        <f>IF(OR($B28="",NOT($A28)),"",MAX(1,IF(LEFT($G28,1)="D",(VALUE(MID($G28,2,99))+1)/2,$G28)+$AJ28*FALSE+$AU28+$AG$3))</f>
        <v/>
      </c>
      <c r="V28" s="37" t="str">
        <f>IF(OR($B28="",NOT($A28)),"",($T28+$S28)*IF(N($J$6)&gt;0,MIN($U28,$J$6),$U28)*($Z$3-1)/6)</f>
        <v/>
      </c>
      <c r="W28" s="37" t="str">
        <f>IF(OR($B28="",NOT($A28),$AQ28=""),"",MIN($E$3,($T28+$S28)/$AQ28))</f>
        <v/>
      </c>
      <c r="X28" s="56" t="str">
        <f>IF(OR($B28="",NOT($A28)),"",TEXT($V28,"0.00")&amp;" dmg"&amp;IF($W28="","",", "&amp;TEXT($W28,"0.00")&amp;" kills"))</f>
        <v/>
      </c>
      <c r="Z28" s="28" t="str" cm="1">
        <f t="array" ref="Z28">IF($B28="","",KW(($H28&amp;", "&amp;$AB$3),"Torrent")=TRUE)</f>
        <v/>
      </c>
      <c r="AA28" s="28" t="str" cm="1">
        <f t="array" ref="AA28">IF($B28="","",KW(($H28&amp;", "&amp;$AB$3),"Lethal Hits")=TRUE)</f>
        <v/>
      </c>
      <c r="AB28" s="28" t="str" cm="1">
        <f t="array" ref="AB28">IF($B28="","",N(KW(($H28&amp;", "&amp;$AB$3),"Sustained Hits")))</f>
        <v/>
      </c>
      <c r="AC28" s="28" t="str" cm="1">
        <f t="array" ref="AC28">IF($B28="","",KW(($H28&amp;", "&amp;$AB$3),"Devastating Wounds")=TRUE)</f>
        <v/>
      </c>
      <c r="AD28" s="28" t="str" cm="1">
        <f t="array" ref="AD28">IF($B28="","",KW(($H28&amp;", "&amp;$AB$3),"Twin-Linked")=TRUE)</f>
        <v/>
      </c>
      <c r="AE28" s="28" t="str" cm="1">
        <f t="array" ref="AE28">IF($B28="","",KW(($H28&amp;", "&amp;$AB$3),"Lance")=TRUE)</f>
        <v/>
      </c>
      <c r="AF28" s="28" t="str" cm="1">
        <f t="array" ref="AF28">IF($B28="","",KW(($H28&amp;", "&amp;$AB$3),"Heavy")=TRUE)</f>
        <v/>
      </c>
      <c r="AG28" s="28" t="str" cm="1">
        <f t="array" ref="AG28">IF($B28="","",N(KW(($H28&amp;", "&amp;$AB$3),"Rapid Fire")))</f>
        <v/>
      </c>
      <c r="AH28" s="28" t="str" cm="1">
        <f t="array" ref="AH28">IF($B28="","",N(KW(($H28&amp;", "&amp;$AB$3),"Blast")))</f>
        <v/>
      </c>
      <c r="AI28" s="28" t="str" cm="1">
        <f t="array" ref="AI28">IF($B28="","",N(KW(($H28&amp;", "&amp;$AB$3),"Cleave")))</f>
        <v/>
      </c>
      <c r="AJ28" s="28" t="str" cm="1">
        <f t="array" ref="AJ28">IF($B28="","",N(KW(($H28&amp;", "&amp;$AB$3),"Melta")))</f>
        <v/>
      </c>
      <c r="AK28" s="28" t="str" cm="1">
        <f t="array" ref="AK28">IF($B28="","",KW(($H28&amp;", "&amp;$AB$3),"Ignores Cover")=TRUE)</f>
        <v/>
      </c>
      <c r="AL28" s="28" t="str" cm="1">
        <f t="array" ref="AL28">IF($B28="","",KW(($H28&amp;", "&amp;$AB$3),"Psychic")=TRUE)</f>
        <v/>
      </c>
      <c r="AM28" s="29" t="str" cm="1">
        <f t="array" ref="AM28">IF($B28="","",_xlfn.LET(_xlpm.src,$H28&amp;", "&amp;$AB$3,_xlpm.a,KWANTI(_xlpm.src,($N$6&amp;", "&amp;$AC$3)),_xlpm.c,KWMIN(_xlpm.src,"Critical Wounds"),MIN(_xlpm.a,IF(ISNUMBER(_xlpm.c),MEDIAN(2,6,_xlpm.c),6))))</f>
        <v/>
      </c>
      <c r="AN28" s="29" t="str">
        <f t="shared" si="2"/>
        <v/>
      </c>
      <c r="AO28" s="29" t="str">
        <f t="shared" si="3"/>
        <v/>
      </c>
      <c r="AP28" s="29" t="str">
        <f t="shared" si="4"/>
        <v/>
      </c>
      <c r="AQ28" s="30" t="str">
        <f>IF(OR($B28="",N($J$6)&lt;=0),"",ROUNDUP($J$6/MIN($U28,$J$6),0)/(($Z$3-1)/6))</f>
        <v/>
      </c>
      <c r="AR28" s="30" t="str" cm="1">
        <f t="array" ref="AR28">IF($B28="","",KWSUM(($H28&amp;", "&amp;$AB$3),"Hit Modifier"))</f>
        <v/>
      </c>
      <c r="AS28" s="30" t="str" cm="1">
        <f t="array" ref="AS28">IF($B28="","",KWSUM(($H28&amp;", "&amp;$AB$3),"Wound Modifier"))</f>
        <v/>
      </c>
      <c r="AT28" s="30" t="str" cm="1">
        <f t="array" ref="AT28">IF($B28="","",KWSUM(($H28&amp;", "&amp;$AB$3),"AP Modifier"))</f>
        <v/>
      </c>
      <c r="AU28" s="30" t="str" cm="1">
        <f t="array" ref="AU28">IF($B28="","",KWSUM(($H28&amp;", "&amp;$AB$3),"Damage Modifier"))</f>
        <v/>
      </c>
      <c r="AV28" s="30" t="str" cm="1">
        <f t="array" ref="AV28">IF($B28="","",_xlfn.LET(_xlpm.src,$H28&amp;", "&amp;$AB$3,_xlpm.full,ISNUMBER(_xlfn.XMATCH("Reroll Hits",TRIM(_xlfn.TEXTSPLIT(_xlpm.src,",")))),_xlpm.r,KW(_xlpm.src,"Reroll Hits"),IF(_xlpm.full,2,IF(N(_xlpm.r)&gt;=1,1,0))))</f>
        <v/>
      </c>
      <c r="AW28" s="30" t="str" cm="1">
        <f t="array" ref="AW28">IF($B28="","",_xlfn.LET(_xlpm.src,$H28&amp;", "&amp;$AB$3,_xlpm.full,OR($AD28,ISNUMBER(_xlfn.XMATCH("Reroll Wounds",TRIM(_xlfn.TEXTSPLIT(_xlpm.src,","))))),_xlpm.r,KW(_xlpm.src,"Reroll Wounds"),IF(_xlpm.full,2,IF(N(_xlpm.r)&gt;=1,1,0))))</f>
        <v/>
      </c>
      <c r="AX28" s="30" t="str">
        <f t="shared" si="5"/>
        <v/>
      </c>
      <c r="AY28" s="30" t="str" cm="1">
        <f t="array" ref="AY28">IF($B28="","",KWSUM($H28&amp;", "&amp;$AB$3,"Attacks Modifier"))</f>
        <v/>
      </c>
      <c r="AZ28" s="30" t="str" cm="1">
        <f t="array" ref="AZ28">IF($B28="","",KWSUM($H28&amp;", "&amp;$AB$3,"Strength Modifier"))</f>
        <v/>
      </c>
      <c r="BA28" s="30" t="str" cm="1">
        <f t="array" ref="BA28">IF($B28="","",KWSUM($H28&amp;", "&amp;$AB$3,"WS Modifier"))</f>
        <v/>
      </c>
      <c r="BB28" s="30" t="str" cm="1">
        <f t="array" ref="BB28">IF($B28="","",_xlfn.LET(_xlpm.c,KWMIN($H28&amp;", "&amp;$AB$3,"Critical Hits"),IF(ISNUMBER(_xlpm.c),MEDIAN(2,6,_xlpm.c),6)))</f>
        <v/>
      </c>
      <c r="BC28" s="30" t="str" cm="1">
        <f t="array" ref="BC28">IF($B28="","",KWSUM($H28&amp;", "&amp;$AB$3,"Save Modifier"))</f>
        <v/>
      </c>
    </row>
    <row r="29" spans="1:55" ht="14.55" customHeight="1" x14ac:dyDescent="0.3">
      <c r="A29" s="64" t="b">
        <v>1</v>
      </c>
      <c r="B29" s="55"/>
      <c r="C29" s="38"/>
      <c r="D29" s="38"/>
      <c r="E29" s="38"/>
      <c r="F29" s="38"/>
      <c r="G29" s="38"/>
      <c r="H29" s="1"/>
      <c r="I29" s="9"/>
      <c r="J29" s="34"/>
      <c r="K29" s="34"/>
      <c r="L29" s="34"/>
      <c r="M29" s="34"/>
      <c r="N29" s="11"/>
      <c r="O29" s="37" t="str">
        <f t="shared" si="0"/>
        <v/>
      </c>
      <c r="P29" s="37" t="str">
        <f t="shared" si="1"/>
        <v/>
      </c>
      <c r="Q29" s="37" t="str">
        <f>IF(OR($B29="",NOT($A29)),"",IF(AND($AA29,NOT($Z29)),$O29*$AX29,0))</f>
        <v/>
      </c>
      <c r="R29" s="37" t="str">
        <f>IF(OR($B29="",NOT($A29)),"",_xlfn.LET(_xlpm.n,$P29-$Q29,_xlpm.pW,(7-$AO29)/6,_xlpm.pC,(7-$AM29)/6,_xlpm.pT,MAX(_xlpm.pW,_xlpm.pC),_xlpm.rr,$AW29,_xlpm.n*IF(_xlpm.rr=2,1-(1-_xlpm.pT)^2,IF(_xlpm.rr=1,_xlpm.pT+_xlpm.pT/6,_xlpm.pT))+$Q29))</f>
        <v/>
      </c>
      <c r="S29" s="37" t="str">
        <f>IF(OR($B29="",NOT($A29)),"",IF($AC29,_xlfn.LET(_xlpm.n,$P29-$Q29,_xlpm.pW,(7-$AO29)/6,_xlpm.pC,(7-$AM29)/6,_xlpm.pT,MAX(_xlpm.pW,_xlpm.pC),_xlpm.rr,$AW29,_xlpm.n*IF(_xlpm.rr=2,_xlpm.pC+(1-_xlpm.pT)*_xlpm.pC,IF(_xlpm.rr=1,_xlpm.pC+_xlpm.pC/6,_xlpm.pC))),0))</f>
        <v/>
      </c>
      <c r="T29" s="37" t="str">
        <f>IF(OR($B29="",NOT($A29)),"",($R29-$S29)*($AP29-1)/6)</f>
        <v/>
      </c>
      <c r="U29" s="37" t="str">
        <f>IF(OR($B29="",NOT($A29)),"",MAX(1,IF(LEFT($G29,1)="D",(VALUE(MID($G29,2,99))+1)/2,$G29)+$AJ29*FALSE+$AU29+$AG$3))</f>
        <v/>
      </c>
      <c r="V29" s="37" t="str">
        <f>IF(OR($B29="",NOT($A29)),"",($T29+$S29)*IF(N($J$6)&gt;0,MIN($U29,$J$6),$U29)*($Z$3-1)/6)</f>
        <v/>
      </c>
      <c r="W29" s="37" t="str">
        <f>IF(OR($B29="",NOT($A29),$AQ29=""),"",MIN($E$3,($T29+$S29)/$AQ29))</f>
        <v/>
      </c>
      <c r="X29" s="56" t="str">
        <f>IF(OR($B29="",NOT($A29)),"",TEXT($V29,"0.00")&amp;" dmg"&amp;IF($W29="","",", "&amp;TEXT($W29,"0.00")&amp;" kills"))</f>
        <v/>
      </c>
      <c r="Z29" s="28" t="str" cm="1">
        <f t="array" ref="Z29">IF($B29="","",KW(($H29&amp;", "&amp;$AB$3),"Torrent")=TRUE)</f>
        <v/>
      </c>
      <c r="AA29" s="28" t="str" cm="1">
        <f t="array" ref="AA29">IF($B29="","",KW(($H29&amp;", "&amp;$AB$3),"Lethal Hits")=TRUE)</f>
        <v/>
      </c>
      <c r="AB29" s="28" t="str" cm="1">
        <f t="array" ref="AB29">IF($B29="","",N(KW(($H29&amp;", "&amp;$AB$3),"Sustained Hits")))</f>
        <v/>
      </c>
      <c r="AC29" s="28" t="str" cm="1">
        <f t="array" ref="AC29">IF($B29="","",KW(($H29&amp;", "&amp;$AB$3),"Devastating Wounds")=TRUE)</f>
        <v/>
      </c>
      <c r="AD29" s="28" t="str" cm="1">
        <f t="array" ref="AD29">IF($B29="","",KW(($H29&amp;", "&amp;$AB$3),"Twin-Linked")=TRUE)</f>
        <v/>
      </c>
      <c r="AE29" s="28" t="str" cm="1">
        <f t="array" ref="AE29">IF($B29="","",KW(($H29&amp;", "&amp;$AB$3),"Lance")=TRUE)</f>
        <v/>
      </c>
      <c r="AF29" s="28" t="str" cm="1">
        <f t="array" ref="AF29">IF($B29="","",KW(($H29&amp;", "&amp;$AB$3),"Heavy")=TRUE)</f>
        <v/>
      </c>
      <c r="AG29" s="28" t="str" cm="1">
        <f t="array" ref="AG29">IF($B29="","",N(KW(($H29&amp;", "&amp;$AB$3),"Rapid Fire")))</f>
        <v/>
      </c>
      <c r="AH29" s="28" t="str" cm="1">
        <f t="array" ref="AH29">IF($B29="","",N(KW(($H29&amp;", "&amp;$AB$3),"Blast")))</f>
        <v/>
      </c>
      <c r="AI29" s="28" t="str" cm="1">
        <f t="array" ref="AI29">IF($B29="","",N(KW(($H29&amp;", "&amp;$AB$3),"Cleave")))</f>
        <v/>
      </c>
      <c r="AJ29" s="28" t="str" cm="1">
        <f t="array" ref="AJ29">IF($B29="","",N(KW(($H29&amp;", "&amp;$AB$3),"Melta")))</f>
        <v/>
      </c>
      <c r="AK29" s="28" t="str" cm="1">
        <f t="array" ref="AK29">IF($B29="","",KW(($H29&amp;", "&amp;$AB$3),"Ignores Cover")=TRUE)</f>
        <v/>
      </c>
      <c r="AL29" s="28" t="str" cm="1">
        <f t="array" ref="AL29">IF($B29="","",KW(($H29&amp;", "&amp;$AB$3),"Psychic")=TRUE)</f>
        <v/>
      </c>
      <c r="AM29" s="29" t="str" cm="1">
        <f t="array" ref="AM29">IF($B29="","",_xlfn.LET(_xlpm.src,$H29&amp;", "&amp;$AB$3,_xlpm.a,KWANTI(_xlpm.src,($N$6&amp;", "&amp;$AC$3)),_xlpm.c,KWMIN(_xlpm.src,"Critical Wounds"),MIN(_xlpm.a,IF(ISNUMBER(_xlpm.c),MEDIAN(2,6,_xlpm.c),6))))</f>
        <v/>
      </c>
      <c r="AN29" s="29" t="str">
        <f t="shared" si="2"/>
        <v/>
      </c>
      <c r="AO29" s="29" t="str">
        <f t="shared" si="3"/>
        <v/>
      </c>
      <c r="AP29" s="29" t="str">
        <f t="shared" si="4"/>
        <v/>
      </c>
      <c r="AQ29" s="30" t="str">
        <f>IF(OR($B29="",N($J$6)&lt;=0),"",ROUNDUP($J$6/MIN($U29,$J$6),0)/(($Z$3-1)/6))</f>
        <v/>
      </c>
      <c r="AR29" s="30" t="str" cm="1">
        <f t="array" ref="AR29">IF($B29="","",KWSUM(($H29&amp;", "&amp;$AB$3),"Hit Modifier"))</f>
        <v/>
      </c>
      <c r="AS29" s="30" t="str" cm="1">
        <f t="array" ref="AS29">IF($B29="","",KWSUM(($H29&amp;", "&amp;$AB$3),"Wound Modifier"))</f>
        <v/>
      </c>
      <c r="AT29" s="30" t="str" cm="1">
        <f t="array" ref="AT29">IF($B29="","",KWSUM(($H29&amp;", "&amp;$AB$3),"AP Modifier"))</f>
        <v/>
      </c>
      <c r="AU29" s="30" t="str" cm="1">
        <f t="array" ref="AU29">IF($B29="","",KWSUM(($H29&amp;", "&amp;$AB$3),"Damage Modifier"))</f>
        <v/>
      </c>
      <c r="AV29" s="30" t="str" cm="1">
        <f t="array" ref="AV29">IF($B29="","",_xlfn.LET(_xlpm.src,$H29&amp;", "&amp;$AB$3,_xlpm.full,ISNUMBER(_xlfn.XMATCH("Reroll Hits",TRIM(_xlfn.TEXTSPLIT(_xlpm.src,",")))),_xlpm.r,KW(_xlpm.src,"Reroll Hits"),IF(_xlpm.full,2,IF(N(_xlpm.r)&gt;=1,1,0))))</f>
        <v/>
      </c>
      <c r="AW29" s="30" t="str" cm="1">
        <f t="array" ref="AW29">IF($B29="","",_xlfn.LET(_xlpm.src,$H29&amp;", "&amp;$AB$3,_xlpm.full,OR($AD29,ISNUMBER(_xlfn.XMATCH("Reroll Wounds",TRIM(_xlfn.TEXTSPLIT(_xlpm.src,","))))),_xlpm.r,KW(_xlpm.src,"Reroll Wounds"),IF(_xlpm.full,2,IF(N(_xlpm.r)&gt;=1,1,0))))</f>
        <v/>
      </c>
      <c r="AX29" s="30" t="str">
        <f t="shared" si="5"/>
        <v/>
      </c>
      <c r="AY29" s="30" t="str" cm="1">
        <f t="array" ref="AY29">IF($B29="","",KWSUM($H29&amp;", "&amp;$AB$3,"Attacks Modifier"))</f>
        <v/>
      </c>
      <c r="AZ29" s="30" t="str" cm="1">
        <f t="array" ref="AZ29">IF($B29="","",KWSUM($H29&amp;", "&amp;$AB$3,"Strength Modifier"))</f>
        <v/>
      </c>
      <c r="BA29" s="30" t="str" cm="1">
        <f t="array" ref="BA29">IF($B29="","",KWSUM($H29&amp;", "&amp;$AB$3,"WS Modifier"))</f>
        <v/>
      </c>
      <c r="BB29" s="30" t="str" cm="1">
        <f t="array" ref="BB29">IF($B29="","",_xlfn.LET(_xlpm.c,KWMIN($H29&amp;", "&amp;$AB$3,"Critical Hits"),IF(ISNUMBER(_xlpm.c),MEDIAN(2,6,_xlpm.c),6)))</f>
        <v/>
      </c>
      <c r="BC29" s="30" t="str" cm="1">
        <f t="array" ref="BC29">IF($B29="","",KWSUM($H29&amp;", "&amp;$AB$3,"Save Modifier"))</f>
        <v/>
      </c>
    </row>
    <row r="30" spans="1:55" ht="15" customHeight="1" x14ac:dyDescent="0.3">
      <c r="A30" s="64" t="b">
        <v>1</v>
      </c>
      <c r="B30" s="57"/>
      <c r="C30" s="58"/>
      <c r="D30" s="58"/>
      <c r="E30" s="58"/>
      <c r="F30" s="58"/>
      <c r="G30" s="58"/>
      <c r="H30" s="59"/>
      <c r="I30" s="39"/>
      <c r="J30" s="40"/>
      <c r="K30" s="40"/>
      <c r="L30" s="40"/>
      <c r="M30" s="40"/>
      <c r="N30" s="41"/>
      <c r="O30" s="60" t="str">
        <f t="shared" si="0"/>
        <v/>
      </c>
      <c r="P30" s="60" t="str">
        <f t="shared" si="1"/>
        <v/>
      </c>
      <c r="Q30" s="60" t="str">
        <f>IF(OR($B30="",NOT($A30)),"",IF(AND($AA30,NOT($Z30)),$O30*$AX30,0))</f>
        <v/>
      </c>
      <c r="R30" s="60" t="str">
        <f>IF(OR($B30="",NOT($A30)),"",_xlfn.LET(_xlpm.n,$P30-$Q30,_xlpm.pW,(7-$AO30)/6,_xlpm.pC,(7-$AM30)/6,_xlpm.pT,MAX(_xlpm.pW,_xlpm.pC),_xlpm.rr,$AW30,_xlpm.n*IF(_xlpm.rr=2,1-(1-_xlpm.pT)^2,IF(_xlpm.rr=1,_xlpm.pT+_xlpm.pT/6,_xlpm.pT))+$Q30))</f>
        <v/>
      </c>
      <c r="S30" s="60" t="str">
        <f>IF(OR($B30="",NOT($A30)),"",IF($AC30,_xlfn.LET(_xlpm.n,$P30-$Q30,_xlpm.pW,(7-$AO30)/6,_xlpm.pC,(7-$AM30)/6,_xlpm.pT,MAX(_xlpm.pW,_xlpm.pC),_xlpm.rr,$AW30,_xlpm.n*IF(_xlpm.rr=2,_xlpm.pC+(1-_xlpm.pT)*_xlpm.pC,IF(_xlpm.rr=1,_xlpm.pC+_xlpm.pC/6,_xlpm.pC))),0))</f>
        <v/>
      </c>
      <c r="T30" s="60" t="str">
        <f>IF(OR($B30="",NOT($A30)),"",($R30-$S30)*($AP30-1)/6)</f>
        <v/>
      </c>
      <c r="U30" s="60" t="str">
        <f>IF(OR($B30="",NOT($A30)),"",MAX(1,IF(LEFT($G30,1)="D",(VALUE(MID($G30,2,99))+1)/2,$G30)+$AJ30*FALSE+$AU30+$AG$3))</f>
        <v/>
      </c>
      <c r="V30" s="60" t="str">
        <f>IF(OR($B30="",NOT($A30)),"",($T30+$S30)*IF(N($J$6)&gt;0,MIN($U30,$J$6),$U30)*($Z$3-1)/6)</f>
        <v/>
      </c>
      <c r="W30" s="60" t="str">
        <f>IF(OR($B30="",NOT($A30),$AQ30=""),"",MIN($E$3,($T30+$S30)/$AQ30))</f>
        <v/>
      </c>
      <c r="X30" s="61" t="str">
        <f>IF(OR($B30="",NOT($A30)),"",TEXT($V30,"0.00")&amp;" dmg"&amp;IF($W30="","",", "&amp;TEXT($W30,"0.00")&amp;" kills"))</f>
        <v/>
      </c>
      <c r="Z30" s="28" t="str" cm="1">
        <f t="array" ref="Z30">IF($B30="","",KW(($H30&amp;", "&amp;$AB$3),"Torrent")=TRUE)</f>
        <v/>
      </c>
      <c r="AA30" s="28" t="str" cm="1">
        <f t="array" ref="AA30">IF($B30="","",KW(($H30&amp;", "&amp;$AB$3),"Lethal Hits")=TRUE)</f>
        <v/>
      </c>
      <c r="AB30" s="28" t="str" cm="1">
        <f t="array" ref="AB30">IF($B30="","",N(KW(($H30&amp;", "&amp;$AB$3),"Sustained Hits")))</f>
        <v/>
      </c>
      <c r="AC30" s="28" t="str" cm="1">
        <f t="array" ref="AC30">IF($B30="","",KW(($H30&amp;", "&amp;$AB$3),"Devastating Wounds")=TRUE)</f>
        <v/>
      </c>
      <c r="AD30" s="28" t="str" cm="1">
        <f t="array" ref="AD30">IF($B30="","",KW(($H30&amp;", "&amp;$AB$3),"Twin-Linked")=TRUE)</f>
        <v/>
      </c>
      <c r="AE30" s="28" t="str" cm="1">
        <f t="array" ref="AE30">IF($B30="","",KW(($H30&amp;", "&amp;$AB$3),"Lance")=TRUE)</f>
        <v/>
      </c>
      <c r="AF30" s="28" t="str" cm="1">
        <f t="array" ref="AF30">IF($B30="","",KW(($H30&amp;", "&amp;$AB$3),"Heavy")=TRUE)</f>
        <v/>
      </c>
      <c r="AG30" s="28" t="str" cm="1">
        <f t="array" ref="AG30">IF($B30="","",N(KW(($H30&amp;", "&amp;$AB$3),"Rapid Fire")))</f>
        <v/>
      </c>
      <c r="AH30" s="28" t="str" cm="1">
        <f t="array" ref="AH30">IF($B30="","",N(KW(($H30&amp;", "&amp;$AB$3),"Blast")))</f>
        <v/>
      </c>
      <c r="AI30" s="28" t="str" cm="1">
        <f t="array" ref="AI30">IF($B30="","",N(KW(($H30&amp;", "&amp;$AB$3),"Cleave")))</f>
        <v/>
      </c>
      <c r="AJ30" s="28" t="str" cm="1">
        <f t="array" ref="AJ30">IF($B30="","",N(KW(($H30&amp;", "&amp;$AB$3),"Melta")))</f>
        <v/>
      </c>
      <c r="AK30" s="28" t="str" cm="1">
        <f t="array" ref="AK30">IF($B30="","",KW(($H30&amp;", "&amp;$AB$3),"Ignores Cover")=TRUE)</f>
        <v/>
      </c>
      <c r="AL30" s="28" t="str" cm="1">
        <f t="array" ref="AL30">IF($B30="","",KW(($H30&amp;", "&amp;$AB$3),"Psychic")=TRUE)</f>
        <v/>
      </c>
      <c r="AM30" s="29" t="str" cm="1">
        <f t="array" ref="AM30">IF($B30="","",_xlfn.LET(_xlpm.src,$H30&amp;", "&amp;$AB$3,_xlpm.a,KWANTI(_xlpm.src,($N$6&amp;", "&amp;$AC$3)),_xlpm.c,KWMIN(_xlpm.src,"Critical Wounds"),MIN(_xlpm.a,IF(ISNUMBER(_xlpm.c),MEDIAN(2,6,_xlpm.c),6))))</f>
        <v/>
      </c>
      <c r="AN30" s="29" t="str">
        <f t="shared" si="2"/>
        <v/>
      </c>
      <c r="AO30" s="29" t="str">
        <f t="shared" si="3"/>
        <v/>
      </c>
      <c r="AP30" s="29" t="str">
        <f t="shared" si="4"/>
        <v/>
      </c>
      <c r="AQ30" s="30" t="str">
        <f>IF(OR($B30="",N($J$6)&lt;=0),"",ROUNDUP($J$6/MIN($U30,$J$6),0)/(($Z$3-1)/6))</f>
        <v/>
      </c>
      <c r="AR30" s="30" t="str" cm="1">
        <f t="array" ref="AR30">IF($B30="","",KWSUM(($H30&amp;", "&amp;$AB$3),"Hit Modifier"))</f>
        <v/>
      </c>
      <c r="AS30" s="30" t="str" cm="1">
        <f t="array" ref="AS30">IF($B30="","",KWSUM(($H30&amp;", "&amp;$AB$3),"Wound Modifier"))</f>
        <v/>
      </c>
      <c r="AT30" s="30" t="str" cm="1">
        <f t="array" ref="AT30">IF($B30="","",KWSUM(($H30&amp;", "&amp;$AB$3),"AP Modifier"))</f>
        <v/>
      </c>
      <c r="AU30" s="30" t="str" cm="1">
        <f t="array" ref="AU30">IF($B30="","",KWSUM(($H30&amp;", "&amp;$AB$3),"Damage Modifier"))</f>
        <v/>
      </c>
      <c r="AV30" s="30" t="str" cm="1">
        <f t="array" ref="AV30">IF($B30="","",_xlfn.LET(_xlpm.src,$H30&amp;", "&amp;$AB$3,_xlpm.full,ISNUMBER(_xlfn.XMATCH("Reroll Hits",TRIM(_xlfn.TEXTSPLIT(_xlpm.src,",")))),_xlpm.r,KW(_xlpm.src,"Reroll Hits"),IF(_xlpm.full,2,IF(N(_xlpm.r)&gt;=1,1,0))))</f>
        <v/>
      </c>
      <c r="AW30" s="30" t="str" cm="1">
        <f t="array" ref="AW30">IF($B30="","",_xlfn.LET(_xlpm.src,$H30&amp;", "&amp;$AB$3,_xlpm.full,OR($AD30,ISNUMBER(_xlfn.XMATCH("Reroll Wounds",TRIM(_xlfn.TEXTSPLIT(_xlpm.src,","))))),_xlpm.r,KW(_xlpm.src,"Reroll Wounds"),IF(_xlpm.full,2,IF(N(_xlpm.r)&gt;=1,1,0))))</f>
        <v/>
      </c>
      <c r="AX30" s="30" t="str">
        <f t="shared" si="5"/>
        <v/>
      </c>
      <c r="AY30" s="30" t="str" cm="1">
        <f t="array" ref="AY30">IF($B30="","",KWSUM($H30&amp;", "&amp;$AB$3,"Attacks Modifier"))</f>
        <v/>
      </c>
      <c r="AZ30" s="30" t="str" cm="1">
        <f t="array" ref="AZ30">IF($B30="","",KWSUM($H30&amp;", "&amp;$AB$3,"Strength Modifier"))</f>
        <v/>
      </c>
      <c r="BA30" s="30" t="str" cm="1">
        <f t="array" ref="BA30">IF($B30="","",KWSUM($H30&amp;", "&amp;$AB$3,"WS Modifier"))</f>
        <v/>
      </c>
      <c r="BB30" s="30" t="str" cm="1">
        <f t="array" ref="BB30">IF($B30="","",_xlfn.LET(_xlpm.c,KWMIN($H30&amp;", "&amp;$AB$3,"Critical Hits"),IF(ISNUMBER(_xlpm.c),MEDIAN(2,6,_xlpm.c),6)))</f>
        <v/>
      </c>
      <c r="BC30" s="30" t="str" cm="1">
        <f t="array" ref="BC30">IF($B30="","",KWSUM($H30&amp;", "&amp;$AB$3,"Save Modifier"))</f>
        <v/>
      </c>
    </row>
    <row r="32" spans="1:55" x14ac:dyDescent="0.3">
      <c r="B32" s="69" t="s">
        <v>299</v>
      </c>
      <c r="C32" s="70"/>
      <c r="D32" s="70"/>
      <c r="E32" s="70"/>
      <c r="F32" s="70"/>
      <c r="G32" s="70"/>
      <c r="H32" s="71"/>
    </row>
    <row r="33" spans="1:8" x14ac:dyDescent="0.3">
      <c r="A33" s="63" t="s">
        <v>221</v>
      </c>
      <c r="B33" s="42" t="s">
        <v>301</v>
      </c>
      <c r="C33" s="43" t="s">
        <v>38</v>
      </c>
      <c r="D33" s="43" t="s">
        <v>302</v>
      </c>
      <c r="E33" s="43"/>
      <c r="F33" s="43"/>
      <c r="G33" s="43"/>
      <c r="H33" s="44"/>
    </row>
    <row r="34" spans="1:8" x14ac:dyDescent="0.3">
      <c r="A34" s="64" t="b">
        <v>0</v>
      </c>
      <c r="B34" s="55" t="str" cm="1">
        <f t="array" ref="B34:D37">_xlfn.TAKE(OPTIONS($B$3,"Attacker","Fighting"),15)</f>
        <v>Example Rule (edit or delete)</v>
      </c>
      <c r="C34" s="72" t="str">
        <v>Rule</v>
      </c>
      <c r="D34" s="72" t="str">
        <v>Hit Modifier +1</v>
      </c>
      <c r="E34" s="72"/>
      <c r="F34" s="72"/>
      <c r="G34" s="72"/>
      <c r="H34" s="56"/>
    </row>
    <row r="35" spans="1:8" x14ac:dyDescent="0.3">
      <c r="A35" s="64" t="b">
        <v>0</v>
      </c>
      <c r="B35" s="55" t="str">
        <v>Command Re-roll</v>
      </c>
      <c r="C35" s="72" t="str">
        <v>Core Strat</v>
      </c>
      <c r="D35" s="72" t="str">
        <v/>
      </c>
      <c r="E35" s="72"/>
      <c r="F35" s="72"/>
      <c r="G35" s="72"/>
      <c r="H35" s="56"/>
    </row>
    <row r="36" spans="1:8" x14ac:dyDescent="0.3">
      <c r="A36" s="64" t="b">
        <v>0</v>
      </c>
      <c r="B36" s="55" t="str">
        <v>Epic Challenge</v>
      </c>
      <c r="C36" s="72" t="str">
        <v>Core Strat</v>
      </c>
      <c r="D36" s="72" t="str">
        <v>Precision</v>
      </c>
      <c r="E36" s="72"/>
      <c r="F36" s="72"/>
      <c r="G36" s="72"/>
      <c r="H36" s="56"/>
    </row>
    <row r="37" spans="1:8" x14ac:dyDescent="0.3">
      <c r="A37" s="64" t="b">
        <v>0</v>
      </c>
      <c r="B37" s="55" t="str">
        <v>Counteroffensive</v>
      </c>
      <c r="C37" s="72" t="str">
        <v>Core Strat</v>
      </c>
      <c r="D37" s="72" t="str">
        <v/>
      </c>
      <c r="E37" s="72"/>
      <c r="F37" s="72"/>
      <c r="G37" s="72"/>
      <c r="H37" s="56"/>
    </row>
    <row r="38" spans="1:8" x14ac:dyDescent="0.3">
      <c r="A38" s="64" t="b">
        <v>0</v>
      </c>
      <c r="B38" s="55"/>
      <c r="C38" s="72"/>
      <c r="D38" s="72"/>
      <c r="E38" s="72"/>
      <c r="F38" s="72"/>
      <c r="G38" s="72"/>
      <c r="H38" s="56"/>
    </row>
    <row r="39" spans="1:8" x14ac:dyDescent="0.3">
      <c r="A39" s="64" t="b">
        <v>0</v>
      </c>
      <c r="B39" s="55"/>
      <c r="C39" s="72"/>
      <c r="D39" s="72"/>
      <c r="E39" s="72"/>
      <c r="F39" s="72"/>
      <c r="G39" s="72"/>
      <c r="H39" s="56"/>
    </row>
    <row r="40" spans="1:8" x14ac:dyDescent="0.3">
      <c r="A40" s="64" t="b">
        <v>0</v>
      </c>
      <c r="B40" s="55"/>
      <c r="C40" s="72"/>
      <c r="D40" s="72"/>
      <c r="E40" s="72"/>
      <c r="F40" s="72"/>
      <c r="G40" s="72"/>
      <c r="H40" s="56"/>
    </row>
    <row r="41" spans="1:8" x14ac:dyDescent="0.3">
      <c r="A41" s="64" t="b">
        <v>0</v>
      </c>
      <c r="B41" s="55"/>
      <c r="C41" s="72"/>
      <c r="D41" s="72"/>
      <c r="E41" s="72"/>
      <c r="F41" s="72"/>
      <c r="G41" s="72"/>
      <c r="H41" s="56"/>
    </row>
    <row r="42" spans="1:8" x14ac:dyDescent="0.3">
      <c r="A42" s="64" t="b">
        <v>0</v>
      </c>
      <c r="B42" s="55"/>
      <c r="C42" s="72"/>
      <c r="D42" s="72"/>
      <c r="E42" s="72"/>
      <c r="F42" s="72"/>
      <c r="G42" s="72"/>
      <c r="H42" s="56"/>
    </row>
    <row r="43" spans="1:8" x14ac:dyDescent="0.3">
      <c r="A43" s="64" t="b">
        <v>0</v>
      </c>
      <c r="B43" s="55"/>
      <c r="C43" s="72"/>
      <c r="D43" s="72"/>
      <c r="E43" s="72"/>
      <c r="F43" s="72"/>
      <c r="G43" s="72"/>
      <c r="H43" s="56"/>
    </row>
    <row r="44" spans="1:8" x14ac:dyDescent="0.3">
      <c r="A44" s="64" t="b">
        <v>0</v>
      </c>
      <c r="B44" s="55"/>
      <c r="C44" s="72"/>
      <c r="D44" s="72"/>
      <c r="E44" s="72"/>
      <c r="F44" s="72"/>
      <c r="G44" s="72"/>
      <c r="H44" s="56"/>
    </row>
    <row r="45" spans="1:8" x14ac:dyDescent="0.3">
      <c r="A45" s="64" t="b">
        <v>0</v>
      </c>
      <c r="B45" s="55"/>
      <c r="C45" s="72"/>
      <c r="D45" s="72"/>
      <c r="E45" s="72"/>
      <c r="F45" s="72"/>
      <c r="G45" s="72"/>
      <c r="H45" s="56"/>
    </row>
    <row r="46" spans="1:8" x14ac:dyDescent="0.3">
      <c r="A46" s="64" t="b">
        <v>0</v>
      </c>
      <c r="B46" s="55"/>
      <c r="C46" s="72"/>
      <c r="D46" s="72"/>
      <c r="E46" s="72"/>
      <c r="F46" s="72"/>
      <c r="G46" s="72"/>
      <c r="H46" s="56"/>
    </row>
    <row r="47" spans="1:8" x14ac:dyDescent="0.3">
      <c r="A47" s="64" t="b">
        <v>0</v>
      </c>
      <c r="B47" s="55"/>
      <c r="C47" s="72"/>
      <c r="D47" s="72"/>
      <c r="E47" s="72"/>
      <c r="F47" s="72"/>
      <c r="G47" s="72"/>
      <c r="H47" s="56"/>
    </row>
    <row r="48" spans="1:8" x14ac:dyDescent="0.3">
      <c r="A48" s="64" t="b">
        <v>0</v>
      </c>
      <c r="B48" s="55"/>
      <c r="C48" s="72"/>
      <c r="D48" s="72"/>
      <c r="E48" s="72"/>
      <c r="F48" s="72"/>
      <c r="G48" s="72"/>
      <c r="H48" s="56"/>
    </row>
    <row r="50" spans="1:8" x14ac:dyDescent="0.3">
      <c r="B50" s="70" t="s">
        <v>300</v>
      </c>
      <c r="C50" s="70"/>
      <c r="D50" s="70"/>
      <c r="E50" s="70"/>
      <c r="F50" s="70"/>
      <c r="G50" s="70"/>
      <c r="H50" s="70"/>
    </row>
    <row r="51" spans="1:8" x14ac:dyDescent="0.3">
      <c r="A51" s="63" t="s">
        <v>221</v>
      </c>
      <c r="B51" s="42" t="s">
        <v>301</v>
      </c>
      <c r="C51" s="43" t="s">
        <v>38</v>
      </c>
      <c r="D51" s="43" t="s">
        <v>302</v>
      </c>
      <c r="E51" s="43"/>
      <c r="F51" s="43"/>
      <c r="G51" s="43"/>
      <c r="H51" s="44"/>
    </row>
    <row r="52" spans="1:8" x14ac:dyDescent="0.3">
      <c r="A52" s="64" t="b">
        <v>0</v>
      </c>
      <c r="B52" s="55" t="str" cm="1">
        <f t="array" ref="B52">_xlfn.TAKE(OPTIONS($AD$3,"Target","Fighting"),15)</f>
        <v/>
      </c>
      <c r="C52" s="72"/>
      <c r="D52" s="72"/>
      <c r="E52" s="72"/>
      <c r="F52" s="72"/>
      <c r="G52" s="72"/>
      <c r="H52" s="56"/>
    </row>
    <row r="53" spans="1:8" x14ac:dyDescent="0.3">
      <c r="A53" s="64" t="b">
        <v>0</v>
      </c>
      <c r="B53" s="55"/>
      <c r="C53" s="72"/>
      <c r="D53" s="72"/>
      <c r="E53" s="72"/>
      <c r="F53" s="72"/>
      <c r="G53" s="72"/>
      <c r="H53" s="56"/>
    </row>
    <row r="54" spans="1:8" x14ac:dyDescent="0.3">
      <c r="A54" s="64" t="b">
        <v>0</v>
      </c>
      <c r="B54" s="55"/>
      <c r="C54" s="72"/>
      <c r="D54" s="72"/>
      <c r="E54" s="72"/>
      <c r="F54" s="72"/>
      <c r="G54" s="72"/>
      <c r="H54" s="56"/>
    </row>
    <row r="55" spans="1:8" x14ac:dyDescent="0.3">
      <c r="A55" s="64" t="b">
        <v>0</v>
      </c>
      <c r="B55" s="55"/>
      <c r="C55" s="72"/>
      <c r="D55" s="72"/>
      <c r="E55" s="72"/>
      <c r="F55" s="72"/>
      <c r="G55" s="72"/>
      <c r="H55" s="56"/>
    </row>
    <row r="56" spans="1:8" x14ac:dyDescent="0.3">
      <c r="A56" s="64" t="b">
        <v>0</v>
      </c>
      <c r="B56" s="55"/>
      <c r="C56" s="72"/>
      <c r="D56" s="72"/>
      <c r="E56" s="72"/>
      <c r="F56" s="72"/>
      <c r="G56" s="72"/>
      <c r="H56" s="56"/>
    </row>
    <row r="57" spans="1:8" x14ac:dyDescent="0.3">
      <c r="A57" s="64" t="b">
        <v>0</v>
      </c>
      <c r="B57" s="55"/>
      <c r="C57" s="72"/>
      <c r="D57" s="72"/>
      <c r="E57" s="72"/>
      <c r="F57" s="72"/>
      <c r="G57" s="72"/>
      <c r="H57" s="56"/>
    </row>
    <row r="58" spans="1:8" x14ac:dyDescent="0.3">
      <c r="A58" s="64" t="b">
        <v>0</v>
      </c>
      <c r="B58" s="55"/>
      <c r="C58" s="72"/>
      <c r="D58" s="72"/>
      <c r="E58" s="72"/>
      <c r="F58" s="72"/>
      <c r="G58" s="72"/>
      <c r="H58" s="56"/>
    </row>
    <row r="59" spans="1:8" x14ac:dyDescent="0.3">
      <c r="A59" s="64" t="b">
        <v>0</v>
      </c>
      <c r="B59" s="55"/>
      <c r="C59" s="72"/>
      <c r="D59" s="72"/>
      <c r="E59" s="72"/>
      <c r="F59" s="72"/>
      <c r="G59" s="72"/>
      <c r="H59" s="56"/>
    </row>
    <row r="60" spans="1:8" x14ac:dyDescent="0.3">
      <c r="A60" s="64" t="b">
        <v>0</v>
      </c>
      <c r="B60" s="55"/>
      <c r="C60" s="72"/>
      <c r="D60" s="72"/>
      <c r="E60" s="72"/>
      <c r="F60" s="72"/>
      <c r="G60" s="72"/>
      <c r="H60" s="56"/>
    </row>
    <row r="61" spans="1:8" x14ac:dyDescent="0.3">
      <c r="A61" s="64" t="b">
        <v>0</v>
      </c>
      <c r="B61" s="55"/>
      <c r="C61" s="72"/>
      <c r="D61" s="72"/>
      <c r="E61" s="72"/>
      <c r="F61" s="72"/>
      <c r="G61" s="72"/>
      <c r="H61" s="56"/>
    </row>
    <row r="62" spans="1:8" x14ac:dyDescent="0.3">
      <c r="A62" s="64" t="b">
        <v>0</v>
      </c>
      <c r="B62" s="55"/>
      <c r="C62" s="72"/>
      <c r="D62" s="72"/>
      <c r="E62" s="72"/>
      <c r="F62" s="72"/>
      <c r="G62" s="72"/>
      <c r="H62" s="56"/>
    </row>
    <row r="63" spans="1:8" x14ac:dyDescent="0.3">
      <c r="A63" s="64" t="b">
        <v>0</v>
      </c>
      <c r="B63" s="55"/>
      <c r="C63" s="72"/>
      <c r="D63" s="72"/>
      <c r="E63" s="72"/>
      <c r="F63" s="72"/>
      <c r="G63" s="72"/>
      <c r="H63" s="56"/>
    </row>
    <row r="64" spans="1:8" x14ac:dyDescent="0.3">
      <c r="A64" s="64" t="b">
        <v>0</v>
      </c>
      <c r="B64" s="55"/>
      <c r="C64" s="72"/>
      <c r="D64" s="72"/>
      <c r="E64" s="72"/>
      <c r="F64" s="72"/>
      <c r="G64" s="72"/>
      <c r="H64" s="56"/>
    </row>
    <row r="65" spans="1:8" x14ac:dyDescent="0.3">
      <c r="A65" s="64" t="b">
        <v>0</v>
      </c>
      <c r="B65" s="55"/>
      <c r="C65" s="72"/>
      <c r="D65" s="72"/>
      <c r="E65" s="72"/>
      <c r="F65" s="72"/>
      <c r="G65" s="72"/>
      <c r="H65" s="56"/>
    </row>
    <row r="66" spans="1:8" x14ac:dyDescent="0.3">
      <c r="A66" s="64" t="b">
        <v>0</v>
      </c>
      <c r="B66" s="55"/>
      <c r="C66" s="72"/>
      <c r="D66" s="72"/>
      <c r="E66" s="72"/>
      <c r="F66" s="72"/>
      <c r="G66" s="72"/>
      <c r="H66" s="56"/>
    </row>
  </sheetData>
  <mergeCells count="18">
    <mergeCell ref="I2:J2"/>
    <mergeCell ref="I3:J3"/>
    <mergeCell ref="R2:X2"/>
    <mergeCell ref="R3:X3"/>
    <mergeCell ref="B32:H32"/>
    <mergeCell ref="B50:H50"/>
    <mergeCell ref="G2:H2"/>
    <mergeCell ref="G3:H3"/>
    <mergeCell ref="Z4:AQ4"/>
    <mergeCell ref="I6:I30"/>
    <mergeCell ref="J6:J30"/>
    <mergeCell ref="K6:K30"/>
    <mergeCell ref="L6:L30"/>
    <mergeCell ref="M6:M30"/>
    <mergeCell ref="N6:N30"/>
    <mergeCell ref="B4:H4"/>
    <mergeCell ref="I4:N4"/>
    <mergeCell ref="O4:X4"/>
  </mergeCells>
  <conditionalFormatting sqref="A6:X30">
    <cfRule type="expression" dxfId="5" priority="1">
      <formula>AND($B6&lt;&gt;"",$A6=FALSE)</formula>
    </cfRule>
  </conditionalFormatting>
  <conditionalFormatting sqref="A34:H48">
    <cfRule type="expression" dxfId="4" priority="2">
      <formula>AND($B34&lt;&gt;"",$A34=TRUE)</formula>
    </cfRule>
  </conditionalFormatting>
  <conditionalFormatting sqref="A34:H48">
    <cfRule type="expression" dxfId="3" priority="3">
      <formula>AND($B34="",$A34=TRUE)</formula>
    </cfRule>
  </conditionalFormatting>
  <conditionalFormatting sqref="A52:H66">
    <cfRule type="expression" dxfId="2" priority="4">
      <formula>AND($B52&lt;&gt;"",$A52=TRUE)</formula>
    </cfRule>
  </conditionalFormatting>
  <conditionalFormatting sqref="A52:H66">
    <cfRule type="expression" dxfId="1" priority="5">
      <formula>AND($B52="",$A52=TRUE)</formula>
    </cfRule>
  </conditionalFormatting>
  <conditionalFormatting sqref="R3:X3">
    <cfRule type="expression" dxfId="0" priority="6">
      <formula>LEFT($R$3,2)&lt;&gt;"OK"</formula>
    </cfRule>
  </conditionalFormatting>
  <dataValidations count="5">
    <dataValidation type="list" allowBlank="1" showInputMessage="1" showErrorMessage="1" sqref="D3 F3" xr:uid="{1ED7F5B3-5E9D-41B4-8374-5D776710A2B0}">
      <formula1>"Yes,No"</formula1>
    </dataValidation>
    <dataValidation type="whole" allowBlank="1" showInputMessage="1" showErrorMessage="1" sqref="E3" xr:uid="{A9CFE1CA-B2CA-4BD5-9AF7-21D947A5A2BA}">
      <formula1>1</formula1>
      <formula2>100</formula2>
    </dataValidation>
    <dataValidation type="list" allowBlank="1" showInputMessage="1" showErrorMessage="1" sqref="B4" xr:uid="{F3BD3067-8CBC-48A6-AC49-10373DFFF007}">
      <formula1>_xlfn.ANCHORARRAY($BE$6)</formula1>
    </dataValidation>
    <dataValidation type="list" allowBlank="1" showInputMessage="1" showErrorMessage="1" sqref="I4" xr:uid="{BEDC8625-C067-4A0A-9246-4BEC258438B1}">
      <formula1>_xlfn.ANCHORARRAY($BG$6)</formula1>
    </dataValidation>
    <dataValidation type="list" allowBlank="1" showInputMessage="1" showErrorMessage="1" sqref="B3" xr:uid="{69C808D5-B499-474B-8CF7-D2782C272105}">
      <formula1>FactionList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CCF53C7-3805-4FF1-AE4A-702E4F21D4CB}">
          <x14:formula1>
            <xm:f>DeathGuard!$B$4:$B$40</xm:f>
          </x14:formula1>
          <xm:sqref>C4:H4</xm:sqref>
        </x14:dataValidation>
        <x14:dataValidation type="list" allowBlank="1" showInputMessage="1" showErrorMessage="1" xr:uid="{D9C853FE-512D-4835-A936-20270C7ACD75}">
          <x14:formula1>
            <xm:f>#REF!</xm:f>
          </x14:formula1>
          <xm:sqref>J4:N4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56164-6743-4910-AA4B-53124B1A3AD4}">
  <sheetPr codeName="Sheet3">
    <tabColor theme="6"/>
  </sheetPr>
  <dimension ref="B2:AO100"/>
  <sheetViews>
    <sheetView workbookViewId="0">
      <selection activeCell="I3" sqref="I3"/>
    </sheetView>
  </sheetViews>
  <sheetFormatPr defaultRowHeight="14.4" x14ac:dyDescent="0.3"/>
  <cols>
    <col min="2" max="2" width="18.44140625" bestFit="1" customWidth="1"/>
    <col min="3" max="7" width="7.44140625" customWidth="1"/>
    <col min="8" max="8" width="13" customWidth="1"/>
    <col min="9" max="9" width="23.6640625" bestFit="1" customWidth="1"/>
    <col min="10" max="10" width="7" bestFit="1" customWidth="1"/>
    <col min="11" max="12" width="1.88671875" customWidth="1"/>
    <col min="13" max="13" width="26.33203125" bestFit="1" customWidth="1"/>
    <col min="14" max="14" width="4.44140625" bestFit="1" customWidth="1"/>
    <col min="15" max="15" width="5.44140625" bestFit="1" customWidth="1"/>
    <col min="16" max="16" width="4.33203125" bestFit="1" customWidth="1"/>
    <col min="17" max="17" width="5.5546875" bestFit="1" customWidth="1"/>
    <col min="18" max="18" width="4.5546875" bestFit="1" customWidth="1"/>
    <col min="19" max="19" width="20.44140625" bestFit="1" customWidth="1"/>
    <col min="20" max="21" width="1.88671875" customWidth="1"/>
    <col min="22" max="22" width="11.88671875" bestFit="1" customWidth="1"/>
    <col min="31" max="31" width="27.77734375" customWidth="1"/>
    <col min="32" max="33" width="12" customWidth="1"/>
    <col min="34" max="34" width="37" customWidth="1"/>
    <col min="36" max="36" width="27.77734375" customWidth="1"/>
    <col min="37" max="37" width="6.44140625" customWidth="1"/>
    <col min="38" max="39" width="13" customWidth="1"/>
    <col min="40" max="40" width="31.44140625" customWidth="1"/>
    <col min="41" max="41" width="40.77734375" customWidth="1"/>
  </cols>
  <sheetData>
    <row r="2" spans="2:41" x14ac:dyDescent="0.3">
      <c r="B2" s="8" t="s">
        <v>14</v>
      </c>
      <c r="C2" s="8"/>
      <c r="D2" s="8"/>
      <c r="E2" s="8"/>
      <c r="F2" s="8"/>
      <c r="G2" s="8"/>
      <c r="H2" s="8"/>
      <c r="I2" s="8"/>
      <c r="J2" s="8"/>
      <c r="M2" s="8" t="s">
        <v>33</v>
      </c>
      <c r="N2" s="8"/>
      <c r="O2" s="8"/>
      <c r="P2" s="8"/>
      <c r="Q2" s="8"/>
      <c r="R2" s="8"/>
      <c r="S2" s="8"/>
      <c r="V2" s="8" t="s">
        <v>39</v>
      </c>
      <c r="W2" s="8"/>
      <c r="X2" s="8"/>
      <c r="Y2" s="8"/>
      <c r="Z2" s="8"/>
      <c r="AA2" s="8"/>
      <c r="AB2" s="8"/>
      <c r="AE2" s="65" t="s">
        <v>222</v>
      </c>
      <c r="AF2" s="65"/>
      <c r="AG2" s="65"/>
      <c r="AH2" s="65"/>
      <c r="AJ2" s="67" t="s">
        <v>298</v>
      </c>
      <c r="AK2" s="68"/>
      <c r="AL2" s="68"/>
      <c r="AM2" s="68"/>
      <c r="AN2" s="68"/>
      <c r="AO2" s="68"/>
    </row>
    <row r="3" spans="2:41" x14ac:dyDescent="0.3">
      <c r="B3" t="s">
        <v>21</v>
      </c>
      <c r="C3" t="s">
        <v>15</v>
      </c>
      <c r="D3" t="s">
        <v>16</v>
      </c>
      <c r="E3" t="s">
        <v>449</v>
      </c>
      <c r="F3" t="s">
        <v>450</v>
      </c>
      <c r="G3" t="s">
        <v>19</v>
      </c>
      <c r="H3" t="s">
        <v>17</v>
      </c>
      <c r="I3" t="s">
        <v>2</v>
      </c>
      <c r="J3" s="2" t="s">
        <v>38</v>
      </c>
      <c r="M3" s="3" t="s">
        <v>2</v>
      </c>
      <c r="N3" s="3" t="s">
        <v>3</v>
      </c>
      <c r="O3" s="3" t="s">
        <v>4</v>
      </c>
      <c r="P3" s="3" t="s">
        <v>5</v>
      </c>
      <c r="Q3" s="3" t="s">
        <v>6</v>
      </c>
      <c r="R3" s="3" t="s">
        <v>7</v>
      </c>
      <c r="S3" s="3" t="s">
        <v>8</v>
      </c>
      <c r="T3" s="2"/>
      <c r="V3" s="3" t="s">
        <v>2</v>
      </c>
      <c r="W3" s="3" t="s">
        <v>3</v>
      </c>
      <c r="X3" s="3" t="s">
        <v>4</v>
      </c>
      <c r="Y3" s="3" t="s">
        <v>5</v>
      </c>
      <c r="Z3" s="3" t="s">
        <v>6</v>
      </c>
      <c r="AA3" s="3" t="s">
        <v>7</v>
      </c>
      <c r="AB3" s="3" t="s">
        <v>8</v>
      </c>
      <c r="AE3" s="3" t="s">
        <v>184</v>
      </c>
      <c r="AF3" s="3" t="s">
        <v>46</v>
      </c>
      <c r="AG3" s="3" t="s">
        <v>223</v>
      </c>
      <c r="AH3" s="3" t="s">
        <v>8</v>
      </c>
      <c r="AJ3" s="3" t="s">
        <v>273</v>
      </c>
      <c r="AK3" s="3" t="s">
        <v>274</v>
      </c>
      <c r="AL3" s="3" t="s">
        <v>46</v>
      </c>
      <c r="AM3" s="3" t="s">
        <v>223</v>
      </c>
      <c r="AN3" s="3" t="s">
        <v>8</v>
      </c>
      <c r="AO3" s="3" t="s">
        <v>275</v>
      </c>
    </row>
    <row r="4" spans="2:41" x14ac:dyDescent="0.3">
      <c r="B4" s="10" t="s">
        <v>0</v>
      </c>
      <c r="C4" s="13"/>
      <c r="D4" s="13"/>
      <c r="E4" s="13"/>
      <c r="F4" s="13"/>
      <c r="G4" s="13"/>
      <c r="H4" s="13"/>
      <c r="I4" s="3" t="s">
        <v>1</v>
      </c>
      <c r="J4" s="12" t="s">
        <v>40</v>
      </c>
      <c r="M4" s="3" t="s">
        <v>1</v>
      </c>
      <c r="N4" s="2">
        <v>3</v>
      </c>
      <c r="O4" s="2">
        <v>3</v>
      </c>
      <c r="P4" s="2">
        <v>5</v>
      </c>
      <c r="Q4" s="2">
        <v>0</v>
      </c>
      <c r="R4" s="2">
        <v>1</v>
      </c>
      <c r="S4" s="2" t="s">
        <v>86</v>
      </c>
      <c r="T4" s="2"/>
      <c r="V4" s="3"/>
      <c r="W4" s="2"/>
      <c r="X4" s="2"/>
      <c r="Y4" s="2"/>
      <c r="Z4" s="2"/>
      <c r="AA4" s="2"/>
      <c r="AB4" s="2"/>
      <c r="AE4" t="s">
        <v>224</v>
      </c>
      <c r="AF4" s="12" t="s">
        <v>225</v>
      </c>
      <c r="AG4" s="12" t="s">
        <v>53</v>
      </c>
      <c r="AH4" t="s">
        <v>226</v>
      </c>
      <c r="AK4" s="12"/>
      <c r="AL4" s="12"/>
      <c r="AM4" s="12"/>
    </row>
    <row r="5" spans="2:41" x14ac:dyDescent="0.3">
      <c r="B5" s="10"/>
      <c r="C5" s="13"/>
      <c r="D5" s="13"/>
      <c r="E5" s="13"/>
      <c r="F5" s="13"/>
      <c r="G5" s="13"/>
      <c r="H5" s="13"/>
      <c r="I5" s="3" t="s">
        <v>9</v>
      </c>
      <c r="J5" s="12" t="s">
        <v>40</v>
      </c>
      <c r="M5" s="3" t="s">
        <v>9</v>
      </c>
      <c r="N5" s="2" t="s">
        <v>10</v>
      </c>
      <c r="O5" s="2">
        <v>3</v>
      </c>
      <c r="P5" s="2">
        <v>4</v>
      </c>
      <c r="Q5" s="2">
        <v>0</v>
      </c>
      <c r="R5" s="2">
        <v>1</v>
      </c>
      <c r="S5" s="2" t="s">
        <v>11</v>
      </c>
      <c r="T5" s="2"/>
      <c r="AF5" s="12"/>
      <c r="AG5" s="12"/>
      <c r="AK5" s="12"/>
      <c r="AL5" s="12"/>
      <c r="AM5" s="12"/>
    </row>
    <row r="6" spans="2:41" x14ac:dyDescent="0.3">
      <c r="B6" s="10"/>
      <c r="C6" s="13"/>
      <c r="D6" s="13"/>
      <c r="E6" s="13"/>
      <c r="F6" s="13"/>
      <c r="G6" s="13"/>
      <c r="H6" s="13"/>
      <c r="I6" s="3" t="s">
        <v>12</v>
      </c>
      <c r="J6" s="12" t="s">
        <v>40</v>
      </c>
      <c r="M6" s="3" t="s">
        <v>12</v>
      </c>
      <c r="N6" s="2">
        <v>1</v>
      </c>
      <c r="O6" s="2">
        <v>3</v>
      </c>
      <c r="P6" s="2">
        <v>9</v>
      </c>
      <c r="Q6" s="2">
        <v>-2</v>
      </c>
      <c r="R6" s="2" t="s">
        <v>10</v>
      </c>
      <c r="S6" s="2"/>
      <c r="T6" s="2"/>
      <c r="AF6" s="12"/>
      <c r="AG6" s="12"/>
      <c r="AK6" s="12"/>
      <c r="AL6" s="12"/>
      <c r="AM6" s="12"/>
    </row>
    <row r="7" spans="2:41" x14ac:dyDescent="0.3">
      <c r="B7" s="10"/>
      <c r="C7" s="13"/>
      <c r="D7" s="13"/>
      <c r="E7" s="13"/>
      <c r="F7" s="13"/>
      <c r="G7" s="13"/>
      <c r="H7" s="13"/>
      <c r="I7" s="3" t="s">
        <v>13</v>
      </c>
      <c r="J7" s="12" t="s">
        <v>40</v>
      </c>
      <c r="M7" s="3" t="s">
        <v>13</v>
      </c>
      <c r="N7" s="2">
        <v>2</v>
      </c>
      <c r="O7" s="2">
        <v>3</v>
      </c>
      <c r="P7" s="2">
        <v>9</v>
      </c>
      <c r="Q7" s="2">
        <v>-4</v>
      </c>
      <c r="R7" s="2" t="s">
        <v>10</v>
      </c>
      <c r="S7" s="2" t="s">
        <v>179</v>
      </c>
      <c r="T7" s="2"/>
      <c r="AF7" s="12"/>
      <c r="AG7" s="12"/>
      <c r="AK7" s="12"/>
      <c r="AL7" s="12"/>
      <c r="AM7" s="12"/>
    </row>
    <row r="8" spans="2:41" x14ac:dyDescent="0.3">
      <c r="B8" s="10" t="s">
        <v>22</v>
      </c>
      <c r="C8" s="13">
        <v>6</v>
      </c>
      <c r="D8" s="13">
        <v>2</v>
      </c>
      <c r="E8" s="13">
        <v>3</v>
      </c>
      <c r="F8" s="33" t="s">
        <v>20</v>
      </c>
      <c r="G8" s="33" t="s">
        <v>20</v>
      </c>
      <c r="H8" s="33" t="s">
        <v>20</v>
      </c>
      <c r="I8" s="3" t="s">
        <v>23</v>
      </c>
      <c r="J8" s="12" t="s">
        <v>40</v>
      </c>
      <c r="M8" s="3" t="s">
        <v>23</v>
      </c>
      <c r="N8" t="s">
        <v>30</v>
      </c>
      <c r="O8" s="2">
        <v>3</v>
      </c>
      <c r="P8" s="2">
        <v>6</v>
      </c>
      <c r="Q8" s="2">
        <v>-1</v>
      </c>
      <c r="R8" s="2">
        <v>2</v>
      </c>
      <c r="S8" s="2" t="s">
        <v>180</v>
      </c>
      <c r="AF8" s="12"/>
      <c r="AG8" s="12"/>
      <c r="AK8" s="12"/>
      <c r="AL8" s="12"/>
      <c r="AM8" s="12"/>
    </row>
    <row r="9" spans="2:41" x14ac:dyDescent="0.3">
      <c r="B9" s="10"/>
      <c r="C9" s="13"/>
      <c r="D9" s="13"/>
      <c r="E9" s="13"/>
      <c r="F9" s="13"/>
      <c r="G9" s="13"/>
      <c r="H9" s="13"/>
      <c r="I9" s="3" t="s">
        <v>24</v>
      </c>
      <c r="J9" s="12" t="s">
        <v>40</v>
      </c>
      <c r="M9" s="3" t="s">
        <v>24</v>
      </c>
      <c r="N9" s="2">
        <v>2</v>
      </c>
      <c r="O9" s="2">
        <v>3</v>
      </c>
      <c r="P9" s="2">
        <v>5</v>
      </c>
      <c r="Q9" s="2">
        <v>-1</v>
      </c>
      <c r="R9" s="2">
        <v>1</v>
      </c>
      <c r="S9" s="2" t="s">
        <v>86</v>
      </c>
      <c r="AF9" s="12"/>
      <c r="AG9" s="12"/>
      <c r="AK9" s="12"/>
      <c r="AL9" s="12"/>
      <c r="AM9" s="12"/>
    </row>
    <row r="10" spans="2:41" x14ac:dyDescent="0.3">
      <c r="B10" s="10"/>
      <c r="C10" s="13"/>
      <c r="D10" s="13"/>
      <c r="E10" s="13"/>
      <c r="F10" s="13"/>
      <c r="G10" s="13"/>
      <c r="H10" s="13"/>
      <c r="I10" s="3" t="s">
        <v>25</v>
      </c>
      <c r="J10" s="12" t="s">
        <v>40</v>
      </c>
      <c r="M10" s="3" t="s">
        <v>25</v>
      </c>
      <c r="N10" t="s">
        <v>10</v>
      </c>
      <c r="O10" s="4" t="s">
        <v>20</v>
      </c>
      <c r="P10" s="2">
        <v>5</v>
      </c>
      <c r="Q10" s="2">
        <v>-1</v>
      </c>
      <c r="R10" s="2">
        <v>1</v>
      </c>
      <c r="S10" s="2" t="s">
        <v>181</v>
      </c>
      <c r="AF10" s="12"/>
      <c r="AG10" s="12"/>
      <c r="AK10" s="12"/>
      <c r="AL10" s="12"/>
      <c r="AM10" s="12"/>
    </row>
    <row r="11" spans="2:41" x14ac:dyDescent="0.3">
      <c r="B11" s="10"/>
      <c r="C11" s="13"/>
      <c r="D11" s="13"/>
      <c r="E11" s="13"/>
      <c r="F11" s="13"/>
      <c r="G11" s="13"/>
      <c r="H11" s="13"/>
      <c r="I11" s="3" t="s">
        <v>26</v>
      </c>
      <c r="J11" s="12" t="s">
        <v>40</v>
      </c>
      <c r="M11" s="3" t="s">
        <v>26</v>
      </c>
      <c r="N11" s="2">
        <v>1</v>
      </c>
      <c r="O11" s="2">
        <v>3</v>
      </c>
      <c r="P11" s="2">
        <v>7</v>
      </c>
      <c r="Q11" s="2">
        <v>-2</v>
      </c>
      <c r="R11" s="2">
        <v>1</v>
      </c>
      <c r="S11" s="2" t="s">
        <v>182</v>
      </c>
      <c r="AF11" s="12"/>
      <c r="AG11" s="12"/>
      <c r="AK11" s="12"/>
      <c r="AL11" s="12"/>
      <c r="AM11" s="12"/>
    </row>
    <row r="12" spans="2:41" x14ac:dyDescent="0.3">
      <c r="B12" s="10"/>
      <c r="C12" s="13"/>
      <c r="D12" s="13"/>
      <c r="E12" s="13"/>
      <c r="F12" s="13"/>
      <c r="G12" s="13"/>
      <c r="H12" s="13"/>
      <c r="I12" s="3" t="s">
        <v>27</v>
      </c>
      <c r="J12" s="12" t="s">
        <v>40</v>
      </c>
      <c r="M12" s="3" t="s">
        <v>27</v>
      </c>
      <c r="N12">
        <v>1</v>
      </c>
      <c r="O12" s="2">
        <v>3</v>
      </c>
      <c r="P12" s="2">
        <v>8</v>
      </c>
      <c r="Q12" s="2">
        <v>-3</v>
      </c>
      <c r="R12" s="2">
        <v>2</v>
      </c>
      <c r="S12" s="2" t="s">
        <v>182</v>
      </c>
      <c r="AF12" s="12"/>
      <c r="AG12" s="12"/>
      <c r="AK12" s="12"/>
      <c r="AL12" s="12"/>
      <c r="AM12" s="12"/>
    </row>
    <row r="13" spans="2:41" x14ac:dyDescent="0.3">
      <c r="B13" s="10"/>
      <c r="C13" s="13"/>
      <c r="D13" s="13"/>
      <c r="E13" s="13"/>
      <c r="F13" s="13"/>
      <c r="G13" s="13"/>
      <c r="H13" s="13"/>
      <c r="I13" s="3" t="s">
        <v>28</v>
      </c>
      <c r="J13" s="12" t="s">
        <v>40</v>
      </c>
      <c r="M13" s="3" t="s">
        <v>28</v>
      </c>
      <c r="N13" s="2">
        <v>1</v>
      </c>
      <c r="O13" s="2">
        <v>3</v>
      </c>
      <c r="P13" s="2">
        <v>7</v>
      </c>
      <c r="Q13" s="2">
        <v>-2</v>
      </c>
      <c r="R13" s="2">
        <v>1</v>
      </c>
      <c r="AF13" s="12"/>
      <c r="AG13" s="12"/>
      <c r="AK13" s="12"/>
      <c r="AL13" s="12"/>
      <c r="AM13" s="12"/>
    </row>
    <row r="14" spans="2:41" x14ac:dyDescent="0.3">
      <c r="B14" s="10"/>
      <c r="C14" s="13"/>
      <c r="D14" s="13"/>
      <c r="E14" s="13"/>
      <c r="F14" s="13"/>
      <c r="G14" s="13"/>
      <c r="H14" s="13"/>
      <c r="I14" s="3" t="s">
        <v>29</v>
      </c>
      <c r="J14" s="12" t="s">
        <v>40</v>
      </c>
      <c r="M14" s="3" t="s">
        <v>29</v>
      </c>
      <c r="N14">
        <v>1</v>
      </c>
      <c r="O14" s="2">
        <v>3</v>
      </c>
      <c r="P14" s="2">
        <v>8</v>
      </c>
      <c r="Q14" s="2">
        <v>-3</v>
      </c>
      <c r="R14" s="2">
        <v>2</v>
      </c>
      <c r="AF14" s="12"/>
      <c r="AG14" s="12"/>
      <c r="AK14" s="12"/>
      <c r="AL14" s="12"/>
      <c r="AM14" s="12"/>
    </row>
    <row r="15" spans="2:41" x14ac:dyDescent="0.3">
      <c r="B15" s="5"/>
      <c r="C15" s="6"/>
      <c r="D15" s="6"/>
      <c r="E15" s="6"/>
      <c r="F15" s="6"/>
      <c r="G15" s="6"/>
      <c r="H15" s="6"/>
      <c r="I15" s="3"/>
      <c r="J15" s="12"/>
      <c r="M15" s="3"/>
      <c r="N15" s="2"/>
      <c r="O15" s="2"/>
      <c r="P15" s="2"/>
      <c r="Q15" s="2"/>
      <c r="R15" s="2"/>
      <c r="AF15" s="12"/>
      <c r="AG15" s="12"/>
      <c r="AK15" s="12"/>
      <c r="AL15" s="12"/>
      <c r="AM15" s="12"/>
    </row>
    <row r="16" spans="2:41" x14ac:dyDescent="0.3">
      <c r="C16" s="6"/>
      <c r="D16" s="6"/>
      <c r="E16" s="6"/>
      <c r="F16" s="6"/>
      <c r="G16" s="6"/>
      <c r="H16" s="6"/>
      <c r="J16" s="12"/>
      <c r="AF16" s="12"/>
      <c r="AG16" s="12"/>
      <c r="AK16" s="12"/>
      <c r="AL16" s="12"/>
      <c r="AM16" s="12"/>
    </row>
    <row r="17" spans="3:39" x14ac:dyDescent="0.3">
      <c r="C17" s="6"/>
      <c r="D17" s="6"/>
      <c r="E17" s="6"/>
      <c r="F17" s="6"/>
      <c r="G17" s="6"/>
      <c r="H17" s="6"/>
      <c r="J17" s="12"/>
      <c r="AF17" s="12"/>
      <c r="AG17" s="12"/>
      <c r="AK17" s="12"/>
      <c r="AL17" s="12"/>
      <c r="AM17" s="12"/>
    </row>
    <row r="18" spans="3:39" x14ac:dyDescent="0.3">
      <c r="C18" s="6"/>
      <c r="D18" s="6"/>
      <c r="E18" s="6"/>
      <c r="F18" s="6"/>
      <c r="G18" s="6"/>
      <c r="H18" s="6"/>
      <c r="J18" s="12"/>
      <c r="AF18" s="12"/>
      <c r="AG18" s="12"/>
      <c r="AK18" s="12"/>
      <c r="AL18" s="12"/>
      <c r="AM18" s="12"/>
    </row>
    <row r="19" spans="3:39" x14ac:dyDescent="0.3">
      <c r="C19" s="6"/>
      <c r="D19" s="6"/>
      <c r="E19" s="6"/>
      <c r="F19" s="6"/>
      <c r="G19" s="6"/>
      <c r="H19" s="6"/>
      <c r="J19" s="12"/>
      <c r="AF19" s="12"/>
      <c r="AG19" s="12"/>
      <c r="AK19" s="12"/>
      <c r="AL19" s="12"/>
      <c r="AM19" s="12"/>
    </row>
    <row r="20" spans="3:39" x14ac:dyDescent="0.3">
      <c r="C20" s="6"/>
      <c r="D20" s="6"/>
      <c r="E20" s="6"/>
      <c r="F20" s="6"/>
      <c r="G20" s="6"/>
      <c r="H20" s="6"/>
      <c r="J20" s="12"/>
      <c r="AF20" s="12"/>
      <c r="AG20" s="12"/>
      <c r="AK20" s="12"/>
      <c r="AL20" s="12"/>
      <c r="AM20" s="12"/>
    </row>
    <row r="21" spans="3:39" x14ac:dyDescent="0.3">
      <c r="C21" s="6"/>
      <c r="D21" s="6"/>
      <c r="E21" s="6"/>
      <c r="F21" s="6"/>
      <c r="G21" s="6"/>
      <c r="H21" s="6"/>
      <c r="J21" s="12"/>
      <c r="AF21" s="12"/>
      <c r="AG21" s="12"/>
      <c r="AK21" s="12"/>
      <c r="AL21" s="12"/>
      <c r="AM21" s="12"/>
    </row>
    <row r="22" spans="3:39" x14ac:dyDescent="0.3">
      <c r="C22" s="6"/>
      <c r="D22" s="6"/>
      <c r="E22" s="6"/>
      <c r="F22" s="6"/>
      <c r="G22" s="6"/>
      <c r="H22" s="6"/>
      <c r="J22" s="12"/>
      <c r="AF22" s="12"/>
      <c r="AG22" s="12"/>
      <c r="AK22" s="12"/>
      <c r="AL22" s="12"/>
      <c r="AM22" s="12"/>
    </row>
    <row r="23" spans="3:39" x14ac:dyDescent="0.3">
      <c r="C23" s="6"/>
      <c r="D23" s="6"/>
      <c r="E23" s="6"/>
      <c r="F23" s="6"/>
      <c r="G23" s="6"/>
      <c r="H23" s="6"/>
      <c r="J23" s="12"/>
      <c r="AF23" s="12"/>
      <c r="AG23" s="12"/>
      <c r="AK23" s="12"/>
      <c r="AL23" s="12"/>
      <c r="AM23" s="12"/>
    </row>
    <row r="24" spans="3:39" x14ac:dyDescent="0.3">
      <c r="C24" s="6"/>
      <c r="D24" s="6"/>
      <c r="E24" s="6"/>
      <c r="F24" s="6"/>
      <c r="G24" s="6"/>
      <c r="H24" s="6"/>
      <c r="J24" s="12"/>
      <c r="AF24" s="12"/>
      <c r="AG24" s="12"/>
      <c r="AK24" s="12"/>
      <c r="AL24" s="12"/>
      <c r="AM24" s="12"/>
    </row>
    <row r="25" spans="3:39" x14ac:dyDescent="0.3">
      <c r="C25" s="6"/>
      <c r="D25" s="6"/>
      <c r="E25" s="6"/>
      <c r="F25" s="6"/>
      <c r="G25" s="6"/>
      <c r="H25" s="6"/>
      <c r="J25" s="12"/>
      <c r="AF25" s="12"/>
      <c r="AG25" s="12"/>
      <c r="AK25" s="12"/>
      <c r="AL25" s="12"/>
      <c r="AM25" s="12"/>
    </row>
    <row r="26" spans="3:39" x14ac:dyDescent="0.3">
      <c r="C26" s="6"/>
      <c r="D26" s="6"/>
      <c r="E26" s="6"/>
      <c r="F26" s="6"/>
      <c r="G26" s="6"/>
      <c r="H26" s="6"/>
      <c r="J26" s="12"/>
      <c r="AF26" s="12"/>
      <c r="AG26" s="12"/>
      <c r="AK26" s="12"/>
      <c r="AL26" s="12"/>
      <c r="AM26" s="12"/>
    </row>
    <row r="27" spans="3:39" x14ac:dyDescent="0.3">
      <c r="C27" s="6"/>
      <c r="D27" s="6"/>
      <c r="E27" s="6"/>
      <c r="F27" s="6"/>
      <c r="G27" s="6"/>
      <c r="H27" s="6"/>
      <c r="J27" s="12"/>
      <c r="AF27" s="12"/>
      <c r="AG27" s="12"/>
      <c r="AK27" s="12"/>
      <c r="AL27" s="12"/>
      <c r="AM27" s="12"/>
    </row>
    <row r="28" spans="3:39" x14ac:dyDescent="0.3">
      <c r="C28" s="6"/>
      <c r="D28" s="6"/>
      <c r="E28" s="6"/>
      <c r="F28" s="6"/>
      <c r="G28" s="6"/>
      <c r="H28" s="6"/>
      <c r="J28" s="12"/>
      <c r="AF28" s="12"/>
      <c r="AG28" s="12"/>
      <c r="AK28" s="12"/>
      <c r="AL28" s="12"/>
      <c r="AM28" s="12"/>
    </row>
    <row r="29" spans="3:39" x14ac:dyDescent="0.3">
      <c r="C29" s="6"/>
      <c r="D29" s="6"/>
      <c r="E29" s="6"/>
      <c r="F29" s="6"/>
      <c r="G29" s="6"/>
      <c r="H29" s="6"/>
      <c r="J29" s="12"/>
      <c r="AF29" s="12"/>
      <c r="AG29" s="12"/>
      <c r="AK29" s="12"/>
      <c r="AL29" s="12"/>
      <c r="AM29" s="12"/>
    </row>
    <row r="30" spans="3:39" x14ac:dyDescent="0.3">
      <c r="C30" s="6"/>
      <c r="D30" s="6"/>
      <c r="E30" s="6"/>
      <c r="F30" s="6"/>
      <c r="G30" s="6"/>
      <c r="H30" s="6"/>
      <c r="J30" s="12"/>
      <c r="AF30" s="12"/>
      <c r="AG30" s="12"/>
      <c r="AK30" s="12"/>
      <c r="AL30" s="12"/>
      <c r="AM30" s="12"/>
    </row>
    <row r="31" spans="3:39" x14ac:dyDescent="0.3">
      <c r="C31" s="6"/>
      <c r="D31" s="6"/>
      <c r="E31" s="6"/>
      <c r="F31" s="6"/>
      <c r="G31" s="6"/>
      <c r="H31" s="6"/>
      <c r="J31" s="12"/>
    </row>
    <row r="32" spans="3:39" x14ac:dyDescent="0.3">
      <c r="C32" s="6"/>
      <c r="D32" s="6"/>
      <c r="E32" s="6"/>
      <c r="F32" s="6"/>
      <c r="G32" s="6"/>
      <c r="H32" s="6"/>
      <c r="J32" s="12"/>
    </row>
    <row r="33" spans="3:10" x14ac:dyDescent="0.3">
      <c r="C33" s="6"/>
      <c r="D33" s="6"/>
      <c r="E33" s="6"/>
      <c r="F33" s="6"/>
      <c r="G33" s="6"/>
      <c r="H33" s="6"/>
      <c r="J33" s="12"/>
    </row>
    <row r="34" spans="3:10" x14ac:dyDescent="0.3">
      <c r="C34" s="6"/>
      <c r="D34" s="6"/>
      <c r="E34" s="6"/>
      <c r="F34" s="6"/>
      <c r="G34" s="6"/>
      <c r="H34" s="6"/>
      <c r="J34" s="12"/>
    </row>
    <row r="35" spans="3:10" x14ac:dyDescent="0.3">
      <c r="C35" s="6"/>
      <c r="D35" s="6"/>
      <c r="E35" s="6"/>
      <c r="F35" s="6"/>
      <c r="G35" s="6"/>
      <c r="H35" s="6"/>
      <c r="J35" s="12"/>
    </row>
    <row r="36" spans="3:10" x14ac:dyDescent="0.3">
      <c r="C36" s="6"/>
      <c r="D36" s="6"/>
      <c r="E36" s="6"/>
      <c r="F36" s="6"/>
      <c r="G36" s="6"/>
      <c r="H36" s="6"/>
      <c r="J36" s="12"/>
    </row>
    <row r="37" spans="3:10" x14ac:dyDescent="0.3">
      <c r="C37" s="6"/>
      <c r="D37" s="6"/>
      <c r="E37" s="6"/>
      <c r="F37" s="6"/>
      <c r="G37" s="6"/>
      <c r="H37" s="6"/>
      <c r="J37" s="12"/>
    </row>
    <row r="38" spans="3:10" x14ac:dyDescent="0.3">
      <c r="C38" s="6"/>
      <c r="D38" s="6"/>
      <c r="E38" s="6"/>
      <c r="F38" s="6"/>
      <c r="G38" s="6"/>
      <c r="H38" s="6"/>
      <c r="J38" s="12"/>
    </row>
    <row r="39" spans="3:10" x14ac:dyDescent="0.3">
      <c r="C39" s="6"/>
      <c r="D39" s="6"/>
      <c r="E39" s="6"/>
      <c r="F39" s="6"/>
      <c r="G39" s="6"/>
      <c r="H39" s="6"/>
      <c r="J39" s="12"/>
    </row>
    <row r="40" spans="3:10" x14ac:dyDescent="0.3">
      <c r="C40" s="6"/>
      <c r="D40" s="6"/>
      <c r="E40" s="6"/>
      <c r="F40" s="6"/>
      <c r="G40" s="6"/>
      <c r="H40" s="6"/>
      <c r="J40" s="12"/>
    </row>
    <row r="41" spans="3:10" x14ac:dyDescent="0.3">
      <c r="C41" s="6"/>
      <c r="D41" s="6"/>
      <c r="E41" s="6"/>
      <c r="F41" s="6"/>
      <c r="G41" s="6"/>
      <c r="H41" s="6"/>
      <c r="J41" s="12"/>
    </row>
    <row r="42" spans="3:10" x14ac:dyDescent="0.3">
      <c r="C42" s="6"/>
      <c r="D42" s="6"/>
      <c r="E42" s="6"/>
      <c r="F42" s="6"/>
      <c r="G42" s="6"/>
      <c r="H42" s="6"/>
      <c r="J42" s="12"/>
    </row>
    <row r="43" spans="3:10" x14ac:dyDescent="0.3">
      <c r="C43" s="6"/>
      <c r="D43" s="6"/>
      <c r="E43" s="6"/>
      <c r="F43" s="6"/>
      <c r="G43" s="6"/>
      <c r="H43" s="6"/>
      <c r="J43" s="12"/>
    </row>
    <row r="44" spans="3:10" x14ac:dyDescent="0.3">
      <c r="C44" s="6"/>
      <c r="D44" s="6"/>
      <c r="E44" s="6"/>
      <c r="F44" s="6"/>
      <c r="G44" s="6"/>
      <c r="H44" s="6"/>
      <c r="J44" s="12"/>
    </row>
    <row r="45" spans="3:10" x14ac:dyDescent="0.3">
      <c r="C45" s="6"/>
      <c r="D45" s="6"/>
      <c r="E45" s="6"/>
      <c r="F45" s="6"/>
      <c r="G45" s="6"/>
      <c r="H45" s="6"/>
      <c r="J45" s="12"/>
    </row>
    <row r="46" spans="3:10" x14ac:dyDescent="0.3">
      <c r="C46" s="6"/>
      <c r="D46" s="6"/>
      <c r="E46" s="6"/>
      <c r="F46" s="6"/>
      <c r="G46" s="6"/>
      <c r="H46" s="6"/>
      <c r="J46" s="12"/>
    </row>
    <row r="47" spans="3:10" x14ac:dyDescent="0.3">
      <c r="C47" s="6"/>
      <c r="D47" s="6"/>
      <c r="E47" s="6"/>
      <c r="F47" s="6"/>
      <c r="G47" s="6"/>
      <c r="H47" s="6"/>
      <c r="J47" s="12"/>
    </row>
    <row r="48" spans="3:10" x14ac:dyDescent="0.3">
      <c r="C48" s="6"/>
      <c r="D48" s="6"/>
      <c r="E48" s="6"/>
      <c r="F48" s="6"/>
      <c r="G48" s="6"/>
      <c r="H48" s="6"/>
      <c r="J48" s="12"/>
    </row>
    <row r="49" spans="3:10" x14ac:dyDescent="0.3">
      <c r="C49" s="6"/>
      <c r="D49" s="6"/>
      <c r="E49" s="6"/>
      <c r="F49" s="6"/>
      <c r="G49" s="6"/>
      <c r="H49" s="6"/>
      <c r="J49" s="12"/>
    </row>
    <row r="50" spans="3:10" x14ac:dyDescent="0.3">
      <c r="C50" s="6"/>
      <c r="D50" s="6"/>
      <c r="E50" s="6"/>
      <c r="F50" s="6"/>
      <c r="G50" s="6"/>
      <c r="H50" s="6"/>
      <c r="J50" s="12"/>
    </row>
    <row r="51" spans="3:10" x14ac:dyDescent="0.3">
      <c r="C51" s="6"/>
      <c r="D51" s="6"/>
      <c r="E51" s="6"/>
      <c r="F51" s="6"/>
      <c r="G51" s="6"/>
      <c r="H51" s="6"/>
      <c r="J51" s="12"/>
    </row>
    <row r="52" spans="3:10" x14ac:dyDescent="0.3">
      <c r="C52" s="6"/>
      <c r="D52" s="6"/>
      <c r="E52" s="6"/>
      <c r="F52" s="6"/>
      <c r="G52" s="6"/>
      <c r="H52" s="6"/>
      <c r="J52" s="12"/>
    </row>
    <row r="53" spans="3:10" x14ac:dyDescent="0.3">
      <c r="C53" s="6"/>
      <c r="D53" s="6"/>
      <c r="E53" s="6"/>
      <c r="F53" s="6"/>
      <c r="G53" s="6"/>
      <c r="H53" s="6"/>
      <c r="J53" s="12"/>
    </row>
    <row r="54" spans="3:10" x14ac:dyDescent="0.3">
      <c r="C54" s="6"/>
      <c r="D54" s="6"/>
      <c r="E54" s="6"/>
      <c r="F54" s="6"/>
      <c r="G54" s="6"/>
      <c r="H54" s="6"/>
      <c r="J54" s="12"/>
    </row>
    <row r="55" spans="3:10" x14ac:dyDescent="0.3">
      <c r="C55" s="6"/>
      <c r="D55" s="6"/>
      <c r="E55" s="6"/>
      <c r="F55" s="6"/>
      <c r="G55" s="6"/>
      <c r="H55" s="6"/>
      <c r="J55" s="12"/>
    </row>
    <row r="56" spans="3:10" x14ac:dyDescent="0.3">
      <c r="C56" s="6"/>
      <c r="D56" s="6"/>
      <c r="E56" s="6"/>
      <c r="F56" s="6"/>
      <c r="G56" s="6"/>
      <c r="H56" s="6"/>
      <c r="J56" s="12"/>
    </row>
    <row r="57" spans="3:10" x14ac:dyDescent="0.3">
      <c r="C57" s="6"/>
      <c r="D57" s="6"/>
      <c r="E57" s="6"/>
      <c r="F57" s="6"/>
      <c r="G57" s="6"/>
      <c r="H57" s="6"/>
      <c r="J57" s="12"/>
    </row>
    <row r="58" spans="3:10" x14ac:dyDescent="0.3">
      <c r="C58" s="6"/>
      <c r="D58" s="6"/>
      <c r="E58" s="6"/>
      <c r="F58" s="6"/>
      <c r="G58" s="6"/>
      <c r="H58" s="6"/>
      <c r="J58" s="12"/>
    </row>
    <row r="59" spans="3:10" x14ac:dyDescent="0.3">
      <c r="C59" s="6"/>
      <c r="D59" s="6"/>
      <c r="E59" s="6"/>
      <c r="F59" s="6"/>
      <c r="G59" s="6"/>
      <c r="H59" s="6"/>
      <c r="J59" s="12"/>
    </row>
    <row r="60" spans="3:10" x14ac:dyDescent="0.3">
      <c r="C60" s="6"/>
      <c r="D60" s="6"/>
      <c r="E60" s="6"/>
      <c r="F60" s="6"/>
      <c r="G60" s="6"/>
      <c r="H60" s="6"/>
      <c r="J60" s="12"/>
    </row>
    <row r="61" spans="3:10" x14ac:dyDescent="0.3">
      <c r="C61" s="6"/>
      <c r="D61" s="6"/>
      <c r="E61" s="6"/>
      <c r="F61" s="6"/>
      <c r="G61" s="6"/>
      <c r="H61" s="6"/>
      <c r="J61" s="12"/>
    </row>
    <row r="62" spans="3:10" x14ac:dyDescent="0.3">
      <c r="C62" s="6"/>
      <c r="D62" s="6"/>
      <c r="E62" s="6"/>
      <c r="F62" s="6"/>
      <c r="G62" s="6"/>
      <c r="H62" s="6"/>
      <c r="J62" s="12"/>
    </row>
    <row r="63" spans="3:10" x14ac:dyDescent="0.3">
      <c r="C63" s="6"/>
      <c r="D63" s="6"/>
      <c r="E63" s="6"/>
      <c r="F63" s="6"/>
      <c r="G63" s="6"/>
      <c r="H63" s="6"/>
      <c r="J63" s="12"/>
    </row>
    <row r="64" spans="3:10" x14ac:dyDescent="0.3">
      <c r="C64" s="6"/>
      <c r="D64" s="6"/>
      <c r="E64" s="6"/>
      <c r="F64" s="6"/>
      <c r="G64" s="6"/>
      <c r="H64" s="6"/>
      <c r="J64" s="12"/>
    </row>
    <row r="65" spans="3:10" x14ac:dyDescent="0.3">
      <c r="C65" s="6"/>
      <c r="D65" s="6"/>
      <c r="E65" s="6"/>
      <c r="F65" s="6"/>
      <c r="G65" s="6"/>
      <c r="H65" s="6"/>
      <c r="J65" s="12"/>
    </row>
    <row r="66" spans="3:10" x14ac:dyDescent="0.3">
      <c r="C66" s="6"/>
      <c r="D66" s="6"/>
      <c r="E66" s="6"/>
      <c r="F66" s="6"/>
      <c r="G66" s="6"/>
      <c r="H66" s="6"/>
      <c r="J66" s="12"/>
    </row>
    <row r="67" spans="3:10" x14ac:dyDescent="0.3">
      <c r="C67" s="6"/>
      <c r="D67" s="6"/>
      <c r="E67" s="6"/>
      <c r="F67" s="6"/>
      <c r="G67" s="6"/>
      <c r="H67" s="6"/>
      <c r="J67" s="12"/>
    </row>
    <row r="68" spans="3:10" x14ac:dyDescent="0.3">
      <c r="C68" s="6"/>
      <c r="D68" s="6"/>
      <c r="E68" s="6"/>
      <c r="F68" s="6"/>
      <c r="G68" s="6"/>
      <c r="H68" s="6"/>
      <c r="J68" s="12"/>
    </row>
    <row r="69" spans="3:10" x14ac:dyDescent="0.3">
      <c r="C69" s="6"/>
      <c r="D69" s="6"/>
      <c r="E69" s="6"/>
      <c r="F69" s="6"/>
      <c r="G69" s="6"/>
      <c r="H69" s="6"/>
      <c r="J69" s="12"/>
    </row>
    <row r="70" spans="3:10" x14ac:dyDescent="0.3">
      <c r="C70" s="6"/>
      <c r="D70" s="6"/>
      <c r="E70" s="6"/>
      <c r="F70" s="6"/>
      <c r="G70" s="6"/>
      <c r="H70" s="6"/>
      <c r="J70" s="12"/>
    </row>
    <row r="71" spans="3:10" x14ac:dyDescent="0.3">
      <c r="C71" s="6"/>
      <c r="D71" s="6"/>
      <c r="E71" s="6"/>
      <c r="F71" s="6"/>
      <c r="G71" s="6"/>
      <c r="H71" s="6"/>
      <c r="J71" s="12"/>
    </row>
    <row r="72" spans="3:10" x14ac:dyDescent="0.3">
      <c r="C72" s="6"/>
      <c r="D72" s="6"/>
      <c r="E72" s="6"/>
      <c r="F72" s="6"/>
      <c r="G72" s="6"/>
      <c r="H72" s="6"/>
      <c r="J72" s="12"/>
    </row>
    <row r="73" spans="3:10" x14ac:dyDescent="0.3">
      <c r="C73" s="6"/>
      <c r="D73" s="6"/>
      <c r="E73" s="6"/>
      <c r="F73" s="6"/>
      <c r="G73" s="6"/>
      <c r="H73" s="6"/>
      <c r="J73" s="12"/>
    </row>
    <row r="74" spans="3:10" x14ac:dyDescent="0.3">
      <c r="C74" s="6"/>
      <c r="D74" s="6"/>
      <c r="E74" s="6"/>
      <c r="F74" s="6"/>
      <c r="G74" s="6"/>
      <c r="H74" s="6"/>
      <c r="J74" s="12"/>
    </row>
    <row r="75" spans="3:10" x14ac:dyDescent="0.3">
      <c r="C75" s="6"/>
      <c r="D75" s="6"/>
      <c r="E75" s="6"/>
      <c r="F75" s="6"/>
      <c r="G75" s="6"/>
      <c r="H75" s="6"/>
      <c r="J75" s="12"/>
    </row>
    <row r="76" spans="3:10" x14ac:dyDescent="0.3">
      <c r="C76" s="6"/>
      <c r="D76" s="6"/>
      <c r="E76" s="6"/>
      <c r="F76" s="6"/>
      <c r="G76" s="6"/>
      <c r="H76" s="6"/>
      <c r="J76" s="12"/>
    </row>
    <row r="77" spans="3:10" x14ac:dyDescent="0.3">
      <c r="C77" s="6"/>
      <c r="D77" s="6"/>
      <c r="E77" s="6"/>
      <c r="F77" s="6"/>
      <c r="G77" s="6"/>
      <c r="H77" s="6"/>
      <c r="J77" s="12"/>
    </row>
    <row r="78" spans="3:10" x14ac:dyDescent="0.3">
      <c r="C78" s="6"/>
      <c r="D78" s="6"/>
      <c r="E78" s="6"/>
      <c r="F78" s="6"/>
      <c r="G78" s="6"/>
      <c r="H78" s="6"/>
      <c r="J78" s="12"/>
    </row>
    <row r="79" spans="3:10" x14ac:dyDescent="0.3">
      <c r="C79" s="6"/>
      <c r="D79" s="6"/>
      <c r="E79" s="6"/>
      <c r="F79" s="6"/>
      <c r="G79" s="6"/>
      <c r="H79" s="6"/>
      <c r="J79" s="12"/>
    </row>
    <row r="80" spans="3:10" x14ac:dyDescent="0.3">
      <c r="C80" s="6"/>
      <c r="D80" s="6"/>
      <c r="E80" s="6"/>
      <c r="F80" s="6"/>
      <c r="G80" s="6"/>
      <c r="H80" s="6"/>
      <c r="J80" s="12"/>
    </row>
    <row r="81" spans="3:10" x14ac:dyDescent="0.3">
      <c r="C81" s="6"/>
      <c r="D81" s="6"/>
      <c r="E81" s="6"/>
      <c r="F81" s="6"/>
      <c r="G81" s="6"/>
      <c r="H81" s="6"/>
      <c r="J81" s="12"/>
    </row>
    <row r="82" spans="3:10" x14ac:dyDescent="0.3">
      <c r="C82" s="6"/>
      <c r="D82" s="6"/>
      <c r="E82" s="6"/>
      <c r="F82" s="6"/>
      <c r="G82" s="6"/>
      <c r="H82" s="6"/>
      <c r="J82" s="12"/>
    </row>
    <row r="83" spans="3:10" x14ac:dyDescent="0.3">
      <c r="C83" s="6"/>
      <c r="D83" s="6"/>
      <c r="E83" s="6"/>
      <c r="F83" s="6"/>
      <c r="G83" s="6"/>
      <c r="H83" s="6"/>
      <c r="J83" s="12"/>
    </row>
    <row r="84" spans="3:10" x14ac:dyDescent="0.3">
      <c r="C84" s="6"/>
      <c r="D84" s="6"/>
      <c r="E84" s="6"/>
      <c r="F84" s="6"/>
      <c r="G84" s="6"/>
      <c r="H84" s="6"/>
      <c r="J84" s="12"/>
    </row>
    <row r="85" spans="3:10" x14ac:dyDescent="0.3">
      <c r="C85" s="6"/>
      <c r="D85" s="6"/>
      <c r="E85" s="6"/>
      <c r="F85" s="6"/>
      <c r="G85" s="6"/>
      <c r="H85" s="6"/>
      <c r="J85" s="12"/>
    </row>
    <row r="86" spans="3:10" x14ac:dyDescent="0.3">
      <c r="C86" s="6"/>
      <c r="D86" s="6"/>
      <c r="E86" s="6"/>
      <c r="F86" s="6"/>
      <c r="G86" s="6"/>
      <c r="H86" s="6"/>
      <c r="J86" s="12"/>
    </row>
    <row r="87" spans="3:10" x14ac:dyDescent="0.3">
      <c r="C87" s="6"/>
      <c r="D87" s="6"/>
      <c r="E87" s="6"/>
      <c r="F87" s="6"/>
      <c r="G87" s="6"/>
      <c r="H87" s="6"/>
      <c r="J87" s="12"/>
    </row>
    <row r="88" spans="3:10" x14ac:dyDescent="0.3">
      <c r="C88" s="6"/>
      <c r="D88" s="6"/>
      <c r="E88" s="6"/>
      <c r="F88" s="6"/>
      <c r="G88" s="6"/>
      <c r="H88" s="6"/>
      <c r="J88" s="12"/>
    </row>
    <row r="89" spans="3:10" x14ac:dyDescent="0.3">
      <c r="C89" s="6"/>
      <c r="D89" s="6"/>
      <c r="E89" s="6"/>
      <c r="F89" s="6"/>
      <c r="G89" s="6"/>
      <c r="H89" s="6"/>
      <c r="J89" s="12"/>
    </row>
    <row r="90" spans="3:10" x14ac:dyDescent="0.3">
      <c r="C90" s="6"/>
      <c r="D90" s="6"/>
      <c r="E90" s="6"/>
      <c r="F90" s="6"/>
      <c r="G90" s="6"/>
      <c r="H90" s="6"/>
      <c r="J90" s="12"/>
    </row>
    <row r="91" spans="3:10" x14ac:dyDescent="0.3">
      <c r="C91" s="6"/>
      <c r="D91" s="6"/>
      <c r="E91" s="6"/>
      <c r="F91" s="6"/>
      <c r="G91" s="6"/>
      <c r="H91" s="6"/>
      <c r="J91" s="12"/>
    </row>
    <row r="92" spans="3:10" x14ac:dyDescent="0.3">
      <c r="C92" s="6"/>
      <c r="D92" s="6"/>
      <c r="E92" s="6"/>
      <c r="F92" s="6"/>
      <c r="G92" s="6"/>
      <c r="H92" s="6"/>
      <c r="J92" s="12"/>
    </row>
    <row r="93" spans="3:10" x14ac:dyDescent="0.3">
      <c r="C93" s="6"/>
      <c r="D93" s="6"/>
      <c r="E93" s="6"/>
      <c r="F93" s="6"/>
      <c r="G93" s="6"/>
      <c r="H93" s="6"/>
      <c r="J93" s="12"/>
    </row>
    <row r="94" spans="3:10" x14ac:dyDescent="0.3">
      <c r="C94" s="6"/>
      <c r="D94" s="6"/>
      <c r="E94" s="6"/>
      <c r="F94" s="6"/>
      <c r="G94" s="6"/>
      <c r="H94" s="6"/>
      <c r="J94" s="12"/>
    </row>
    <row r="95" spans="3:10" x14ac:dyDescent="0.3">
      <c r="C95" s="6"/>
      <c r="D95" s="6"/>
      <c r="E95" s="6"/>
      <c r="F95" s="6"/>
      <c r="G95" s="6"/>
      <c r="H95" s="6"/>
      <c r="J95" s="12"/>
    </row>
    <row r="96" spans="3:10" x14ac:dyDescent="0.3">
      <c r="C96" s="6"/>
      <c r="D96" s="6"/>
      <c r="E96" s="6"/>
      <c r="F96" s="6"/>
      <c r="G96" s="6"/>
      <c r="H96" s="6"/>
      <c r="J96" s="12"/>
    </row>
    <row r="97" spans="3:10" x14ac:dyDescent="0.3">
      <c r="C97" s="6"/>
      <c r="D97" s="6"/>
      <c r="E97" s="6"/>
      <c r="F97" s="6"/>
      <c r="G97" s="6"/>
      <c r="H97" s="6"/>
      <c r="J97" s="12"/>
    </row>
    <row r="98" spans="3:10" x14ac:dyDescent="0.3">
      <c r="C98" s="6"/>
      <c r="D98" s="6"/>
      <c r="E98" s="6"/>
      <c r="F98" s="6"/>
      <c r="G98" s="6"/>
      <c r="H98" s="6"/>
      <c r="J98" s="12"/>
    </row>
    <row r="99" spans="3:10" x14ac:dyDescent="0.3">
      <c r="C99" s="6"/>
      <c r="D99" s="6"/>
      <c r="E99" s="6"/>
      <c r="F99" s="6"/>
      <c r="G99" s="6"/>
      <c r="H99" s="6"/>
      <c r="J99" s="12"/>
    </row>
    <row r="100" spans="3:10" x14ac:dyDescent="0.3">
      <c r="C100" s="6"/>
      <c r="D100" s="6"/>
      <c r="E100" s="6"/>
      <c r="F100" s="6"/>
      <c r="G100" s="6"/>
      <c r="H100" s="6"/>
      <c r="J100" s="12"/>
    </row>
  </sheetData>
  <mergeCells count="19">
    <mergeCell ref="AJ2:AO2"/>
    <mergeCell ref="C4:C7"/>
    <mergeCell ref="D4:D7"/>
    <mergeCell ref="E4:E7"/>
    <mergeCell ref="F4:F7"/>
    <mergeCell ref="G4:G7"/>
    <mergeCell ref="H4:H7"/>
    <mergeCell ref="AE2:AH2"/>
    <mergeCell ref="B8:B14"/>
    <mergeCell ref="V2:AB2"/>
    <mergeCell ref="M2:S2"/>
    <mergeCell ref="B4:B7"/>
    <mergeCell ref="B2:J2"/>
    <mergeCell ref="C8:C14"/>
    <mergeCell ref="D8:D14"/>
    <mergeCell ref="E8:E14"/>
    <mergeCell ref="F8:F14"/>
    <mergeCell ref="G8:G14"/>
    <mergeCell ref="H8:H14"/>
  </mergeCells>
  <dataValidations count="3">
    <dataValidation type="list" allowBlank="1" showInputMessage="1" showErrorMessage="1" sqref="J4:J100" xr:uid="{30B7A1B1-63A3-4243-88DE-5227BB7AA878}">
      <formula1>"Ranged,Melee"</formula1>
    </dataValidation>
    <dataValidation type="list" allowBlank="1" showInputMessage="1" showErrorMessage="1" sqref="AF4:AF30 AL4:AL30" xr:uid="{CE811991-D6A1-4CA2-812B-BE9879DC01D2}">
      <formula1>"Attacker,Target"</formula1>
    </dataValidation>
    <dataValidation type="list" allowBlank="1" showInputMessage="1" showErrorMessage="1" sqref="AG4:AG30 AM4:AM30" xr:uid="{BD14FC34-2C78-485C-8788-B3E06AAB6349}">
      <formula1>"Shooting,Fighting,Both"</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F69DA-7987-4B65-9E15-436520DC0877}">
  <sheetPr codeName="Sheet5">
    <tabColor theme="7"/>
  </sheetPr>
  <dimension ref="B2:AO100"/>
  <sheetViews>
    <sheetView workbookViewId="0">
      <selection activeCell="I3" sqref="I3"/>
    </sheetView>
  </sheetViews>
  <sheetFormatPr defaultRowHeight="14.4" x14ac:dyDescent="0.3"/>
  <cols>
    <col min="2" max="2" width="21.6640625" bestFit="1" customWidth="1"/>
    <col min="3" max="7" width="7.44140625" customWidth="1"/>
    <col min="8" max="8" width="13" customWidth="1"/>
    <col min="9" max="9" width="26" bestFit="1" customWidth="1"/>
    <col min="10" max="10" width="4.6640625" customWidth="1"/>
    <col min="11" max="12" width="1.88671875" customWidth="1"/>
    <col min="13" max="13" width="26.33203125" bestFit="1" customWidth="1"/>
    <col min="14" max="14" width="4.44140625" bestFit="1" customWidth="1"/>
    <col min="15" max="15" width="5.44140625" bestFit="1" customWidth="1"/>
    <col min="16" max="16" width="4.33203125" bestFit="1" customWidth="1"/>
    <col min="17" max="17" width="5.5546875" bestFit="1" customWidth="1"/>
    <col min="18" max="18" width="4.5546875" bestFit="1" customWidth="1"/>
    <col min="19" max="19" width="20.44140625" bestFit="1" customWidth="1"/>
    <col min="20" max="21" width="1.88671875" customWidth="1"/>
    <col min="22" max="22" width="11.88671875" bestFit="1" customWidth="1"/>
    <col min="31" max="31" width="27.77734375" customWidth="1"/>
    <col min="32" max="33" width="12" customWidth="1"/>
    <col min="34" max="34" width="37" customWidth="1"/>
    <col min="36" max="36" width="27.77734375" customWidth="1"/>
    <col min="37" max="37" width="6.44140625" customWidth="1"/>
    <col min="38" max="39" width="13" customWidth="1"/>
    <col min="40" max="40" width="31.44140625" customWidth="1"/>
    <col min="41" max="41" width="40.77734375" customWidth="1"/>
  </cols>
  <sheetData>
    <row r="2" spans="2:41" x14ac:dyDescent="0.3">
      <c r="B2" s="8" t="s">
        <v>14</v>
      </c>
      <c r="C2" s="8"/>
      <c r="D2" s="8"/>
      <c r="E2" s="8"/>
      <c r="F2" s="8"/>
      <c r="G2" s="8"/>
      <c r="H2" s="8"/>
      <c r="I2" s="8"/>
      <c r="J2" s="8"/>
      <c r="M2" s="8" t="s">
        <v>33</v>
      </c>
      <c r="N2" s="8"/>
      <c r="O2" s="8"/>
      <c r="P2" s="8"/>
      <c r="Q2" s="8"/>
      <c r="R2" s="8"/>
      <c r="S2" s="8"/>
      <c r="V2" s="8" t="s">
        <v>34</v>
      </c>
      <c r="W2" s="8"/>
      <c r="X2" s="8"/>
      <c r="Y2" s="8"/>
      <c r="Z2" s="8"/>
      <c r="AA2" s="8"/>
      <c r="AB2" s="8"/>
      <c r="AE2" s="65" t="s">
        <v>222</v>
      </c>
      <c r="AF2" s="65"/>
      <c r="AG2" s="65"/>
      <c r="AH2" s="65"/>
      <c r="AJ2" s="67" t="s">
        <v>298</v>
      </c>
      <c r="AK2" s="68"/>
      <c r="AL2" s="68"/>
      <c r="AM2" s="68"/>
      <c r="AN2" s="68"/>
      <c r="AO2" s="68"/>
    </row>
    <row r="3" spans="2:41" x14ac:dyDescent="0.3">
      <c r="B3" t="s">
        <v>21</v>
      </c>
      <c r="C3" t="s">
        <v>15</v>
      </c>
      <c r="D3" t="s">
        <v>16</v>
      </c>
      <c r="E3" t="s">
        <v>449</v>
      </c>
      <c r="F3" t="s">
        <v>450</v>
      </c>
      <c r="G3" t="s">
        <v>19</v>
      </c>
      <c r="H3" t="s">
        <v>17</v>
      </c>
      <c r="I3" t="s">
        <v>2</v>
      </c>
      <c r="J3" s="2" t="s">
        <v>38</v>
      </c>
      <c r="K3" s="2"/>
      <c r="M3" s="3" t="s">
        <v>2</v>
      </c>
      <c r="N3" s="3" t="s">
        <v>3</v>
      </c>
      <c r="O3" s="3" t="s">
        <v>4</v>
      </c>
      <c r="P3" s="3" t="s">
        <v>5</v>
      </c>
      <c r="Q3" s="3" t="s">
        <v>6</v>
      </c>
      <c r="R3" s="3" t="s">
        <v>7</v>
      </c>
      <c r="S3" s="3" t="s">
        <v>8</v>
      </c>
      <c r="T3" s="2"/>
      <c r="V3" s="3" t="s">
        <v>2</v>
      </c>
      <c r="W3" s="3" t="s">
        <v>3</v>
      </c>
      <c r="X3" s="3" t="s">
        <v>4</v>
      </c>
      <c r="Y3" s="3" t="s">
        <v>5</v>
      </c>
      <c r="Z3" s="3" t="s">
        <v>6</v>
      </c>
      <c r="AA3" s="3" t="s">
        <v>7</v>
      </c>
      <c r="AB3" s="3" t="s">
        <v>8</v>
      </c>
      <c r="AE3" s="3" t="s">
        <v>184</v>
      </c>
      <c r="AF3" s="3" t="s">
        <v>46</v>
      </c>
      <c r="AG3" s="3" t="s">
        <v>223</v>
      </c>
      <c r="AH3" s="3" t="s">
        <v>8</v>
      </c>
      <c r="AJ3" s="3" t="s">
        <v>273</v>
      </c>
      <c r="AK3" s="3" t="s">
        <v>274</v>
      </c>
      <c r="AL3" s="3" t="s">
        <v>46</v>
      </c>
      <c r="AM3" s="3" t="s">
        <v>223</v>
      </c>
      <c r="AN3" s="3" t="s">
        <v>8</v>
      </c>
      <c r="AO3" s="3" t="s">
        <v>275</v>
      </c>
    </row>
    <row r="4" spans="2:41" x14ac:dyDescent="0.3">
      <c r="B4" t="s">
        <v>220</v>
      </c>
      <c r="C4" s="6">
        <v>5</v>
      </c>
      <c r="D4" s="6">
        <v>2</v>
      </c>
      <c r="E4" s="6">
        <v>3</v>
      </c>
      <c r="F4" s="62" t="s">
        <v>20</v>
      </c>
      <c r="G4" s="62" t="s">
        <v>20</v>
      </c>
      <c r="H4" s="62" t="s">
        <v>20</v>
      </c>
      <c r="J4" s="12"/>
      <c r="S4" s="2"/>
      <c r="T4" s="2"/>
      <c r="V4" s="3"/>
      <c r="W4" s="2"/>
      <c r="X4" s="2"/>
      <c r="Y4" s="2"/>
      <c r="Z4" s="2"/>
      <c r="AA4" s="2"/>
      <c r="AB4" s="2"/>
      <c r="AF4" s="12"/>
      <c r="AG4" s="12"/>
      <c r="AK4" s="12"/>
      <c r="AL4" s="12"/>
      <c r="AM4" s="12"/>
    </row>
    <row r="5" spans="2:41" x14ac:dyDescent="0.3">
      <c r="B5" s="5"/>
      <c r="C5" s="6"/>
      <c r="D5" s="6"/>
      <c r="E5" s="6"/>
      <c r="F5" s="6"/>
      <c r="G5" s="6"/>
      <c r="H5" s="6"/>
      <c r="I5" s="3"/>
      <c r="J5" s="12"/>
      <c r="K5" s="2"/>
      <c r="M5" s="3"/>
      <c r="N5" s="2"/>
      <c r="O5" s="2"/>
      <c r="P5" s="2"/>
      <c r="Q5" s="2"/>
      <c r="R5" s="2"/>
      <c r="S5" s="2"/>
      <c r="T5" s="2"/>
      <c r="AF5" s="12"/>
      <c r="AG5" s="12"/>
      <c r="AK5" s="12"/>
      <c r="AL5" s="12"/>
      <c r="AM5" s="12"/>
    </row>
    <row r="6" spans="2:41" x14ac:dyDescent="0.3">
      <c r="B6" s="5"/>
      <c r="C6" s="6"/>
      <c r="D6" s="6"/>
      <c r="E6" s="6"/>
      <c r="F6" s="6"/>
      <c r="G6" s="6"/>
      <c r="H6" s="6"/>
      <c r="I6" s="3"/>
      <c r="J6" s="12"/>
      <c r="K6" s="2"/>
      <c r="M6" s="3"/>
      <c r="N6" s="2"/>
      <c r="O6" s="2"/>
      <c r="P6" s="2"/>
      <c r="Q6" s="2"/>
      <c r="R6" s="2"/>
      <c r="S6" s="2"/>
      <c r="T6" s="2"/>
      <c r="AF6" s="12"/>
      <c r="AG6" s="12"/>
      <c r="AK6" s="12"/>
      <c r="AL6" s="12"/>
      <c r="AM6" s="12"/>
    </row>
    <row r="7" spans="2:41" x14ac:dyDescent="0.3">
      <c r="B7" s="5"/>
      <c r="C7" s="6"/>
      <c r="D7" s="6"/>
      <c r="E7" s="6"/>
      <c r="F7" s="6"/>
      <c r="G7" s="6"/>
      <c r="H7" s="6"/>
      <c r="I7" s="3"/>
      <c r="J7" s="12"/>
      <c r="K7" s="2"/>
      <c r="M7" s="3"/>
      <c r="N7" s="2"/>
      <c r="O7" s="2"/>
      <c r="P7" s="2"/>
      <c r="Q7" s="2"/>
      <c r="R7" s="2"/>
      <c r="S7" s="2"/>
      <c r="T7" s="2"/>
      <c r="AF7" s="12"/>
      <c r="AG7" s="12"/>
      <c r="AK7" s="12"/>
      <c r="AL7" s="12"/>
      <c r="AM7" s="12"/>
    </row>
    <row r="8" spans="2:41" x14ac:dyDescent="0.3">
      <c r="B8" s="5"/>
      <c r="C8" s="6"/>
      <c r="D8" s="6"/>
      <c r="E8" s="6"/>
      <c r="F8" s="6"/>
      <c r="G8" s="6"/>
      <c r="H8" s="6"/>
      <c r="I8" s="3"/>
      <c r="J8" s="12"/>
      <c r="M8" s="3"/>
      <c r="O8" s="2"/>
      <c r="P8" s="2"/>
      <c r="Q8" s="2"/>
      <c r="R8" s="2"/>
      <c r="S8" s="2"/>
      <c r="AF8" s="12"/>
      <c r="AG8" s="12"/>
      <c r="AK8" s="12"/>
      <c r="AL8" s="12"/>
      <c r="AM8" s="12"/>
    </row>
    <row r="9" spans="2:41" x14ac:dyDescent="0.3">
      <c r="B9" s="5"/>
      <c r="C9" s="6"/>
      <c r="D9" s="6"/>
      <c r="E9" s="6"/>
      <c r="F9" s="6"/>
      <c r="G9" s="6"/>
      <c r="H9" s="6"/>
      <c r="I9" s="3"/>
      <c r="J9" s="12"/>
      <c r="M9" s="3"/>
      <c r="N9" s="2"/>
      <c r="O9" s="2"/>
      <c r="P9" s="2"/>
      <c r="Q9" s="2"/>
      <c r="R9" s="2"/>
      <c r="S9" s="2"/>
      <c r="AF9" s="12"/>
      <c r="AG9" s="12"/>
      <c r="AK9" s="12"/>
      <c r="AL9" s="12"/>
      <c r="AM9" s="12"/>
    </row>
    <row r="10" spans="2:41" x14ac:dyDescent="0.3">
      <c r="B10" s="5"/>
      <c r="C10" s="6"/>
      <c r="D10" s="6"/>
      <c r="E10" s="6"/>
      <c r="F10" s="6"/>
      <c r="G10" s="6"/>
      <c r="H10" s="6"/>
      <c r="I10" s="3"/>
      <c r="J10" s="12"/>
      <c r="M10" s="3"/>
      <c r="O10" s="4"/>
      <c r="P10" s="2"/>
      <c r="Q10" s="2"/>
      <c r="R10" s="2"/>
      <c r="S10" s="2"/>
      <c r="AF10" s="12"/>
      <c r="AG10" s="12"/>
      <c r="AK10" s="12"/>
      <c r="AL10" s="12"/>
      <c r="AM10" s="12"/>
    </row>
    <row r="11" spans="2:41" x14ac:dyDescent="0.3">
      <c r="B11" s="5"/>
      <c r="C11" s="6"/>
      <c r="D11" s="6"/>
      <c r="E11" s="6"/>
      <c r="F11" s="6"/>
      <c r="G11" s="6"/>
      <c r="H11" s="6"/>
      <c r="I11" s="3"/>
      <c r="J11" s="12"/>
      <c r="M11" s="3"/>
      <c r="N11" s="2"/>
      <c r="O11" s="2"/>
      <c r="P11" s="2"/>
      <c r="Q11" s="2"/>
      <c r="R11" s="2"/>
      <c r="S11" s="2"/>
      <c r="AF11" s="12"/>
      <c r="AG11" s="12"/>
      <c r="AK11" s="12"/>
      <c r="AL11" s="12"/>
      <c r="AM11" s="12"/>
    </row>
    <row r="12" spans="2:41" x14ac:dyDescent="0.3">
      <c r="B12" s="5"/>
      <c r="C12" s="6"/>
      <c r="D12" s="6"/>
      <c r="E12" s="6"/>
      <c r="F12" s="6"/>
      <c r="G12" s="6"/>
      <c r="H12" s="6"/>
      <c r="I12" s="3"/>
      <c r="J12" s="12"/>
      <c r="M12" s="3"/>
      <c r="O12" s="2"/>
      <c r="P12" s="2"/>
      <c r="Q12" s="2"/>
      <c r="R12" s="2"/>
      <c r="S12" s="2"/>
      <c r="AF12" s="12"/>
      <c r="AG12" s="12"/>
      <c r="AK12" s="12"/>
      <c r="AL12" s="12"/>
      <c r="AM12" s="12"/>
    </row>
    <row r="13" spans="2:41" x14ac:dyDescent="0.3">
      <c r="B13" s="5"/>
      <c r="C13" s="6"/>
      <c r="D13" s="6"/>
      <c r="E13" s="6"/>
      <c r="F13" s="6"/>
      <c r="G13" s="6"/>
      <c r="H13" s="6"/>
      <c r="I13" s="3"/>
      <c r="J13" s="12"/>
      <c r="M13" s="3"/>
      <c r="N13" s="2"/>
      <c r="O13" s="2"/>
      <c r="P13" s="2"/>
      <c r="Q13" s="2"/>
      <c r="R13" s="2"/>
      <c r="AF13" s="12"/>
      <c r="AG13" s="12"/>
      <c r="AK13" s="12"/>
      <c r="AL13" s="12"/>
      <c r="AM13" s="12"/>
    </row>
    <row r="14" spans="2:41" x14ac:dyDescent="0.3">
      <c r="B14" s="5"/>
      <c r="C14" s="6"/>
      <c r="D14" s="6"/>
      <c r="E14" s="6"/>
      <c r="F14" s="6"/>
      <c r="G14" s="6"/>
      <c r="H14" s="6"/>
      <c r="I14" s="3"/>
      <c r="J14" s="12"/>
      <c r="M14" s="3"/>
      <c r="O14" s="2"/>
      <c r="P14" s="2"/>
      <c r="Q14" s="2"/>
      <c r="R14" s="2"/>
      <c r="AF14" s="12"/>
      <c r="AG14" s="12"/>
      <c r="AK14" s="12"/>
      <c r="AL14" s="12"/>
      <c r="AM14" s="12"/>
    </row>
    <row r="15" spans="2:41" x14ac:dyDescent="0.3">
      <c r="B15" s="5"/>
      <c r="C15" s="6"/>
      <c r="D15" s="6"/>
      <c r="E15" s="6"/>
      <c r="F15" s="6"/>
      <c r="G15" s="6"/>
      <c r="H15" s="6"/>
      <c r="I15" s="3"/>
      <c r="J15" s="12"/>
      <c r="M15" s="3"/>
      <c r="N15" s="2"/>
      <c r="O15" s="2"/>
      <c r="P15" s="2"/>
      <c r="Q15" s="2"/>
      <c r="R15" s="2"/>
      <c r="AF15" s="12"/>
      <c r="AG15" s="12"/>
      <c r="AK15" s="12"/>
      <c r="AL15" s="12"/>
      <c r="AM15" s="12"/>
    </row>
    <row r="16" spans="2:41" x14ac:dyDescent="0.3">
      <c r="C16" s="6"/>
      <c r="D16" s="6"/>
      <c r="E16" s="6"/>
      <c r="F16" s="6"/>
      <c r="G16" s="6"/>
      <c r="H16" s="6"/>
      <c r="J16" s="12"/>
      <c r="AF16" s="12"/>
      <c r="AG16" s="12"/>
      <c r="AK16" s="12"/>
      <c r="AL16" s="12"/>
      <c r="AM16" s="12"/>
    </row>
    <row r="17" spans="3:39" x14ac:dyDescent="0.3">
      <c r="C17" s="6"/>
      <c r="D17" s="6"/>
      <c r="E17" s="6"/>
      <c r="F17" s="6"/>
      <c r="G17" s="6"/>
      <c r="H17" s="6"/>
      <c r="J17" s="12"/>
      <c r="AF17" s="12"/>
      <c r="AG17" s="12"/>
      <c r="AK17" s="12"/>
      <c r="AL17" s="12"/>
      <c r="AM17" s="12"/>
    </row>
    <row r="18" spans="3:39" x14ac:dyDescent="0.3">
      <c r="C18" s="6"/>
      <c r="D18" s="6"/>
      <c r="E18" s="6"/>
      <c r="F18" s="6"/>
      <c r="G18" s="6"/>
      <c r="H18" s="6"/>
      <c r="J18" s="12"/>
      <c r="AF18" s="12"/>
      <c r="AG18" s="12"/>
      <c r="AK18" s="12"/>
      <c r="AL18" s="12"/>
      <c r="AM18" s="12"/>
    </row>
    <row r="19" spans="3:39" x14ac:dyDescent="0.3">
      <c r="C19" s="6"/>
      <c r="D19" s="6"/>
      <c r="E19" s="6"/>
      <c r="F19" s="6"/>
      <c r="G19" s="6"/>
      <c r="H19" s="6"/>
      <c r="J19" s="12"/>
      <c r="AF19" s="12"/>
      <c r="AG19" s="12"/>
      <c r="AK19" s="12"/>
      <c r="AL19" s="12"/>
      <c r="AM19" s="12"/>
    </row>
    <row r="20" spans="3:39" x14ac:dyDescent="0.3">
      <c r="C20" s="6"/>
      <c r="D20" s="6"/>
      <c r="E20" s="6"/>
      <c r="F20" s="6"/>
      <c r="G20" s="6"/>
      <c r="H20" s="6"/>
      <c r="J20" s="12"/>
      <c r="AF20" s="12"/>
      <c r="AG20" s="12"/>
      <c r="AK20" s="12"/>
      <c r="AL20" s="12"/>
      <c r="AM20" s="12"/>
    </row>
    <row r="21" spans="3:39" x14ac:dyDescent="0.3">
      <c r="C21" s="6"/>
      <c r="D21" s="6"/>
      <c r="E21" s="6"/>
      <c r="F21" s="6"/>
      <c r="G21" s="6"/>
      <c r="H21" s="6"/>
      <c r="J21" s="12"/>
      <c r="AF21" s="12"/>
      <c r="AG21" s="12"/>
      <c r="AK21" s="12"/>
      <c r="AL21" s="12"/>
      <c r="AM21" s="12"/>
    </row>
    <row r="22" spans="3:39" x14ac:dyDescent="0.3">
      <c r="C22" s="6"/>
      <c r="D22" s="6"/>
      <c r="E22" s="6"/>
      <c r="F22" s="6"/>
      <c r="G22" s="6"/>
      <c r="H22" s="6"/>
      <c r="J22" s="12"/>
      <c r="AF22" s="12"/>
      <c r="AG22" s="12"/>
      <c r="AK22" s="12"/>
      <c r="AL22" s="12"/>
      <c r="AM22" s="12"/>
    </row>
    <row r="23" spans="3:39" x14ac:dyDescent="0.3">
      <c r="C23" s="6"/>
      <c r="D23" s="6"/>
      <c r="E23" s="6"/>
      <c r="F23" s="6"/>
      <c r="G23" s="6"/>
      <c r="H23" s="6"/>
      <c r="J23" s="12"/>
      <c r="AF23" s="12"/>
      <c r="AG23" s="12"/>
      <c r="AK23" s="12"/>
      <c r="AL23" s="12"/>
      <c r="AM23" s="12"/>
    </row>
    <row r="24" spans="3:39" x14ac:dyDescent="0.3">
      <c r="C24" s="6"/>
      <c r="D24" s="6"/>
      <c r="E24" s="6"/>
      <c r="F24" s="6"/>
      <c r="G24" s="6"/>
      <c r="H24" s="6"/>
      <c r="J24" s="12"/>
      <c r="AF24" s="12"/>
      <c r="AG24" s="12"/>
      <c r="AK24" s="12"/>
      <c r="AL24" s="12"/>
      <c r="AM24" s="12"/>
    </row>
    <row r="25" spans="3:39" x14ac:dyDescent="0.3">
      <c r="C25" s="6"/>
      <c r="D25" s="6"/>
      <c r="E25" s="6"/>
      <c r="F25" s="6"/>
      <c r="G25" s="6"/>
      <c r="H25" s="6"/>
      <c r="J25" s="12"/>
      <c r="AF25" s="12"/>
      <c r="AG25" s="12"/>
      <c r="AK25" s="12"/>
      <c r="AL25" s="12"/>
      <c r="AM25" s="12"/>
    </row>
    <row r="26" spans="3:39" x14ac:dyDescent="0.3">
      <c r="C26" s="6"/>
      <c r="D26" s="6"/>
      <c r="E26" s="6"/>
      <c r="F26" s="6"/>
      <c r="G26" s="6"/>
      <c r="H26" s="6"/>
      <c r="J26" s="12"/>
      <c r="AF26" s="12"/>
      <c r="AG26" s="12"/>
      <c r="AK26" s="12"/>
      <c r="AL26" s="12"/>
      <c r="AM26" s="12"/>
    </row>
    <row r="27" spans="3:39" x14ac:dyDescent="0.3">
      <c r="C27" s="6"/>
      <c r="D27" s="6"/>
      <c r="E27" s="6"/>
      <c r="F27" s="6"/>
      <c r="G27" s="6"/>
      <c r="H27" s="6"/>
      <c r="J27" s="12"/>
      <c r="AF27" s="12"/>
      <c r="AG27" s="12"/>
      <c r="AK27" s="12"/>
      <c r="AL27" s="12"/>
      <c r="AM27" s="12"/>
    </row>
    <row r="28" spans="3:39" x14ac:dyDescent="0.3">
      <c r="C28" s="6"/>
      <c r="D28" s="6"/>
      <c r="E28" s="6"/>
      <c r="F28" s="6"/>
      <c r="G28" s="6"/>
      <c r="H28" s="6"/>
      <c r="J28" s="12"/>
      <c r="AF28" s="12"/>
      <c r="AG28" s="12"/>
      <c r="AK28" s="12"/>
      <c r="AL28" s="12"/>
      <c r="AM28" s="12"/>
    </row>
    <row r="29" spans="3:39" x14ac:dyDescent="0.3">
      <c r="C29" s="6"/>
      <c r="D29" s="6"/>
      <c r="E29" s="6"/>
      <c r="F29" s="6"/>
      <c r="G29" s="6"/>
      <c r="H29" s="6"/>
      <c r="J29" s="12"/>
      <c r="AF29" s="12"/>
      <c r="AG29" s="12"/>
      <c r="AK29" s="12"/>
      <c r="AL29" s="12"/>
      <c r="AM29" s="12"/>
    </row>
    <row r="30" spans="3:39" x14ac:dyDescent="0.3">
      <c r="C30" s="6"/>
      <c r="D30" s="6"/>
      <c r="E30" s="6"/>
      <c r="F30" s="6"/>
      <c r="G30" s="6"/>
      <c r="H30" s="6"/>
      <c r="J30" s="12"/>
      <c r="AF30" s="12"/>
      <c r="AG30" s="12"/>
      <c r="AK30" s="12"/>
      <c r="AL30" s="12"/>
      <c r="AM30" s="12"/>
    </row>
    <row r="31" spans="3:39" x14ac:dyDescent="0.3">
      <c r="C31" s="6"/>
      <c r="D31" s="6"/>
      <c r="E31" s="6"/>
      <c r="F31" s="6"/>
      <c r="G31" s="6"/>
      <c r="H31" s="6"/>
      <c r="J31" s="12"/>
    </row>
    <row r="32" spans="3:39" x14ac:dyDescent="0.3">
      <c r="C32" s="6"/>
      <c r="D32" s="6"/>
      <c r="E32" s="6"/>
      <c r="F32" s="6"/>
      <c r="G32" s="6"/>
      <c r="H32" s="6"/>
      <c r="J32" s="12"/>
    </row>
    <row r="33" spans="3:10" x14ac:dyDescent="0.3">
      <c r="C33" s="6"/>
      <c r="D33" s="6"/>
      <c r="E33" s="6"/>
      <c r="F33" s="6"/>
      <c r="G33" s="6"/>
      <c r="H33" s="6"/>
      <c r="J33" s="12"/>
    </row>
    <row r="34" spans="3:10" x14ac:dyDescent="0.3">
      <c r="C34" s="6"/>
      <c r="D34" s="6"/>
      <c r="E34" s="6"/>
      <c r="F34" s="6"/>
      <c r="G34" s="6"/>
      <c r="H34" s="6"/>
      <c r="J34" s="12"/>
    </row>
    <row r="35" spans="3:10" x14ac:dyDescent="0.3">
      <c r="C35" s="6"/>
      <c r="D35" s="6"/>
      <c r="E35" s="6"/>
      <c r="F35" s="6"/>
      <c r="G35" s="6"/>
      <c r="H35" s="6"/>
      <c r="J35" s="12"/>
    </row>
    <row r="36" spans="3:10" x14ac:dyDescent="0.3">
      <c r="C36" s="6"/>
      <c r="D36" s="6"/>
      <c r="E36" s="6"/>
      <c r="F36" s="6"/>
      <c r="G36" s="6"/>
      <c r="H36" s="6"/>
      <c r="J36" s="12"/>
    </row>
    <row r="37" spans="3:10" x14ac:dyDescent="0.3">
      <c r="C37" s="6"/>
      <c r="D37" s="6"/>
      <c r="E37" s="6"/>
      <c r="F37" s="6"/>
      <c r="G37" s="6"/>
      <c r="H37" s="6"/>
      <c r="J37" s="12"/>
    </row>
    <row r="38" spans="3:10" x14ac:dyDescent="0.3">
      <c r="C38" s="6"/>
      <c r="D38" s="6"/>
      <c r="E38" s="6"/>
      <c r="F38" s="6"/>
      <c r="G38" s="6"/>
      <c r="H38" s="6"/>
      <c r="J38" s="12"/>
    </row>
    <row r="39" spans="3:10" x14ac:dyDescent="0.3">
      <c r="C39" s="6"/>
      <c r="D39" s="6"/>
      <c r="E39" s="6"/>
      <c r="F39" s="6"/>
      <c r="G39" s="6"/>
      <c r="H39" s="6"/>
      <c r="J39" s="12"/>
    </row>
    <row r="40" spans="3:10" x14ac:dyDescent="0.3">
      <c r="C40" s="6"/>
      <c r="D40" s="6"/>
      <c r="E40" s="6"/>
      <c r="F40" s="6"/>
      <c r="G40" s="6"/>
      <c r="H40" s="6"/>
      <c r="J40" s="12"/>
    </row>
    <row r="41" spans="3:10" x14ac:dyDescent="0.3">
      <c r="C41" s="6"/>
      <c r="D41" s="6"/>
      <c r="E41" s="6"/>
      <c r="F41" s="6"/>
      <c r="G41" s="6"/>
      <c r="H41" s="6"/>
      <c r="J41" s="12"/>
    </row>
    <row r="42" spans="3:10" x14ac:dyDescent="0.3">
      <c r="C42" s="6"/>
      <c r="D42" s="6"/>
      <c r="E42" s="6"/>
      <c r="F42" s="6"/>
      <c r="G42" s="6"/>
      <c r="H42" s="6"/>
      <c r="J42" s="12"/>
    </row>
    <row r="43" spans="3:10" x14ac:dyDescent="0.3">
      <c r="C43" s="6"/>
      <c r="D43" s="6"/>
      <c r="E43" s="6"/>
      <c r="F43" s="6"/>
      <c r="G43" s="6"/>
      <c r="H43" s="6"/>
      <c r="J43" s="12"/>
    </row>
    <row r="44" spans="3:10" x14ac:dyDescent="0.3">
      <c r="C44" s="6"/>
      <c r="D44" s="6"/>
      <c r="E44" s="6"/>
      <c r="F44" s="6"/>
      <c r="G44" s="6"/>
      <c r="H44" s="6"/>
      <c r="J44" s="12"/>
    </row>
    <row r="45" spans="3:10" x14ac:dyDescent="0.3">
      <c r="C45" s="6"/>
      <c r="D45" s="6"/>
      <c r="E45" s="6"/>
      <c r="F45" s="6"/>
      <c r="G45" s="6"/>
      <c r="H45" s="6"/>
      <c r="J45" s="12"/>
    </row>
    <row r="46" spans="3:10" x14ac:dyDescent="0.3">
      <c r="C46" s="6"/>
      <c r="D46" s="6"/>
      <c r="E46" s="6"/>
      <c r="F46" s="6"/>
      <c r="G46" s="6"/>
      <c r="H46" s="6"/>
      <c r="J46" s="12"/>
    </row>
    <row r="47" spans="3:10" x14ac:dyDescent="0.3">
      <c r="C47" s="6"/>
      <c r="D47" s="6"/>
      <c r="E47" s="6"/>
      <c r="F47" s="6"/>
      <c r="G47" s="6"/>
      <c r="H47" s="6"/>
      <c r="J47" s="12"/>
    </row>
    <row r="48" spans="3:10" x14ac:dyDescent="0.3">
      <c r="C48" s="6"/>
      <c r="D48" s="6"/>
      <c r="E48" s="6"/>
      <c r="F48" s="6"/>
      <c r="G48" s="6"/>
      <c r="H48" s="6"/>
      <c r="J48" s="12"/>
    </row>
    <row r="49" spans="3:10" x14ac:dyDescent="0.3">
      <c r="C49" s="6"/>
      <c r="D49" s="6"/>
      <c r="E49" s="6"/>
      <c r="F49" s="6"/>
      <c r="G49" s="6"/>
      <c r="H49" s="6"/>
      <c r="J49" s="12"/>
    </row>
    <row r="50" spans="3:10" x14ac:dyDescent="0.3">
      <c r="C50" s="6"/>
      <c r="D50" s="6"/>
      <c r="E50" s="6"/>
      <c r="F50" s="6"/>
      <c r="G50" s="6"/>
      <c r="H50" s="6"/>
      <c r="J50" s="12"/>
    </row>
    <row r="51" spans="3:10" x14ac:dyDescent="0.3">
      <c r="C51" s="6"/>
      <c r="D51" s="6"/>
      <c r="E51" s="6"/>
      <c r="F51" s="6"/>
      <c r="G51" s="6"/>
      <c r="H51" s="6"/>
      <c r="J51" s="12"/>
    </row>
    <row r="52" spans="3:10" x14ac:dyDescent="0.3">
      <c r="C52" s="6"/>
      <c r="D52" s="6"/>
      <c r="E52" s="6"/>
      <c r="F52" s="6"/>
      <c r="G52" s="6"/>
      <c r="H52" s="6"/>
      <c r="J52" s="12"/>
    </row>
    <row r="53" spans="3:10" x14ac:dyDescent="0.3">
      <c r="C53" s="6"/>
      <c r="D53" s="6"/>
      <c r="E53" s="6"/>
      <c r="F53" s="6"/>
      <c r="G53" s="6"/>
      <c r="H53" s="6"/>
      <c r="J53" s="12"/>
    </row>
    <row r="54" spans="3:10" x14ac:dyDescent="0.3">
      <c r="C54" s="6"/>
      <c r="D54" s="6"/>
      <c r="E54" s="6"/>
      <c r="F54" s="6"/>
      <c r="G54" s="6"/>
      <c r="H54" s="6"/>
      <c r="J54" s="12"/>
    </row>
    <row r="55" spans="3:10" x14ac:dyDescent="0.3">
      <c r="C55" s="6"/>
      <c r="D55" s="6"/>
      <c r="E55" s="6"/>
      <c r="F55" s="6"/>
      <c r="G55" s="6"/>
      <c r="H55" s="6"/>
      <c r="J55" s="12"/>
    </row>
    <row r="56" spans="3:10" x14ac:dyDescent="0.3">
      <c r="C56" s="6"/>
      <c r="D56" s="6"/>
      <c r="E56" s="6"/>
      <c r="F56" s="6"/>
      <c r="G56" s="6"/>
      <c r="H56" s="6"/>
      <c r="J56" s="12"/>
    </row>
    <row r="57" spans="3:10" x14ac:dyDescent="0.3">
      <c r="C57" s="6"/>
      <c r="D57" s="6"/>
      <c r="E57" s="6"/>
      <c r="F57" s="6"/>
      <c r="G57" s="6"/>
      <c r="H57" s="6"/>
      <c r="J57" s="12"/>
    </row>
    <row r="58" spans="3:10" x14ac:dyDescent="0.3">
      <c r="C58" s="6"/>
      <c r="D58" s="6"/>
      <c r="E58" s="6"/>
      <c r="F58" s="6"/>
      <c r="G58" s="6"/>
      <c r="H58" s="6"/>
      <c r="J58" s="12"/>
    </row>
    <row r="59" spans="3:10" x14ac:dyDescent="0.3">
      <c r="C59" s="6"/>
      <c r="D59" s="6"/>
      <c r="E59" s="6"/>
      <c r="F59" s="6"/>
      <c r="G59" s="6"/>
      <c r="H59" s="6"/>
      <c r="J59" s="12"/>
    </row>
    <row r="60" spans="3:10" x14ac:dyDescent="0.3">
      <c r="C60" s="6"/>
      <c r="D60" s="6"/>
      <c r="E60" s="6"/>
      <c r="F60" s="6"/>
      <c r="G60" s="6"/>
      <c r="H60" s="6"/>
      <c r="J60" s="12"/>
    </row>
    <row r="61" spans="3:10" x14ac:dyDescent="0.3">
      <c r="C61" s="6"/>
      <c r="D61" s="6"/>
      <c r="E61" s="6"/>
      <c r="F61" s="6"/>
      <c r="G61" s="6"/>
      <c r="H61" s="6"/>
      <c r="J61" s="12"/>
    </row>
    <row r="62" spans="3:10" x14ac:dyDescent="0.3">
      <c r="C62" s="6"/>
      <c r="D62" s="6"/>
      <c r="E62" s="6"/>
      <c r="F62" s="6"/>
      <c r="G62" s="6"/>
      <c r="H62" s="6"/>
      <c r="J62" s="12"/>
    </row>
    <row r="63" spans="3:10" x14ac:dyDescent="0.3">
      <c r="C63" s="6"/>
      <c r="D63" s="6"/>
      <c r="E63" s="6"/>
      <c r="F63" s="6"/>
      <c r="G63" s="6"/>
      <c r="H63" s="6"/>
      <c r="J63" s="12"/>
    </row>
    <row r="64" spans="3:10" x14ac:dyDescent="0.3">
      <c r="C64" s="6"/>
      <c r="D64" s="6"/>
      <c r="E64" s="6"/>
      <c r="F64" s="6"/>
      <c r="G64" s="6"/>
      <c r="H64" s="6"/>
      <c r="J64" s="12"/>
    </row>
    <row r="65" spans="3:10" x14ac:dyDescent="0.3">
      <c r="C65" s="6"/>
      <c r="D65" s="6"/>
      <c r="E65" s="6"/>
      <c r="F65" s="6"/>
      <c r="G65" s="6"/>
      <c r="H65" s="6"/>
      <c r="J65" s="12"/>
    </row>
    <row r="66" spans="3:10" x14ac:dyDescent="0.3">
      <c r="C66" s="6"/>
      <c r="D66" s="6"/>
      <c r="E66" s="6"/>
      <c r="F66" s="6"/>
      <c r="G66" s="6"/>
      <c r="H66" s="6"/>
      <c r="J66" s="12"/>
    </row>
    <row r="67" spans="3:10" x14ac:dyDescent="0.3">
      <c r="C67" s="6"/>
      <c r="D67" s="6"/>
      <c r="E67" s="6"/>
      <c r="F67" s="6"/>
      <c r="G67" s="6"/>
      <c r="H67" s="6"/>
      <c r="J67" s="12"/>
    </row>
    <row r="68" spans="3:10" x14ac:dyDescent="0.3">
      <c r="C68" s="6"/>
      <c r="D68" s="6"/>
      <c r="E68" s="6"/>
      <c r="F68" s="6"/>
      <c r="G68" s="6"/>
      <c r="H68" s="6"/>
      <c r="J68" s="12"/>
    </row>
    <row r="69" spans="3:10" x14ac:dyDescent="0.3">
      <c r="C69" s="6"/>
      <c r="D69" s="6"/>
      <c r="E69" s="6"/>
      <c r="F69" s="6"/>
      <c r="G69" s="6"/>
      <c r="H69" s="6"/>
      <c r="J69" s="12"/>
    </row>
    <row r="70" spans="3:10" x14ac:dyDescent="0.3">
      <c r="C70" s="6"/>
      <c r="D70" s="6"/>
      <c r="E70" s="6"/>
      <c r="F70" s="6"/>
      <c r="G70" s="6"/>
      <c r="H70" s="6"/>
      <c r="J70" s="12"/>
    </row>
    <row r="71" spans="3:10" x14ac:dyDescent="0.3">
      <c r="C71" s="6"/>
      <c r="D71" s="6"/>
      <c r="E71" s="6"/>
      <c r="F71" s="6"/>
      <c r="G71" s="6"/>
      <c r="H71" s="6"/>
      <c r="J71" s="12"/>
    </row>
    <row r="72" spans="3:10" x14ac:dyDescent="0.3">
      <c r="C72" s="6"/>
      <c r="D72" s="6"/>
      <c r="E72" s="6"/>
      <c r="F72" s="6"/>
      <c r="G72" s="6"/>
      <c r="H72" s="6"/>
      <c r="J72" s="12"/>
    </row>
    <row r="73" spans="3:10" x14ac:dyDescent="0.3">
      <c r="C73" s="6"/>
      <c r="D73" s="6"/>
      <c r="E73" s="6"/>
      <c r="F73" s="6"/>
      <c r="G73" s="6"/>
      <c r="H73" s="6"/>
      <c r="J73" s="12"/>
    </row>
    <row r="74" spans="3:10" x14ac:dyDescent="0.3">
      <c r="C74" s="6"/>
      <c r="D74" s="6"/>
      <c r="E74" s="6"/>
      <c r="F74" s="6"/>
      <c r="G74" s="6"/>
      <c r="H74" s="6"/>
      <c r="J74" s="12"/>
    </row>
    <row r="75" spans="3:10" x14ac:dyDescent="0.3">
      <c r="C75" s="6"/>
      <c r="D75" s="6"/>
      <c r="E75" s="6"/>
      <c r="F75" s="6"/>
      <c r="G75" s="6"/>
      <c r="H75" s="6"/>
      <c r="J75" s="12"/>
    </row>
    <row r="76" spans="3:10" x14ac:dyDescent="0.3">
      <c r="C76" s="6"/>
      <c r="D76" s="6"/>
      <c r="E76" s="6"/>
      <c r="F76" s="6"/>
      <c r="G76" s="6"/>
      <c r="H76" s="6"/>
      <c r="J76" s="12"/>
    </row>
    <row r="77" spans="3:10" x14ac:dyDescent="0.3">
      <c r="C77" s="6"/>
      <c r="D77" s="6"/>
      <c r="E77" s="6"/>
      <c r="F77" s="6"/>
      <c r="G77" s="6"/>
      <c r="H77" s="6"/>
      <c r="J77" s="12"/>
    </row>
    <row r="78" spans="3:10" x14ac:dyDescent="0.3">
      <c r="C78" s="6"/>
      <c r="D78" s="6"/>
      <c r="E78" s="6"/>
      <c r="F78" s="6"/>
      <c r="G78" s="6"/>
      <c r="H78" s="6"/>
      <c r="J78" s="12"/>
    </row>
    <row r="79" spans="3:10" x14ac:dyDescent="0.3">
      <c r="C79" s="6"/>
      <c r="D79" s="6"/>
      <c r="E79" s="6"/>
      <c r="F79" s="6"/>
      <c r="G79" s="6"/>
      <c r="H79" s="6"/>
      <c r="J79" s="12"/>
    </row>
    <row r="80" spans="3:10" x14ac:dyDescent="0.3">
      <c r="C80" s="6"/>
      <c r="D80" s="6"/>
      <c r="E80" s="6"/>
      <c r="F80" s="6"/>
      <c r="G80" s="6"/>
      <c r="H80" s="6"/>
      <c r="J80" s="12"/>
    </row>
    <row r="81" spans="3:10" x14ac:dyDescent="0.3">
      <c r="C81" s="6"/>
      <c r="D81" s="6"/>
      <c r="E81" s="6"/>
      <c r="F81" s="6"/>
      <c r="G81" s="6"/>
      <c r="H81" s="6"/>
      <c r="J81" s="12"/>
    </row>
    <row r="82" spans="3:10" x14ac:dyDescent="0.3">
      <c r="C82" s="6"/>
      <c r="D82" s="6"/>
      <c r="E82" s="6"/>
      <c r="F82" s="6"/>
      <c r="G82" s="6"/>
      <c r="H82" s="6"/>
      <c r="J82" s="12"/>
    </row>
    <row r="83" spans="3:10" x14ac:dyDescent="0.3">
      <c r="C83" s="6"/>
      <c r="D83" s="6"/>
      <c r="E83" s="6"/>
      <c r="F83" s="6"/>
      <c r="G83" s="6"/>
      <c r="H83" s="6"/>
      <c r="J83" s="12"/>
    </row>
    <row r="84" spans="3:10" x14ac:dyDescent="0.3">
      <c r="C84" s="6"/>
      <c r="D84" s="6"/>
      <c r="E84" s="6"/>
      <c r="F84" s="6"/>
      <c r="G84" s="6"/>
      <c r="H84" s="6"/>
      <c r="J84" s="12"/>
    </row>
    <row r="85" spans="3:10" x14ac:dyDescent="0.3">
      <c r="C85" s="6"/>
      <c r="D85" s="6"/>
      <c r="E85" s="6"/>
      <c r="F85" s="6"/>
      <c r="G85" s="6"/>
      <c r="H85" s="6"/>
      <c r="J85" s="12"/>
    </row>
    <row r="86" spans="3:10" x14ac:dyDescent="0.3">
      <c r="C86" s="6"/>
      <c r="D86" s="6"/>
      <c r="E86" s="6"/>
      <c r="F86" s="6"/>
      <c r="G86" s="6"/>
      <c r="H86" s="6"/>
      <c r="J86" s="12"/>
    </row>
    <row r="87" spans="3:10" x14ac:dyDescent="0.3">
      <c r="C87" s="6"/>
      <c r="D87" s="6"/>
      <c r="E87" s="6"/>
      <c r="F87" s="6"/>
      <c r="G87" s="6"/>
      <c r="H87" s="6"/>
      <c r="J87" s="12"/>
    </row>
    <row r="88" spans="3:10" x14ac:dyDescent="0.3">
      <c r="C88" s="6"/>
      <c r="D88" s="6"/>
      <c r="E88" s="6"/>
      <c r="F88" s="6"/>
      <c r="G88" s="6"/>
      <c r="H88" s="6"/>
      <c r="J88" s="12"/>
    </row>
    <row r="89" spans="3:10" x14ac:dyDescent="0.3">
      <c r="C89" s="6"/>
      <c r="D89" s="6"/>
      <c r="E89" s="6"/>
      <c r="F89" s="6"/>
      <c r="G89" s="6"/>
      <c r="H89" s="6"/>
      <c r="J89" s="12"/>
    </row>
    <row r="90" spans="3:10" x14ac:dyDescent="0.3">
      <c r="C90" s="6"/>
      <c r="D90" s="6"/>
      <c r="E90" s="6"/>
      <c r="F90" s="6"/>
      <c r="G90" s="6"/>
      <c r="H90" s="6"/>
      <c r="J90" s="12"/>
    </row>
    <row r="91" spans="3:10" x14ac:dyDescent="0.3">
      <c r="C91" s="6"/>
      <c r="D91" s="6"/>
      <c r="E91" s="6"/>
      <c r="F91" s="6"/>
      <c r="G91" s="6"/>
      <c r="H91" s="6"/>
      <c r="J91" s="12"/>
    </row>
    <row r="92" spans="3:10" x14ac:dyDescent="0.3">
      <c r="C92" s="6"/>
      <c r="D92" s="6"/>
      <c r="E92" s="6"/>
      <c r="F92" s="6"/>
      <c r="G92" s="6"/>
      <c r="H92" s="6"/>
      <c r="J92" s="12"/>
    </row>
    <row r="93" spans="3:10" x14ac:dyDescent="0.3">
      <c r="C93" s="6"/>
      <c r="D93" s="6"/>
      <c r="E93" s="6"/>
      <c r="F93" s="6"/>
      <c r="G93" s="6"/>
      <c r="H93" s="6"/>
      <c r="J93" s="12"/>
    </row>
    <row r="94" spans="3:10" x14ac:dyDescent="0.3">
      <c r="C94" s="6"/>
      <c r="D94" s="6"/>
      <c r="E94" s="6"/>
      <c r="F94" s="6"/>
      <c r="G94" s="6"/>
      <c r="H94" s="6"/>
      <c r="J94" s="12"/>
    </row>
    <row r="95" spans="3:10" x14ac:dyDescent="0.3">
      <c r="C95" s="6"/>
      <c r="D95" s="6"/>
      <c r="E95" s="6"/>
      <c r="F95" s="6"/>
      <c r="G95" s="6"/>
      <c r="H95" s="6"/>
      <c r="J95" s="12"/>
    </row>
    <row r="96" spans="3:10" x14ac:dyDescent="0.3">
      <c r="C96" s="6"/>
      <c r="D96" s="6"/>
      <c r="E96" s="6"/>
      <c r="F96" s="6"/>
      <c r="G96" s="6"/>
      <c r="H96" s="6"/>
      <c r="J96" s="12"/>
    </row>
    <row r="97" spans="3:10" x14ac:dyDescent="0.3">
      <c r="C97" s="6"/>
      <c r="D97" s="6"/>
      <c r="E97" s="6"/>
      <c r="F97" s="6"/>
      <c r="G97" s="6"/>
      <c r="H97" s="6"/>
      <c r="J97" s="12"/>
    </row>
    <row r="98" spans="3:10" x14ac:dyDescent="0.3">
      <c r="C98" s="6"/>
      <c r="D98" s="6"/>
      <c r="E98" s="6"/>
      <c r="F98" s="6"/>
      <c r="G98" s="6"/>
      <c r="H98" s="6"/>
      <c r="J98" s="12"/>
    </row>
    <row r="99" spans="3:10" x14ac:dyDescent="0.3">
      <c r="C99" s="6"/>
      <c r="D99" s="6"/>
      <c r="E99" s="6"/>
      <c r="F99" s="6"/>
      <c r="G99" s="6"/>
      <c r="H99" s="6"/>
      <c r="J99" s="12"/>
    </row>
    <row r="100" spans="3:10" x14ac:dyDescent="0.3">
      <c r="C100" s="6"/>
      <c r="D100" s="6"/>
      <c r="E100" s="6"/>
      <c r="F100" s="6"/>
      <c r="G100" s="6"/>
      <c r="H100" s="6"/>
      <c r="J100" s="12"/>
    </row>
  </sheetData>
  <mergeCells count="5">
    <mergeCell ref="AJ2:AO2"/>
    <mergeCell ref="M2:S2"/>
    <mergeCell ref="V2:AB2"/>
    <mergeCell ref="B2:J2"/>
    <mergeCell ref="AE2:AH2"/>
  </mergeCells>
  <dataValidations count="3">
    <dataValidation type="list" allowBlank="1" showInputMessage="1" showErrorMessage="1" sqref="J4:J100" xr:uid="{15B393BD-29BD-4FBB-86AE-0BBB6E84B41F}">
      <formula1>"Ranged,Melee"</formula1>
    </dataValidation>
    <dataValidation type="list" allowBlank="1" showInputMessage="1" showErrorMessage="1" sqref="AF4:AF30 AL4:AL30" xr:uid="{97DF05FF-77EA-4D4A-B10D-83B2B8DD6B0B}">
      <formula1>"Attacker,Target"</formula1>
    </dataValidation>
    <dataValidation type="list" allowBlank="1" showInputMessage="1" showErrorMessage="1" sqref="AG4:AG30 AM4:AM30" xr:uid="{8C48A39D-7C05-48C5-B8AE-9CC0D91C448B}">
      <formula1>"Shooting,Fighting,Both"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662B8-1164-4A29-AB0B-86561AE6C9FA}">
  <sheetPr codeName="Sheet6">
    <tabColor theme="3"/>
  </sheetPr>
  <dimension ref="B2:AO100"/>
  <sheetViews>
    <sheetView workbookViewId="0">
      <selection activeCell="I3" sqref="I3"/>
    </sheetView>
  </sheetViews>
  <sheetFormatPr defaultRowHeight="14.4" x14ac:dyDescent="0.3"/>
  <cols>
    <col min="2" max="2" width="21.6640625" bestFit="1" customWidth="1"/>
    <col min="3" max="7" width="7.44140625" customWidth="1"/>
    <col min="8" max="8" width="13" customWidth="1"/>
    <col min="9" max="9" width="26" bestFit="1" customWidth="1"/>
    <col min="10" max="10" width="4.6640625" customWidth="1"/>
    <col min="11" max="12" width="1.88671875" customWidth="1"/>
    <col min="13" max="13" width="26.33203125" bestFit="1" customWidth="1"/>
    <col min="14" max="14" width="4.44140625" bestFit="1" customWidth="1"/>
    <col min="15" max="15" width="5.44140625" bestFit="1" customWidth="1"/>
    <col min="16" max="16" width="4.33203125" bestFit="1" customWidth="1"/>
    <col min="17" max="17" width="5.5546875" bestFit="1" customWidth="1"/>
    <col min="18" max="18" width="4.5546875" bestFit="1" customWidth="1"/>
    <col min="19" max="19" width="20.44140625" bestFit="1" customWidth="1"/>
    <col min="20" max="21" width="1.88671875" customWidth="1"/>
    <col min="22" max="22" width="11.88671875" bestFit="1" customWidth="1"/>
    <col min="31" max="31" width="27.77734375" customWidth="1"/>
    <col min="32" max="33" width="12" customWidth="1"/>
    <col min="34" max="34" width="37" customWidth="1"/>
    <col min="36" max="36" width="27.77734375" customWidth="1"/>
    <col min="37" max="37" width="6.44140625" customWidth="1"/>
    <col min="38" max="39" width="13" customWidth="1"/>
    <col min="40" max="40" width="31.44140625" customWidth="1"/>
    <col min="41" max="41" width="40.77734375" customWidth="1"/>
  </cols>
  <sheetData>
    <row r="2" spans="2:41" x14ac:dyDescent="0.3">
      <c r="B2" s="8" t="s">
        <v>14</v>
      </c>
      <c r="C2" s="8"/>
      <c r="D2" s="8"/>
      <c r="E2" s="8"/>
      <c r="F2" s="8"/>
      <c r="G2" s="8"/>
      <c r="H2" s="8"/>
      <c r="I2" s="8"/>
      <c r="J2" s="8"/>
      <c r="M2" s="8" t="s">
        <v>33</v>
      </c>
      <c r="N2" s="8"/>
      <c r="O2" s="8"/>
      <c r="P2" s="8"/>
      <c r="Q2" s="8"/>
      <c r="R2" s="8"/>
      <c r="S2" s="8"/>
      <c r="V2" s="8" t="s">
        <v>34</v>
      </c>
      <c r="W2" s="8"/>
      <c r="X2" s="8"/>
      <c r="Y2" s="8"/>
      <c r="Z2" s="8"/>
      <c r="AA2" s="8"/>
      <c r="AB2" s="8"/>
      <c r="AE2" s="65" t="s">
        <v>222</v>
      </c>
      <c r="AF2" s="65"/>
      <c r="AG2" s="65"/>
      <c r="AH2" s="65"/>
      <c r="AJ2" s="67" t="s">
        <v>298</v>
      </c>
      <c r="AK2" s="68"/>
      <c r="AL2" s="68"/>
      <c r="AM2" s="68"/>
      <c r="AN2" s="68"/>
      <c r="AO2" s="68"/>
    </row>
    <row r="3" spans="2:41" x14ac:dyDescent="0.3">
      <c r="B3" t="s">
        <v>21</v>
      </c>
      <c r="C3" t="s">
        <v>15</v>
      </c>
      <c r="D3" t="s">
        <v>16</v>
      </c>
      <c r="E3" t="s">
        <v>449</v>
      </c>
      <c r="F3" t="s">
        <v>450</v>
      </c>
      <c r="G3" t="s">
        <v>19</v>
      </c>
      <c r="H3" t="s">
        <v>17</v>
      </c>
      <c r="I3" t="s">
        <v>2</v>
      </c>
      <c r="J3" s="2" t="s">
        <v>38</v>
      </c>
      <c r="K3" s="2"/>
      <c r="M3" s="3" t="s">
        <v>2</v>
      </c>
      <c r="N3" s="3" t="s">
        <v>3</v>
      </c>
      <c r="O3" s="3" t="s">
        <v>4</v>
      </c>
      <c r="P3" s="3" t="s">
        <v>5</v>
      </c>
      <c r="Q3" s="3" t="s">
        <v>6</v>
      </c>
      <c r="R3" s="3" t="s">
        <v>7</v>
      </c>
      <c r="S3" s="3" t="s">
        <v>8</v>
      </c>
      <c r="T3" s="2"/>
      <c r="V3" s="3" t="s">
        <v>2</v>
      </c>
      <c r="W3" s="3" t="s">
        <v>3</v>
      </c>
      <c r="X3" s="3" t="s">
        <v>4</v>
      </c>
      <c r="Y3" s="3" t="s">
        <v>5</v>
      </c>
      <c r="Z3" s="3" t="s">
        <v>6</v>
      </c>
      <c r="AA3" s="3" t="s">
        <v>7</v>
      </c>
      <c r="AB3" s="3" t="s">
        <v>8</v>
      </c>
      <c r="AE3" s="3" t="s">
        <v>184</v>
      </c>
      <c r="AF3" s="3" t="s">
        <v>46</v>
      </c>
      <c r="AG3" s="3" t="s">
        <v>223</v>
      </c>
      <c r="AH3" s="3" t="s">
        <v>8</v>
      </c>
      <c r="AJ3" s="3" t="s">
        <v>273</v>
      </c>
      <c r="AK3" s="3" t="s">
        <v>274</v>
      </c>
      <c r="AL3" s="3" t="s">
        <v>46</v>
      </c>
      <c r="AM3" s="3" t="s">
        <v>223</v>
      </c>
      <c r="AN3" s="3" t="s">
        <v>8</v>
      </c>
      <c r="AO3" s="3" t="s">
        <v>275</v>
      </c>
    </row>
    <row r="4" spans="2:41" x14ac:dyDescent="0.3">
      <c r="C4" s="6"/>
      <c r="D4" s="6"/>
      <c r="E4" s="6"/>
      <c r="F4" s="6"/>
      <c r="G4" s="6"/>
      <c r="H4" s="6"/>
      <c r="J4" s="12"/>
      <c r="S4" s="2"/>
      <c r="T4" s="2"/>
      <c r="V4" s="3"/>
      <c r="W4" s="2"/>
      <c r="X4" s="2"/>
      <c r="Y4" s="2"/>
      <c r="Z4" s="2"/>
      <c r="AA4" s="2"/>
      <c r="AB4" s="2"/>
      <c r="AF4" s="12"/>
      <c r="AG4" s="12"/>
      <c r="AK4" s="12"/>
      <c r="AL4" s="12"/>
      <c r="AM4" s="12"/>
    </row>
    <row r="5" spans="2:41" x14ac:dyDescent="0.3">
      <c r="B5" s="5"/>
      <c r="C5" s="6"/>
      <c r="D5" s="6"/>
      <c r="E5" s="6"/>
      <c r="F5" s="6"/>
      <c r="G5" s="6"/>
      <c r="H5" s="6"/>
      <c r="I5" s="3"/>
      <c r="J5" s="12"/>
      <c r="K5" s="2"/>
      <c r="M5" s="3"/>
      <c r="N5" s="2"/>
      <c r="O5" s="2"/>
      <c r="P5" s="2"/>
      <c r="Q5" s="2"/>
      <c r="R5" s="2"/>
      <c r="S5" s="2"/>
      <c r="T5" s="2"/>
      <c r="AF5" s="12"/>
      <c r="AG5" s="12"/>
      <c r="AK5" s="12"/>
      <c r="AL5" s="12"/>
      <c r="AM5" s="12"/>
    </row>
    <row r="6" spans="2:41" x14ac:dyDescent="0.3">
      <c r="B6" s="5"/>
      <c r="C6" s="6"/>
      <c r="D6" s="6"/>
      <c r="E6" s="6"/>
      <c r="F6" s="6"/>
      <c r="G6" s="6"/>
      <c r="H6" s="6"/>
      <c r="I6" s="3"/>
      <c r="J6" s="12"/>
      <c r="K6" s="2"/>
      <c r="M6" s="3"/>
      <c r="N6" s="2"/>
      <c r="O6" s="2"/>
      <c r="P6" s="2"/>
      <c r="Q6" s="2"/>
      <c r="R6" s="2"/>
      <c r="S6" s="2"/>
      <c r="T6" s="2"/>
      <c r="AF6" s="12"/>
      <c r="AG6" s="12"/>
      <c r="AK6" s="12"/>
      <c r="AL6" s="12"/>
      <c r="AM6" s="12"/>
    </row>
    <row r="7" spans="2:41" x14ac:dyDescent="0.3">
      <c r="B7" s="5"/>
      <c r="C7" s="6"/>
      <c r="D7" s="6"/>
      <c r="E7" s="6"/>
      <c r="F7" s="6"/>
      <c r="G7" s="6"/>
      <c r="H7" s="6"/>
      <c r="I7" s="3"/>
      <c r="J7" s="12"/>
      <c r="K7" s="2"/>
      <c r="M7" s="3"/>
      <c r="N7" s="2"/>
      <c r="O7" s="2"/>
      <c r="P7" s="2"/>
      <c r="Q7" s="2"/>
      <c r="R7" s="2"/>
      <c r="S7" s="2"/>
      <c r="T7" s="2"/>
      <c r="AF7" s="12"/>
      <c r="AG7" s="12"/>
      <c r="AK7" s="12"/>
      <c r="AL7" s="12"/>
      <c r="AM7" s="12"/>
    </row>
    <row r="8" spans="2:41" x14ac:dyDescent="0.3">
      <c r="B8" s="5"/>
      <c r="C8" s="6"/>
      <c r="D8" s="6"/>
      <c r="E8" s="6"/>
      <c r="F8" s="6"/>
      <c r="G8" s="6"/>
      <c r="H8" s="6"/>
      <c r="I8" s="3"/>
      <c r="J8" s="12"/>
      <c r="M8" s="3"/>
      <c r="O8" s="2"/>
      <c r="P8" s="2"/>
      <c r="Q8" s="2"/>
      <c r="R8" s="2"/>
      <c r="S8" s="2"/>
      <c r="AF8" s="12"/>
      <c r="AG8" s="12"/>
      <c r="AK8" s="12"/>
      <c r="AL8" s="12"/>
      <c r="AM8" s="12"/>
    </row>
    <row r="9" spans="2:41" x14ac:dyDescent="0.3">
      <c r="B9" s="5"/>
      <c r="C9" s="6"/>
      <c r="D9" s="6"/>
      <c r="E9" s="6"/>
      <c r="F9" s="6"/>
      <c r="G9" s="6"/>
      <c r="H9" s="6"/>
      <c r="I9" s="3"/>
      <c r="J9" s="12"/>
      <c r="M9" s="3"/>
      <c r="N9" s="2"/>
      <c r="O9" s="2"/>
      <c r="P9" s="2"/>
      <c r="Q9" s="2"/>
      <c r="R9" s="2"/>
      <c r="S9" s="2"/>
      <c r="AF9" s="12"/>
      <c r="AG9" s="12"/>
      <c r="AK9" s="12"/>
      <c r="AL9" s="12"/>
      <c r="AM9" s="12"/>
    </row>
    <row r="10" spans="2:41" x14ac:dyDescent="0.3">
      <c r="B10" s="5"/>
      <c r="C10" s="6"/>
      <c r="D10" s="6"/>
      <c r="E10" s="6"/>
      <c r="F10" s="6"/>
      <c r="G10" s="6"/>
      <c r="H10" s="6"/>
      <c r="I10" s="3"/>
      <c r="J10" s="12"/>
      <c r="M10" s="3"/>
      <c r="O10" s="4"/>
      <c r="P10" s="2"/>
      <c r="Q10" s="2"/>
      <c r="R10" s="2"/>
      <c r="S10" s="2"/>
      <c r="AF10" s="12"/>
      <c r="AG10" s="12"/>
      <c r="AK10" s="12"/>
      <c r="AL10" s="12"/>
      <c r="AM10" s="12"/>
    </row>
    <row r="11" spans="2:41" x14ac:dyDescent="0.3">
      <c r="B11" s="5"/>
      <c r="C11" s="6"/>
      <c r="D11" s="6"/>
      <c r="E11" s="6"/>
      <c r="F11" s="6"/>
      <c r="G11" s="6"/>
      <c r="H11" s="6"/>
      <c r="I11" s="3"/>
      <c r="J11" s="12"/>
      <c r="M11" s="3"/>
      <c r="N11" s="2"/>
      <c r="O11" s="2"/>
      <c r="P11" s="2"/>
      <c r="Q11" s="2"/>
      <c r="R11" s="2"/>
      <c r="S11" s="2"/>
      <c r="AF11" s="12"/>
      <c r="AG11" s="12"/>
      <c r="AK11" s="12"/>
      <c r="AL11" s="12"/>
      <c r="AM11" s="12"/>
    </row>
    <row r="12" spans="2:41" x14ac:dyDescent="0.3">
      <c r="B12" s="5"/>
      <c r="C12" s="6"/>
      <c r="D12" s="6"/>
      <c r="E12" s="6"/>
      <c r="F12" s="6"/>
      <c r="G12" s="6"/>
      <c r="H12" s="6"/>
      <c r="I12" s="3"/>
      <c r="J12" s="12"/>
      <c r="M12" s="3"/>
      <c r="O12" s="2"/>
      <c r="P12" s="2"/>
      <c r="Q12" s="2"/>
      <c r="R12" s="2"/>
      <c r="S12" s="2"/>
      <c r="AF12" s="12"/>
      <c r="AG12" s="12"/>
      <c r="AK12" s="12"/>
      <c r="AL12" s="12"/>
      <c r="AM12" s="12"/>
    </row>
    <row r="13" spans="2:41" x14ac:dyDescent="0.3">
      <c r="B13" s="5"/>
      <c r="C13" s="6"/>
      <c r="D13" s="6"/>
      <c r="E13" s="6"/>
      <c r="F13" s="6"/>
      <c r="G13" s="6"/>
      <c r="H13" s="6"/>
      <c r="I13" s="3"/>
      <c r="J13" s="12"/>
      <c r="M13" s="3"/>
      <c r="N13" s="2"/>
      <c r="O13" s="2"/>
      <c r="P13" s="2"/>
      <c r="Q13" s="2"/>
      <c r="R13" s="2"/>
      <c r="AF13" s="12"/>
      <c r="AG13" s="12"/>
      <c r="AK13" s="12"/>
      <c r="AL13" s="12"/>
      <c r="AM13" s="12"/>
    </row>
    <row r="14" spans="2:41" x14ac:dyDescent="0.3">
      <c r="B14" s="5"/>
      <c r="C14" s="6"/>
      <c r="D14" s="6"/>
      <c r="E14" s="6"/>
      <c r="F14" s="6"/>
      <c r="G14" s="6"/>
      <c r="H14" s="6"/>
      <c r="I14" s="3"/>
      <c r="J14" s="12"/>
      <c r="M14" s="3"/>
      <c r="O14" s="2"/>
      <c r="P14" s="2"/>
      <c r="Q14" s="2"/>
      <c r="R14" s="2"/>
      <c r="AF14" s="12"/>
      <c r="AG14" s="12"/>
      <c r="AK14" s="12"/>
      <c r="AL14" s="12"/>
      <c r="AM14" s="12"/>
    </row>
    <row r="15" spans="2:41" x14ac:dyDescent="0.3">
      <c r="B15" s="5"/>
      <c r="C15" s="6"/>
      <c r="D15" s="6"/>
      <c r="E15" s="6"/>
      <c r="F15" s="6"/>
      <c r="G15" s="6"/>
      <c r="H15" s="6"/>
      <c r="I15" s="3"/>
      <c r="J15" s="12"/>
      <c r="M15" s="3"/>
      <c r="N15" s="2"/>
      <c r="O15" s="2"/>
      <c r="P15" s="2"/>
      <c r="Q15" s="2"/>
      <c r="R15" s="2"/>
      <c r="AF15" s="12"/>
      <c r="AG15" s="12"/>
      <c r="AK15" s="12"/>
      <c r="AL15" s="12"/>
      <c r="AM15" s="12"/>
    </row>
    <row r="16" spans="2:41" x14ac:dyDescent="0.3">
      <c r="C16" s="6"/>
      <c r="D16" s="6"/>
      <c r="E16" s="6"/>
      <c r="F16" s="6"/>
      <c r="G16" s="6"/>
      <c r="H16" s="6"/>
      <c r="J16" s="12"/>
      <c r="AF16" s="12"/>
      <c r="AG16" s="12"/>
      <c r="AK16" s="12"/>
      <c r="AL16" s="12"/>
      <c r="AM16" s="12"/>
    </row>
    <row r="17" spans="3:39" x14ac:dyDescent="0.3">
      <c r="C17" s="6"/>
      <c r="D17" s="6"/>
      <c r="E17" s="6"/>
      <c r="F17" s="6"/>
      <c r="G17" s="6"/>
      <c r="H17" s="6"/>
      <c r="J17" s="12"/>
      <c r="AF17" s="12"/>
      <c r="AG17" s="12"/>
      <c r="AK17" s="12"/>
      <c r="AL17" s="12"/>
      <c r="AM17" s="12"/>
    </row>
    <row r="18" spans="3:39" x14ac:dyDescent="0.3">
      <c r="C18" s="6"/>
      <c r="D18" s="6"/>
      <c r="E18" s="6"/>
      <c r="F18" s="6"/>
      <c r="G18" s="6"/>
      <c r="H18" s="6"/>
      <c r="J18" s="12"/>
      <c r="AF18" s="12"/>
      <c r="AG18" s="12"/>
      <c r="AK18" s="12"/>
      <c r="AL18" s="12"/>
      <c r="AM18" s="12"/>
    </row>
    <row r="19" spans="3:39" x14ac:dyDescent="0.3">
      <c r="C19" s="6"/>
      <c r="D19" s="6"/>
      <c r="E19" s="6"/>
      <c r="F19" s="6"/>
      <c r="G19" s="6"/>
      <c r="H19" s="6"/>
      <c r="J19" s="12"/>
      <c r="AF19" s="12"/>
      <c r="AG19" s="12"/>
      <c r="AK19" s="12"/>
      <c r="AL19" s="12"/>
      <c r="AM19" s="12"/>
    </row>
    <row r="20" spans="3:39" x14ac:dyDescent="0.3">
      <c r="C20" s="6"/>
      <c r="D20" s="6"/>
      <c r="E20" s="6"/>
      <c r="F20" s="6"/>
      <c r="G20" s="6"/>
      <c r="H20" s="6"/>
      <c r="J20" s="12"/>
      <c r="AF20" s="12"/>
      <c r="AG20" s="12"/>
      <c r="AK20" s="12"/>
      <c r="AL20" s="12"/>
      <c r="AM20" s="12"/>
    </row>
    <row r="21" spans="3:39" x14ac:dyDescent="0.3">
      <c r="C21" s="6"/>
      <c r="D21" s="6"/>
      <c r="E21" s="6"/>
      <c r="F21" s="6"/>
      <c r="G21" s="6"/>
      <c r="H21" s="6"/>
      <c r="J21" s="12"/>
      <c r="AF21" s="12"/>
      <c r="AG21" s="12"/>
      <c r="AK21" s="12"/>
      <c r="AL21" s="12"/>
      <c r="AM21" s="12"/>
    </row>
    <row r="22" spans="3:39" x14ac:dyDescent="0.3">
      <c r="C22" s="6"/>
      <c r="D22" s="6"/>
      <c r="E22" s="6"/>
      <c r="F22" s="6"/>
      <c r="G22" s="6"/>
      <c r="H22" s="6"/>
      <c r="J22" s="12"/>
      <c r="AF22" s="12"/>
      <c r="AG22" s="12"/>
      <c r="AK22" s="12"/>
      <c r="AL22" s="12"/>
      <c r="AM22" s="12"/>
    </row>
    <row r="23" spans="3:39" x14ac:dyDescent="0.3">
      <c r="C23" s="6"/>
      <c r="D23" s="6"/>
      <c r="E23" s="6"/>
      <c r="F23" s="6"/>
      <c r="G23" s="6"/>
      <c r="H23" s="6"/>
      <c r="J23" s="12"/>
      <c r="AF23" s="12"/>
      <c r="AG23" s="12"/>
      <c r="AK23" s="12"/>
      <c r="AL23" s="12"/>
      <c r="AM23" s="12"/>
    </row>
    <row r="24" spans="3:39" x14ac:dyDescent="0.3">
      <c r="C24" s="6"/>
      <c r="D24" s="6"/>
      <c r="E24" s="6"/>
      <c r="F24" s="6"/>
      <c r="G24" s="6"/>
      <c r="H24" s="6"/>
      <c r="J24" s="12"/>
      <c r="AF24" s="12"/>
      <c r="AG24" s="12"/>
      <c r="AK24" s="12"/>
      <c r="AL24" s="12"/>
      <c r="AM24" s="12"/>
    </row>
    <row r="25" spans="3:39" x14ac:dyDescent="0.3">
      <c r="C25" s="6"/>
      <c r="D25" s="6"/>
      <c r="E25" s="6"/>
      <c r="F25" s="6"/>
      <c r="G25" s="6"/>
      <c r="H25" s="6"/>
      <c r="J25" s="12"/>
      <c r="AF25" s="12"/>
      <c r="AG25" s="12"/>
      <c r="AK25" s="12"/>
      <c r="AL25" s="12"/>
      <c r="AM25" s="12"/>
    </row>
    <row r="26" spans="3:39" x14ac:dyDescent="0.3">
      <c r="C26" s="6"/>
      <c r="D26" s="6"/>
      <c r="E26" s="6"/>
      <c r="F26" s="6"/>
      <c r="G26" s="6"/>
      <c r="H26" s="6"/>
      <c r="J26" s="12"/>
      <c r="AF26" s="12"/>
      <c r="AG26" s="12"/>
      <c r="AK26" s="12"/>
      <c r="AL26" s="12"/>
      <c r="AM26" s="12"/>
    </row>
    <row r="27" spans="3:39" x14ac:dyDescent="0.3">
      <c r="C27" s="6"/>
      <c r="D27" s="6"/>
      <c r="E27" s="6"/>
      <c r="F27" s="6"/>
      <c r="G27" s="6"/>
      <c r="H27" s="6"/>
      <c r="J27" s="12"/>
      <c r="AF27" s="12"/>
      <c r="AG27" s="12"/>
      <c r="AK27" s="12"/>
      <c r="AL27" s="12"/>
      <c r="AM27" s="12"/>
    </row>
    <row r="28" spans="3:39" x14ac:dyDescent="0.3">
      <c r="C28" s="6"/>
      <c r="D28" s="6"/>
      <c r="E28" s="6"/>
      <c r="F28" s="6"/>
      <c r="G28" s="6"/>
      <c r="H28" s="6"/>
      <c r="J28" s="12"/>
      <c r="AF28" s="12"/>
      <c r="AG28" s="12"/>
      <c r="AK28" s="12"/>
      <c r="AL28" s="12"/>
      <c r="AM28" s="12"/>
    </row>
    <row r="29" spans="3:39" x14ac:dyDescent="0.3">
      <c r="C29" s="6"/>
      <c r="D29" s="6"/>
      <c r="E29" s="6"/>
      <c r="F29" s="6"/>
      <c r="G29" s="6"/>
      <c r="H29" s="6"/>
      <c r="J29" s="12"/>
      <c r="AF29" s="12"/>
      <c r="AG29" s="12"/>
      <c r="AK29" s="12"/>
      <c r="AL29" s="12"/>
      <c r="AM29" s="12"/>
    </row>
    <row r="30" spans="3:39" x14ac:dyDescent="0.3">
      <c r="C30" s="6"/>
      <c r="D30" s="6"/>
      <c r="E30" s="6"/>
      <c r="F30" s="6"/>
      <c r="G30" s="6"/>
      <c r="H30" s="6"/>
      <c r="J30" s="12"/>
      <c r="AF30" s="12"/>
      <c r="AG30" s="12"/>
      <c r="AK30" s="12"/>
      <c r="AL30" s="12"/>
      <c r="AM30" s="12"/>
    </row>
    <row r="31" spans="3:39" x14ac:dyDescent="0.3">
      <c r="C31" s="6"/>
      <c r="D31" s="6"/>
      <c r="E31" s="6"/>
      <c r="F31" s="6"/>
      <c r="G31" s="6"/>
      <c r="H31" s="6"/>
      <c r="J31" s="12"/>
    </row>
    <row r="32" spans="3:39" x14ac:dyDescent="0.3">
      <c r="C32" s="6"/>
      <c r="D32" s="6"/>
      <c r="E32" s="6"/>
      <c r="F32" s="6"/>
      <c r="G32" s="6"/>
      <c r="H32" s="6"/>
      <c r="J32" s="12"/>
    </row>
    <row r="33" spans="3:10" x14ac:dyDescent="0.3">
      <c r="C33" s="6"/>
      <c r="D33" s="6"/>
      <c r="E33" s="6"/>
      <c r="F33" s="6"/>
      <c r="G33" s="6"/>
      <c r="H33" s="6"/>
      <c r="J33" s="12"/>
    </row>
    <row r="34" spans="3:10" x14ac:dyDescent="0.3">
      <c r="C34" s="6"/>
      <c r="D34" s="6"/>
      <c r="E34" s="6"/>
      <c r="F34" s="6"/>
      <c r="G34" s="6"/>
      <c r="H34" s="6"/>
      <c r="J34" s="12"/>
    </row>
    <row r="35" spans="3:10" x14ac:dyDescent="0.3">
      <c r="C35" s="6"/>
      <c r="D35" s="6"/>
      <c r="E35" s="6"/>
      <c r="F35" s="6"/>
      <c r="G35" s="6"/>
      <c r="H35" s="6"/>
      <c r="J35" s="12"/>
    </row>
    <row r="36" spans="3:10" x14ac:dyDescent="0.3">
      <c r="C36" s="6"/>
      <c r="D36" s="6"/>
      <c r="E36" s="6"/>
      <c r="F36" s="6"/>
      <c r="G36" s="6"/>
      <c r="H36" s="6"/>
      <c r="J36" s="12"/>
    </row>
    <row r="37" spans="3:10" x14ac:dyDescent="0.3">
      <c r="C37" s="6"/>
      <c r="D37" s="6"/>
      <c r="E37" s="6"/>
      <c r="F37" s="6"/>
      <c r="G37" s="6"/>
      <c r="H37" s="6"/>
      <c r="J37" s="12"/>
    </row>
    <row r="38" spans="3:10" x14ac:dyDescent="0.3">
      <c r="C38" s="6"/>
      <c r="D38" s="6"/>
      <c r="E38" s="6"/>
      <c r="F38" s="6"/>
      <c r="G38" s="6"/>
      <c r="H38" s="6"/>
      <c r="J38" s="12"/>
    </row>
    <row r="39" spans="3:10" x14ac:dyDescent="0.3">
      <c r="C39" s="6"/>
      <c r="D39" s="6"/>
      <c r="E39" s="6"/>
      <c r="F39" s="6"/>
      <c r="G39" s="6"/>
      <c r="H39" s="6"/>
      <c r="J39" s="12"/>
    </row>
    <row r="40" spans="3:10" x14ac:dyDescent="0.3">
      <c r="C40" s="6"/>
      <c r="D40" s="6"/>
      <c r="E40" s="6"/>
      <c r="F40" s="6"/>
      <c r="G40" s="6"/>
      <c r="H40" s="6"/>
      <c r="J40" s="12"/>
    </row>
    <row r="41" spans="3:10" x14ac:dyDescent="0.3">
      <c r="C41" s="6"/>
      <c r="D41" s="6"/>
      <c r="E41" s="6"/>
      <c r="F41" s="6"/>
      <c r="G41" s="6"/>
      <c r="H41" s="6"/>
      <c r="J41" s="12"/>
    </row>
    <row r="42" spans="3:10" x14ac:dyDescent="0.3">
      <c r="C42" s="6"/>
      <c r="D42" s="6"/>
      <c r="E42" s="6"/>
      <c r="F42" s="6"/>
      <c r="G42" s="6"/>
      <c r="H42" s="6"/>
      <c r="J42" s="12"/>
    </row>
    <row r="43" spans="3:10" x14ac:dyDescent="0.3">
      <c r="C43" s="6"/>
      <c r="D43" s="6"/>
      <c r="E43" s="6"/>
      <c r="F43" s="6"/>
      <c r="G43" s="6"/>
      <c r="H43" s="6"/>
      <c r="J43" s="12"/>
    </row>
    <row r="44" spans="3:10" x14ac:dyDescent="0.3">
      <c r="C44" s="6"/>
      <c r="D44" s="6"/>
      <c r="E44" s="6"/>
      <c r="F44" s="6"/>
      <c r="G44" s="6"/>
      <c r="H44" s="6"/>
      <c r="J44" s="12"/>
    </row>
    <row r="45" spans="3:10" x14ac:dyDescent="0.3">
      <c r="C45" s="6"/>
      <c r="D45" s="6"/>
      <c r="E45" s="6"/>
      <c r="F45" s="6"/>
      <c r="G45" s="6"/>
      <c r="H45" s="6"/>
      <c r="J45" s="12"/>
    </row>
    <row r="46" spans="3:10" x14ac:dyDescent="0.3">
      <c r="C46" s="6"/>
      <c r="D46" s="6"/>
      <c r="E46" s="6"/>
      <c r="F46" s="6"/>
      <c r="G46" s="6"/>
      <c r="H46" s="6"/>
      <c r="J46" s="12"/>
    </row>
    <row r="47" spans="3:10" x14ac:dyDescent="0.3">
      <c r="C47" s="6"/>
      <c r="D47" s="6"/>
      <c r="E47" s="6"/>
      <c r="F47" s="6"/>
      <c r="G47" s="6"/>
      <c r="H47" s="6"/>
      <c r="J47" s="12"/>
    </row>
    <row r="48" spans="3:10" x14ac:dyDescent="0.3">
      <c r="C48" s="6"/>
      <c r="D48" s="6"/>
      <c r="E48" s="6"/>
      <c r="F48" s="6"/>
      <c r="G48" s="6"/>
      <c r="H48" s="6"/>
      <c r="J48" s="12"/>
    </row>
    <row r="49" spans="3:10" x14ac:dyDescent="0.3">
      <c r="C49" s="6"/>
      <c r="D49" s="6"/>
      <c r="E49" s="6"/>
      <c r="F49" s="6"/>
      <c r="G49" s="6"/>
      <c r="H49" s="6"/>
      <c r="J49" s="12"/>
    </row>
    <row r="50" spans="3:10" x14ac:dyDescent="0.3">
      <c r="C50" s="6"/>
      <c r="D50" s="6"/>
      <c r="E50" s="6"/>
      <c r="F50" s="6"/>
      <c r="G50" s="6"/>
      <c r="H50" s="6"/>
      <c r="J50" s="12"/>
    </row>
    <row r="51" spans="3:10" x14ac:dyDescent="0.3">
      <c r="C51" s="6"/>
      <c r="D51" s="6"/>
      <c r="E51" s="6"/>
      <c r="F51" s="6"/>
      <c r="G51" s="6"/>
      <c r="H51" s="6"/>
      <c r="J51" s="12"/>
    </row>
    <row r="52" spans="3:10" x14ac:dyDescent="0.3">
      <c r="C52" s="6"/>
      <c r="D52" s="6"/>
      <c r="E52" s="6"/>
      <c r="F52" s="6"/>
      <c r="G52" s="6"/>
      <c r="H52" s="6"/>
      <c r="J52" s="12"/>
    </row>
    <row r="53" spans="3:10" x14ac:dyDescent="0.3">
      <c r="C53" s="6"/>
      <c r="D53" s="6"/>
      <c r="E53" s="6"/>
      <c r="F53" s="6"/>
      <c r="G53" s="6"/>
      <c r="H53" s="6"/>
      <c r="J53" s="12"/>
    </row>
    <row r="54" spans="3:10" x14ac:dyDescent="0.3">
      <c r="C54" s="6"/>
      <c r="D54" s="6"/>
      <c r="E54" s="6"/>
      <c r="F54" s="6"/>
      <c r="G54" s="6"/>
      <c r="H54" s="6"/>
      <c r="J54" s="12"/>
    </row>
    <row r="55" spans="3:10" x14ac:dyDescent="0.3">
      <c r="C55" s="6"/>
      <c r="D55" s="6"/>
      <c r="E55" s="6"/>
      <c r="F55" s="6"/>
      <c r="G55" s="6"/>
      <c r="H55" s="6"/>
      <c r="J55" s="12"/>
    </row>
    <row r="56" spans="3:10" x14ac:dyDescent="0.3">
      <c r="C56" s="6"/>
      <c r="D56" s="6"/>
      <c r="E56" s="6"/>
      <c r="F56" s="6"/>
      <c r="G56" s="6"/>
      <c r="H56" s="6"/>
      <c r="J56" s="12"/>
    </row>
    <row r="57" spans="3:10" x14ac:dyDescent="0.3">
      <c r="C57" s="6"/>
      <c r="D57" s="6"/>
      <c r="E57" s="6"/>
      <c r="F57" s="6"/>
      <c r="G57" s="6"/>
      <c r="H57" s="6"/>
      <c r="J57" s="12"/>
    </row>
    <row r="58" spans="3:10" x14ac:dyDescent="0.3">
      <c r="C58" s="6"/>
      <c r="D58" s="6"/>
      <c r="E58" s="6"/>
      <c r="F58" s="6"/>
      <c r="G58" s="6"/>
      <c r="H58" s="6"/>
      <c r="J58" s="12"/>
    </row>
    <row r="59" spans="3:10" x14ac:dyDescent="0.3">
      <c r="C59" s="6"/>
      <c r="D59" s="6"/>
      <c r="E59" s="6"/>
      <c r="F59" s="6"/>
      <c r="G59" s="6"/>
      <c r="H59" s="6"/>
      <c r="J59" s="12"/>
    </row>
    <row r="60" spans="3:10" x14ac:dyDescent="0.3">
      <c r="C60" s="6"/>
      <c r="D60" s="6"/>
      <c r="E60" s="6"/>
      <c r="F60" s="6"/>
      <c r="G60" s="6"/>
      <c r="H60" s="6"/>
      <c r="J60" s="12"/>
    </row>
    <row r="61" spans="3:10" x14ac:dyDescent="0.3">
      <c r="C61" s="6"/>
      <c r="D61" s="6"/>
      <c r="E61" s="6"/>
      <c r="F61" s="6"/>
      <c r="G61" s="6"/>
      <c r="H61" s="6"/>
      <c r="J61" s="12"/>
    </row>
    <row r="62" spans="3:10" x14ac:dyDescent="0.3">
      <c r="C62" s="6"/>
      <c r="D62" s="6"/>
      <c r="E62" s="6"/>
      <c r="F62" s="6"/>
      <c r="G62" s="6"/>
      <c r="H62" s="6"/>
      <c r="J62" s="12"/>
    </row>
    <row r="63" spans="3:10" x14ac:dyDescent="0.3">
      <c r="C63" s="6"/>
      <c r="D63" s="6"/>
      <c r="E63" s="6"/>
      <c r="F63" s="6"/>
      <c r="G63" s="6"/>
      <c r="H63" s="6"/>
      <c r="J63" s="12"/>
    </row>
    <row r="64" spans="3:10" x14ac:dyDescent="0.3">
      <c r="C64" s="6"/>
      <c r="D64" s="6"/>
      <c r="E64" s="6"/>
      <c r="F64" s="6"/>
      <c r="G64" s="6"/>
      <c r="H64" s="6"/>
      <c r="J64" s="12"/>
    </row>
    <row r="65" spans="3:10" x14ac:dyDescent="0.3">
      <c r="C65" s="6"/>
      <c r="D65" s="6"/>
      <c r="E65" s="6"/>
      <c r="F65" s="6"/>
      <c r="G65" s="6"/>
      <c r="H65" s="6"/>
      <c r="J65" s="12"/>
    </row>
    <row r="66" spans="3:10" x14ac:dyDescent="0.3">
      <c r="C66" s="6"/>
      <c r="D66" s="6"/>
      <c r="E66" s="6"/>
      <c r="F66" s="6"/>
      <c r="G66" s="6"/>
      <c r="H66" s="6"/>
      <c r="J66" s="12"/>
    </row>
    <row r="67" spans="3:10" x14ac:dyDescent="0.3">
      <c r="C67" s="6"/>
      <c r="D67" s="6"/>
      <c r="E67" s="6"/>
      <c r="F67" s="6"/>
      <c r="G67" s="6"/>
      <c r="H67" s="6"/>
      <c r="J67" s="12"/>
    </row>
    <row r="68" spans="3:10" x14ac:dyDescent="0.3">
      <c r="C68" s="6"/>
      <c r="D68" s="6"/>
      <c r="E68" s="6"/>
      <c r="F68" s="6"/>
      <c r="G68" s="6"/>
      <c r="H68" s="6"/>
      <c r="J68" s="12"/>
    </row>
    <row r="69" spans="3:10" x14ac:dyDescent="0.3">
      <c r="C69" s="6"/>
      <c r="D69" s="6"/>
      <c r="E69" s="6"/>
      <c r="F69" s="6"/>
      <c r="G69" s="6"/>
      <c r="H69" s="6"/>
      <c r="J69" s="12"/>
    </row>
    <row r="70" spans="3:10" x14ac:dyDescent="0.3">
      <c r="C70" s="6"/>
      <c r="D70" s="6"/>
      <c r="E70" s="6"/>
      <c r="F70" s="6"/>
      <c r="G70" s="6"/>
      <c r="H70" s="6"/>
      <c r="J70" s="12"/>
    </row>
    <row r="71" spans="3:10" x14ac:dyDescent="0.3">
      <c r="C71" s="6"/>
      <c r="D71" s="6"/>
      <c r="E71" s="6"/>
      <c r="F71" s="6"/>
      <c r="G71" s="6"/>
      <c r="H71" s="6"/>
      <c r="J71" s="12"/>
    </row>
    <row r="72" spans="3:10" x14ac:dyDescent="0.3">
      <c r="C72" s="6"/>
      <c r="D72" s="6"/>
      <c r="E72" s="6"/>
      <c r="F72" s="6"/>
      <c r="G72" s="6"/>
      <c r="H72" s="6"/>
      <c r="J72" s="12"/>
    </row>
    <row r="73" spans="3:10" x14ac:dyDescent="0.3">
      <c r="C73" s="6"/>
      <c r="D73" s="6"/>
      <c r="E73" s="6"/>
      <c r="F73" s="6"/>
      <c r="G73" s="6"/>
      <c r="H73" s="6"/>
      <c r="J73" s="12"/>
    </row>
    <row r="74" spans="3:10" x14ac:dyDescent="0.3">
      <c r="C74" s="6"/>
      <c r="D74" s="6"/>
      <c r="E74" s="6"/>
      <c r="F74" s="6"/>
      <c r="G74" s="6"/>
      <c r="H74" s="6"/>
      <c r="J74" s="12"/>
    </row>
    <row r="75" spans="3:10" x14ac:dyDescent="0.3">
      <c r="C75" s="6"/>
      <c r="D75" s="6"/>
      <c r="E75" s="6"/>
      <c r="F75" s="6"/>
      <c r="G75" s="6"/>
      <c r="H75" s="6"/>
      <c r="J75" s="12"/>
    </row>
    <row r="76" spans="3:10" x14ac:dyDescent="0.3">
      <c r="C76" s="6"/>
      <c r="D76" s="6"/>
      <c r="E76" s="6"/>
      <c r="F76" s="6"/>
      <c r="G76" s="6"/>
      <c r="H76" s="6"/>
      <c r="J76" s="12"/>
    </row>
    <row r="77" spans="3:10" x14ac:dyDescent="0.3">
      <c r="C77" s="6"/>
      <c r="D77" s="6"/>
      <c r="E77" s="6"/>
      <c r="F77" s="6"/>
      <c r="G77" s="6"/>
      <c r="H77" s="6"/>
      <c r="J77" s="12"/>
    </row>
    <row r="78" spans="3:10" x14ac:dyDescent="0.3">
      <c r="C78" s="6"/>
      <c r="D78" s="6"/>
      <c r="E78" s="6"/>
      <c r="F78" s="6"/>
      <c r="G78" s="6"/>
      <c r="H78" s="6"/>
      <c r="J78" s="12"/>
    </row>
    <row r="79" spans="3:10" x14ac:dyDescent="0.3">
      <c r="C79" s="6"/>
      <c r="D79" s="6"/>
      <c r="E79" s="6"/>
      <c r="F79" s="6"/>
      <c r="G79" s="6"/>
      <c r="H79" s="6"/>
      <c r="J79" s="12"/>
    </row>
    <row r="80" spans="3:10" x14ac:dyDescent="0.3">
      <c r="C80" s="6"/>
      <c r="D80" s="6"/>
      <c r="E80" s="6"/>
      <c r="F80" s="6"/>
      <c r="G80" s="6"/>
      <c r="H80" s="6"/>
      <c r="J80" s="12"/>
    </row>
    <row r="81" spans="3:10" x14ac:dyDescent="0.3">
      <c r="C81" s="6"/>
      <c r="D81" s="6"/>
      <c r="E81" s="6"/>
      <c r="F81" s="6"/>
      <c r="G81" s="6"/>
      <c r="H81" s="6"/>
      <c r="J81" s="12"/>
    </row>
    <row r="82" spans="3:10" x14ac:dyDescent="0.3">
      <c r="C82" s="6"/>
      <c r="D82" s="6"/>
      <c r="E82" s="6"/>
      <c r="F82" s="6"/>
      <c r="G82" s="6"/>
      <c r="H82" s="6"/>
      <c r="J82" s="12"/>
    </row>
    <row r="83" spans="3:10" x14ac:dyDescent="0.3">
      <c r="C83" s="6"/>
      <c r="D83" s="6"/>
      <c r="E83" s="6"/>
      <c r="F83" s="6"/>
      <c r="G83" s="6"/>
      <c r="H83" s="6"/>
      <c r="J83" s="12"/>
    </row>
    <row r="84" spans="3:10" x14ac:dyDescent="0.3">
      <c r="C84" s="6"/>
      <c r="D84" s="6"/>
      <c r="E84" s="6"/>
      <c r="F84" s="6"/>
      <c r="G84" s="6"/>
      <c r="H84" s="6"/>
      <c r="J84" s="12"/>
    </row>
    <row r="85" spans="3:10" x14ac:dyDescent="0.3">
      <c r="C85" s="6"/>
      <c r="D85" s="6"/>
      <c r="E85" s="6"/>
      <c r="F85" s="6"/>
      <c r="G85" s="6"/>
      <c r="H85" s="6"/>
      <c r="J85" s="12"/>
    </row>
    <row r="86" spans="3:10" x14ac:dyDescent="0.3">
      <c r="C86" s="6"/>
      <c r="D86" s="6"/>
      <c r="E86" s="6"/>
      <c r="F86" s="6"/>
      <c r="G86" s="6"/>
      <c r="H86" s="6"/>
      <c r="J86" s="12"/>
    </row>
    <row r="87" spans="3:10" x14ac:dyDescent="0.3">
      <c r="C87" s="6"/>
      <c r="D87" s="6"/>
      <c r="E87" s="6"/>
      <c r="F87" s="6"/>
      <c r="G87" s="6"/>
      <c r="H87" s="6"/>
      <c r="J87" s="12"/>
    </row>
    <row r="88" spans="3:10" x14ac:dyDescent="0.3">
      <c r="C88" s="6"/>
      <c r="D88" s="6"/>
      <c r="E88" s="6"/>
      <c r="F88" s="6"/>
      <c r="G88" s="6"/>
      <c r="H88" s="6"/>
      <c r="J88" s="12"/>
    </row>
    <row r="89" spans="3:10" x14ac:dyDescent="0.3">
      <c r="C89" s="6"/>
      <c r="D89" s="6"/>
      <c r="E89" s="6"/>
      <c r="F89" s="6"/>
      <c r="G89" s="6"/>
      <c r="H89" s="6"/>
      <c r="J89" s="12"/>
    </row>
    <row r="90" spans="3:10" x14ac:dyDescent="0.3">
      <c r="C90" s="6"/>
      <c r="D90" s="6"/>
      <c r="E90" s="6"/>
      <c r="F90" s="6"/>
      <c r="G90" s="6"/>
      <c r="H90" s="6"/>
      <c r="J90" s="12"/>
    </row>
    <row r="91" spans="3:10" x14ac:dyDescent="0.3">
      <c r="C91" s="6"/>
      <c r="D91" s="6"/>
      <c r="E91" s="6"/>
      <c r="F91" s="6"/>
      <c r="G91" s="6"/>
      <c r="H91" s="6"/>
      <c r="J91" s="12"/>
    </row>
    <row r="92" spans="3:10" x14ac:dyDescent="0.3">
      <c r="C92" s="6"/>
      <c r="D92" s="6"/>
      <c r="E92" s="6"/>
      <c r="F92" s="6"/>
      <c r="G92" s="6"/>
      <c r="H92" s="6"/>
      <c r="J92" s="12"/>
    </row>
    <row r="93" spans="3:10" x14ac:dyDescent="0.3">
      <c r="C93" s="6"/>
      <c r="D93" s="6"/>
      <c r="E93" s="6"/>
      <c r="F93" s="6"/>
      <c r="G93" s="6"/>
      <c r="H93" s="6"/>
      <c r="J93" s="12"/>
    </row>
    <row r="94" spans="3:10" x14ac:dyDescent="0.3">
      <c r="C94" s="6"/>
      <c r="D94" s="6"/>
      <c r="E94" s="6"/>
      <c r="F94" s="6"/>
      <c r="G94" s="6"/>
      <c r="H94" s="6"/>
      <c r="J94" s="12"/>
    </row>
    <row r="95" spans="3:10" x14ac:dyDescent="0.3">
      <c r="C95" s="6"/>
      <c r="D95" s="6"/>
      <c r="E95" s="6"/>
      <c r="F95" s="6"/>
      <c r="G95" s="6"/>
      <c r="H95" s="6"/>
      <c r="J95" s="12"/>
    </row>
    <row r="96" spans="3:10" x14ac:dyDescent="0.3">
      <c r="C96" s="6"/>
      <c r="D96" s="6"/>
      <c r="E96" s="6"/>
      <c r="F96" s="6"/>
      <c r="G96" s="6"/>
      <c r="H96" s="6"/>
      <c r="J96" s="12"/>
    </row>
    <row r="97" spans="3:10" x14ac:dyDescent="0.3">
      <c r="C97" s="6"/>
      <c r="D97" s="6"/>
      <c r="E97" s="6"/>
      <c r="F97" s="6"/>
      <c r="G97" s="6"/>
      <c r="H97" s="6"/>
      <c r="J97" s="12"/>
    </row>
    <row r="98" spans="3:10" x14ac:dyDescent="0.3">
      <c r="C98" s="6"/>
      <c r="D98" s="6"/>
      <c r="E98" s="6"/>
      <c r="F98" s="6"/>
      <c r="G98" s="6"/>
      <c r="H98" s="6"/>
      <c r="J98" s="12"/>
    </row>
    <row r="99" spans="3:10" x14ac:dyDescent="0.3">
      <c r="C99" s="6"/>
      <c r="D99" s="6"/>
      <c r="E99" s="6"/>
      <c r="F99" s="6"/>
      <c r="G99" s="6"/>
      <c r="H99" s="6"/>
      <c r="J99" s="12"/>
    </row>
    <row r="100" spans="3:10" x14ac:dyDescent="0.3">
      <c r="C100" s="6"/>
      <c r="D100" s="6"/>
      <c r="E100" s="6"/>
      <c r="F100" s="6"/>
      <c r="G100" s="6"/>
      <c r="H100" s="6"/>
      <c r="J100" s="12"/>
    </row>
  </sheetData>
  <mergeCells count="5">
    <mergeCell ref="AJ2:AO2"/>
    <mergeCell ref="M2:S2"/>
    <mergeCell ref="V2:AB2"/>
    <mergeCell ref="B2:J2"/>
    <mergeCell ref="AE2:AH2"/>
  </mergeCells>
  <dataValidations count="4">
    <dataValidation type="list" allowBlank="1" showInputMessage="1" showErrorMessage="1" sqref="M21" xr:uid="{800B3BF9-1663-4169-8E60-D4A270B713A4}">
      <formula1>"DeathGuard,Space Marines,Drukhari, Daemons, T'Au, Imperial Guard, Sisters of Battle, Thousand Sons"</formula1>
    </dataValidation>
    <dataValidation type="list" allowBlank="1" showInputMessage="1" showErrorMessage="1" sqref="J4:J100" xr:uid="{47D10753-7FF0-4749-8A07-2165A3E48F80}">
      <formula1>"Ranged,Melee"</formula1>
    </dataValidation>
    <dataValidation type="list" allowBlank="1" showInputMessage="1" showErrorMessage="1" sqref="AF4:AF30 AL4:AL30" xr:uid="{C5D3F629-4761-426D-A564-B64EF552DCA9}">
      <formula1>"Attacker,Target"</formula1>
    </dataValidation>
    <dataValidation type="list" allowBlank="1" showInputMessage="1" showErrorMessage="1" sqref="AG4:AG30 AM4:AM30" xr:uid="{2F0405E2-4119-4C37-8249-BD849AE4A810}">
      <formula1>"Shooting,Fighting,Both"</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8835-9429-4CBF-989F-DECD1F63211B}">
  <sheetPr codeName="Sheet7">
    <tabColor rgb="FFC00000"/>
  </sheetPr>
  <dimension ref="B2:AO100"/>
  <sheetViews>
    <sheetView workbookViewId="0">
      <selection activeCell="I3" sqref="I3"/>
    </sheetView>
  </sheetViews>
  <sheetFormatPr defaultRowHeight="14.4" x14ac:dyDescent="0.3"/>
  <cols>
    <col min="2" max="2" width="21.6640625" bestFit="1" customWidth="1"/>
    <col min="3" max="7" width="7.44140625" customWidth="1"/>
    <col min="8" max="8" width="13" customWidth="1"/>
    <col min="9" max="9" width="26" bestFit="1" customWidth="1"/>
    <col min="10" max="10" width="4.6640625" customWidth="1"/>
    <col min="11" max="12" width="1.88671875" customWidth="1"/>
    <col min="13" max="13" width="26.33203125" bestFit="1" customWidth="1"/>
    <col min="14" max="14" width="4.44140625" bestFit="1" customWidth="1"/>
    <col min="15" max="15" width="5.44140625" bestFit="1" customWidth="1"/>
    <col min="16" max="16" width="4.33203125" bestFit="1" customWidth="1"/>
    <col min="17" max="17" width="5.5546875" bestFit="1" customWidth="1"/>
    <col min="18" max="18" width="4.5546875" bestFit="1" customWidth="1"/>
    <col min="19" max="19" width="20.44140625" bestFit="1" customWidth="1"/>
    <col min="20" max="21" width="1.88671875" customWidth="1"/>
    <col min="22" max="22" width="11.88671875" bestFit="1" customWidth="1"/>
    <col min="31" max="31" width="27.77734375" customWidth="1"/>
    <col min="32" max="33" width="12" customWidth="1"/>
    <col min="34" max="34" width="37" customWidth="1"/>
    <col min="36" max="36" width="27.77734375" customWidth="1"/>
    <col min="37" max="37" width="6.44140625" customWidth="1"/>
    <col min="38" max="39" width="13" customWidth="1"/>
    <col min="40" max="40" width="31.44140625" customWidth="1"/>
    <col min="41" max="41" width="40.77734375" customWidth="1"/>
  </cols>
  <sheetData>
    <row r="2" spans="2:41" x14ac:dyDescent="0.3">
      <c r="B2" s="8" t="s">
        <v>14</v>
      </c>
      <c r="C2" s="8"/>
      <c r="D2" s="8"/>
      <c r="E2" s="8"/>
      <c r="F2" s="8"/>
      <c r="G2" s="8"/>
      <c r="H2" s="8"/>
      <c r="I2" s="8"/>
      <c r="J2" s="8"/>
      <c r="M2" s="8" t="s">
        <v>33</v>
      </c>
      <c r="N2" s="8"/>
      <c r="O2" s="8"/>
      <c r="P2" s="8"/>
      <c r="Q2" s="8"/>
      <c r="R2" s="8"/>
      <c r="S2" s="8"/>
      <c r="V2" s="8" t="s">
        <v>34</v>
      </c>
      <c r="W2" s="8"/>
      <c r="X2" s="8"/>
      <c r="Y2" s="8"/>
      <c r="Z2" s="8"/>
      <c r="AA2" s="8"/>
      <c r="AB2" s="8"/>
      <c r="AE2" s="65" t="s">
        <v>222</v>
      </c>
      <c r="AF2" s="65"/>
      <c r="AG2" s="65"/>
      <c r="AH2" s="65"/>
      <c r="AJ2" s="67" t="s">
        <v>298</v>
      </c>
      <c r="AK2" s="68"/>
      <c r="AL2" s="68"/>
      <c r="AM2" s="68"/>
      <c r="AN2" s="68"/>
      <c r="AO2" s="68"/>
    </row>
    <row r="3" spans="2:41" x14ac:dyDescent="0.3">
      <c r="B3" t="s">
        <v>21</v>
      </c>
      <c r="C3" t="s">
        <v>15</v>
      </c>
      <c r="D3" t="s">
        <v>16</v>
      </c>
      <c r="E3" t="s">
        <v>449</v>
      </c>
      <c r="F3" t="s">
        <v>450</v>
      </c>
      <c r="G3" t="s">
        <v>19</v>
      </c>
      <c r="H3" t="s">
        <v>17</v>
      </c>
      <c r="I3" t="s">
        <v>2</v>
      </c>
      <c r="J3" s="2" t="s">
        <v>38</v>
      </c>
      <c r="K3" s="2"/>
      <c r="M3" s="3" t="s">
        <v>2</v>
      </c>
      <c r="N3" s="3" t="s">
        <v>3</v>
      </c>
      <c r="O3" s="3" t="s">
        <v>4</v>
      </c>
      <c r="P3" s="3" t="s">
        <v>5</v>
      </c>
      <c r="Q3" s="3" t="s">
        <v>6</v>
      </c>
      <c r="R3" s="3" t="s">
        <v>7</v>
      </c>
      <c r="S3" s="3" t="s">
        <v>8</v>
      </c>
      <c r="T3" s="2"/>
      <c r="V3" s="3" t="s">
        <v>2</v>
      </c>
      <c r="W3" s="3" t="s">
        <v>3</v>
      </c>
      <c r="X3" s="3" t="s">
        <v>4</v>
      </c>
      <c r="Y3" s="3" t="s">
        <v>5</v>
      </c>
      <c r="Z3" s="3" t="s">
        <v>6</v>
      </c>
      <c r="AA3" s="3" t="s">
        <v>7</v>
      </c>
      <c r="AB3" s="3" t="s">
        <v>8</v>
      </c>
      <c r="AE3" s="3" t="s">
        <v>184</v>
      </c>
      <c r="AF3" s="3" t="s">
        <v>46</v>
      </c>
      <c r="AG3" s="3" t="s">
        <v>223</v>
      </c>
      <c r="AH3" s="3" t="s">
        <v>8</v>
      </c>
      <c r="AJ3" s="3" t="s">
        <v>273</v>
      </c>
      <c r="AK3" s="3" t="s">
        <v>274</v>
      </c>
      <c r="AL3" s="3" t="s">
        <v>46</v>
      </c>
      <c r="AM3" s="3" t="s">
        <v>223</v>
      </c>
      <c r="AN3" s="3" t="s">
        <v>8</v>
      </c>
      <c r="AO3" s="3" t="s">
        <v>275</v>
      </c>
    </row>
    <row r="4" spans="2:41" x14ac:dyDescent="0.3">
      <c r="C4" s="6"/>
      <c r="D4" s="6"/>
      <c r="E4" s="6"/>
      <c r="F4" s="6"/>
      <c r="G4" s="6"/>
      <c r="H4" s="6"/>
      <c r="J4" s="12"/>
      <c r="S4" s="2"/>
      <c r="T4" s="2"/>
      <c r="V4" s="3"/>
      <c r="W4" s="2"/>
      <c r="X4" s="2"/>
      <c r="Y4" s="2"/>
      <c r="Z4" s="2"/>
      <c r="AA4" s="2"/>
      <c r="AB4" s="2"/>
      <c r="AF4" s="12"/>
      <c r="AG4" s="12"/>
      <c r="AK4" s="12"/>
      <c r="AL4" s="12"/>
      <c r="AM4" s="12"/>
    </row>
    <row r="5" spans="2:41" x14ac:dyDescent="0.3">
      <c r="B5" s="5"/>
      <c r="C5" s="6"/>
      <c r="D5" s="6"/>
      <c r="E5" s="6"/>
      <c r="F5" s="6"/>
      <c r="G5" s="6"/>
      <c r="H5" s="6"/>
      <c r="I5" s="3"/>
      <c r="J5" s="12"/>
      <c r="K5" s="2"/>
      <c r="M5" s="3"/>
      <c r="N5" s="2"/>
      <c r="O5" s="2"/>
      <c r="P5" s="2"/>
      <c r="Q5" s="2"/>
      <c r="R5" s="2"/>
      <c r="S5" s="2"/>
      <c r="T5" s="2"/>
      <c r="AF5" s="12"/>
      <c r="AG5" s="12"/>
      <c r="AK5" s="12"/>
      <c r="AL5" s="12"/>
      <c r="AM5" s="12"/>
    </row>
    <row r="6" spans="2:41" x14ac:dyDescent="0.3">
      <c r="B6" s="5"/>
      <c r="C6" s="6"/>
      <c r="D6" s="6"/>
      <c r="E6" s="6"/>
      <c r="F6" s="6"/>
      <c r="G6" s="6"/>
      <c r="H6" s="6"/>
      <c r="I6" s="3"/>
      <c r="J6" s="12"/>
      <c r="K6" s="2"/>
      <c r="M6" s="3"/>
      <c r="N6" s="2"/>
      <c r="O6" s="2"/>
      <c r="P6" s="2"/>
      <c r="Q6" s="2"/>
      <c r="R6" s="2"/>
      <c r="S6" s="2"/>
      <c r="T6" s="2"/>
      <c r="AF6" s="12"/>
      <c r="AG6" s="12"/>
      <c r="AK6" s="12"/>
      <c r="AL6" s="12"/>
      <c r="AM6" s="12"/>
    </row>
    <row r="7" spans="2:41" x14ac:dyDescent="0.3">
      <c r="B7" s="5"/>
      <c r="C7" s="6"/>
      <c r="D7" s="6"/>
      <c r="E7" s="6"/>
      <c r="F7" s="6"/>
      <c r="G7" s="6"/>
      <c r="H7" s="6"/>
      <c r="I7" s="3"/>
      <c r="J7" s="12"/>
      <c r="K7" s="2"/>
      <c r="M7" s="3"/>
      <c r="N7" s="2"/>
      <c r="O7" s="2"/>
      <c r="P7" s="2"/>
      <c r="Q7" s="2"/>
      <c r="R7" s="2"/>
      <c r="S7" s="2"/>
      <c r="T7" s="2"/>
      <c r="AF7" s="12"/>
      <c r="AG7" s="12"/>
      <c r="AK7" s="12"/>
      <c r="AL7" s="12"/>
      <c r="AM7" s="12"/>
    </row>
    <row r="8" spans="2:41" x14ac:dyDescent="0.3">
      <c r="B8" s="5"/>
      <c r="C8" s="6"/>
      <c r="D8" s="6"/>
      <c r="E8" s="6"/>
      <c r="F8" s="6"/>
      <c r="G8" s="6"/>
      <c r="H8" s="6"/>
      <c r="I8" s="3"/>
      <c r="J8" s="12"/>
      <c r="M8" s="3"/>
      <c r="O8" s="2"/>
      <c r="P8" s="2"/>
      <c r="Q8" s="2"/>
      <c r="R8" s="2"/>
      <c r="S8" s="2"/>
      <c r="AF8" s="12"/>
      <c r="AG8" s="12"/>
      <c r="AK8" s="12"/>
      <c r="AL8" s="12"/>
      <c r="AM8" s="12"/>
    </row>
    <row r="9" spans="2:41" x14ac:dyDescent="0.3">
      <c r="B9" s="5"/>
      <c r="C9" s="6"/>
      <c r="D9" s="6"/>
      <c r="E9" s="6"/>
      <c r="F9" s="6"/>
      <c r="G9" s="6"/>
      <c r="H9" s="6"/>
      <c r="I9" s="3"/>
      <c r="J9" s="12"/>
      <c r="M9" s="3"/>
      <c r="N9" s="2"/>
      <c r="O9" s="2"/>
      <c r="P9" s="2"/>
      <c r="Q9" s="2"/>
      <c r="R9" s="2"/>
      <c r="S9" s="2"/>
      <c r="AF9" s="12"/>
      <c r="AG9" s="12"/>
      <c r="AK9" s="12"/>
      <c r="AL9" s="12"/>
      <c r="AM9" s="12"/>
    </row>
    <row r="10" spans="2:41" x14ac:dyDescent="0.3">
      <c r="B10" s="5"/>
      <c r="C10" s="6"/>
      <c r="D10" s="6"/>
      <c r="E10" s="6"/>
      <c r="F10" s="6"/>
      <c r="G10" s="6"/>
      <c r="H10" s="6"/>
      <c r="I10" s="3"/>
      <c r="J10" s="12"/>
      <c r="M10" s="3"/>
      <c r="O10" s="4"/>
      <c r="P10" s="2"/>
      <c r="Q10" s="2"/>
      <c r="R10" s="2"/>
      <c r="S10" s="2"/>
      <c r="AF10" s="12"/>
      <c r="AG10" s="12"/>
      <c r="AK10" s="12"/>
      <c r="AL10" s="12"/>
      <c r="AM10" s="12"/>
    </row>
    <row r="11" spans="2:41" x14ac:dyDescent="0.3">
      <c r="B11" s="5"/>
      <c r="C11" s="6"/>
      <c r="D11" s="6"/>
      <c r="E11" s="6"/>
      <c r="F11" s="6"/>
      <c r="G11" s="6"/>
      <c r="H11" s="6"/>
      <c r="I11" s="3"/>
      <c r="J11" s="12"/>
      <c r="M11" s="3"/>
      <c r="N11" s="2"/>
      <c r="O11" s="2"/>
      <c r="P11" s="2"/>
      <c r="Q11" s="2"/>
      <c r="R11" s="2"/>
      <c r="S11" s="2"/>
      <c r="AF11" s="12"/>
      <c r="AG11" s="12"/>
      <c r="AK11" s="12"/>
      <c r="AL11" s="12"/>
      <c r="AM11" s="12"/>
    </row>
    <row r="12" spans="2:41" x14ac:dyDescent="0.3">
      <c r="B12" s="5"/>
      <c r="C12" s="6"/>
      <c r="D12" s="6"/>
      <c r="E12" s="6"/>
      <c r="F12" s="6"/>
      <c r="G12" s="6"/>
      <c r="H12" s="6"/>
      <c r="I12" s="3"/>
      <c r="J12" s="12"/>
      <c r="M12" s="3"/>
      <c r="O12" s="2"/>
      <c r="P12" s="2"/>
      <c r="Q12" s="2"/>
      <c r="R12" s="2"/>
      <c r="S12" s="2"/>
      <c r="AF12" s="12"/>
      <c r="AG12" s="12"/>
      <c r="AK12" s="12"/>
      <c r="AL12" s="12"/>
      <c r="AM12" s="12"/>
    </row>
    <row r="13" spans="2:41" x14ac:dyDescent="0.3">
      <c r="B13" s="5"/>
      <c r="C13" s="6"/>
      <c r="D13" s="6"/>
      <c r="E13" s="6"/>
      <c r="F13" s="6"/>
      <c r="G13" s="6"/>
      <c r="H13" s="6"/>
      <c r="I13" s="3"/>
      <c r="J13" s="12"/>
      <c r="M13" s="3"/>
      <c r="N13" s="2"/>
      <c r="O13" s="2"/>
      <c r="P13" s="2"/>
      <c r="Q13" s="2"/>
      <c r="R13" s="2"/>
      <c r="AF13" s="12"/>
      <c r="AG13" s="12"/>
      <c r="AK13" s="12"/>
      <c r="AL13" s="12"/>
      <c r="AM13" s="12"/>
    </row>
    <row r="14" spans="2:41" x14ac:dyDescent="0.3">
      <c r="B14" s="5"/>
      <c r="C14" s="6"/>
      <c r="D14" s="6"/>
      <c r="E14" s="6"/>
      <c r="F14" s="6"/>
      <c r="G14" s="6"/>
      <c r="H14" s="6"/>
      <c r="I14" s="3"/>
      <c r="J14" s="12"/>
      <c r="M14" s="3"/>
      <c r="O14" s="2"/>
      <c r="P14" s="2"/>
      <c r="Q14" s="2"/>
      <c r="R14" s="2"/>
      <c r="AF14" s="12"/>
      <c r="AG14" s="12"/>
      <c r="AK14" s="12"/>
      <c r="AL14" s="12"/>
      <c r="AM14" s="12"/>
    </row>
    <row r="15" spans="2:41" x14ac:dyDescent="0.3">
      <c r="B15" s="5"/>
      <c r="C15" s="6"/>
      <c r="D15" s="6"/>
      <c r="E15" s="6"/>
      <c r="F15" s="6"/>
      <c r="G15" s="6"/>
      <c r="H15" s="6"/>
      <c r="I15" s="3"/>
      <c r="J15" s="12"/>
      <c r="M15" s="3"/>
      <c r="N15" s="2"/>
      <c r="O15" s="2"/>
      <c r="P15" s="2"/>
      <c r="Q15" s="2"/>
      <c r="R15" s="2"/>
      <c r="AF15" s="12"/>
      <c r="AG15" s="12"/>
      <c r="AK15" s="12"/>
      <c r="AL15" s="12"/>
      <c r="AM15" s="12"/>
    </row>
    <row r="16" spans="2:41" x14ac:dyDescent="0.3">
      <c r="C16" s="6"/>
      <c r="D16" s="6"/>
      <c r="E16" s="6"/>
      <c r="F16" s="6"/>
      <c r="G16" s="6"/>
      <c r="H16" s="6"/>
      <c r="J16" s="12"/>
      <c r="AF16" s="12"/>
      <c r="AG16" s="12"/>
      <c r="AK16" s="12"/>
      <c r="AL16" s="12"/>
      <c r="AM16" s="12"/>
    </row>
    <row r="17" spans="3:39" x14ac:dyDescent="0.3">
      <c r="C17" s="6"/>
      <c r="D17" s="6"/>
      <c r="E17" s="6"/>
      <c r="F17" s="6"/>
      <c r="G17" s="6"/>
      <c r="H17" s="6"/>
      <c r="J17" s="12"/>
      <c r="AF17" s="12"/>
      <c r="AG17" s="12"/>
      <c r="AK17" s="12"/>
      <c r="AL17" s="12"/>
      <c r="AM17" s="12"/>
    </row>
    <row r="18" spans="3:39" x14ac:dyDescent="0.3">
      <c r="C18" s="6"/>
      <c r="D18" s="6"/>
      <c r="E18" s="6"/>
      <c r="F18" s="6"/>
      <c r="G18" s="6"/>
      <c r="H18" s="6"/>
      <c r="J18" s="12"/>
      <c r="AF18" s="12"/>
      <c r="AG18" s="12"/>
      <c r="AK18" s="12"/>
      <c r="AL18" s="12"/>
      <c r="AM18" s="12"/>
    </row>
    <row r="19" spans="3:39" x14ac:dyDescent="0.3">
      <c r="C19" s="6"/>
      <c r="D19" s="6"/>
      <c r="E19" s="6"/>
      <c r="F19" s="6"/>
      <c r="G19" s="6"/>
      <c r="H19" s="6"/>
      <c r="J19" s="12"/>
      <c r="AF19" s="12"/>
      <c r="AG19" s="12"/>
      <c r="AK19" s="12"/>
      <c r="AL19" s="12"/>
      <c r="AM19" s="12"/>
    </row>
    <row r="20" spans="3:39" x14ac:dyDescent="0.3">
      <c r="C20" s="6"/>
      <c r="D20" s="6"/>
      <c r="E20" s="6"/>
      <c r="F20" s="6"/>
      <c r="G20" s="6"/>
      <c r="H20" s="6"/>
      <c r="J20" s="12"/>
      <c r="AF20" s="12"/>
      <c r="AG20" s="12"/>
      <c r="AK20" s="12"/>
      <c r="AL20" s="12"/>
      <c r="AM20" s="12"/>
    </row>
    <row r="21" spans="3:39" x14ac:dyDescent="0.3">
      <c r="C21" s="6"/>
      <c r="D21" s="6"/>
      <c r="E21" s="6"/>
      <c r="F21" s="6"/>
      <c r="G21" s="6"/>
      <c r="H21" s="6"/>
      <c r="J21" s="12"/>
      <c r="AF21" s="12"/>
      <c r="AG21" s="12"/>
      <c r="AK21" s="12"/>
      <c r="AL21" s="12"/>
      <c r="AM21" s="12"/>
    </row>
    <row r="22" spans="3:39" x14ac:dyDescent="0.3">
      <c r="C22" s="6"/>
      <c r="D22" s="6"/>
      <c r="E22" s="6"/>
      <c r="F22" s="6"/>
      <c r="G22" s="6"/>
      <c r="H22" s="6"/>
      <c r="J22" s="12"/>
      <c r="AF22" s="12"/>
      <c r="AG22" s="12"/>
      <c r="AK22" s="12"/>
      <c r="AL22" s="12"/>
      <c r="AM22" s="12"/>
    </row>
    <row r="23" spans="3:39" x14ac:dyDescent="0.3">
      <c r="C23" s="6"/>
      <c r="D23" s="6"/>
      <c r="E23" s="6"/>
      <c r="F23" s="6"/>
      <c r="G23" s="6"/>
      <c r="H23" s="6"/>
      <c r="J23" s="12"/>
      <c r="AF23" s="12"/>
      <c r="AG23" s="12"/>
      <c r="AK23" s="12"/>
      <c r="AL23" s="12"/>
      <c r="AM23" s="12"/>
    </row>
    <row r="24" spans="3:39" x14ac:dyDescent="0.3">
      <c r="C24" s="6"/>
      <c r="D24" s="6"/>
      <c r="E24" s="6"/>
      <c r="F24" s="6"/>
      <c r="G24" s="6"/>
      <c r="H24" s="6"/>
      <c r="J24" s="12"/>
      <c r="AF24" s="12"/>
      <c r="AG24" s="12"/>
      <c r="AK24" s="12"/>
      <c r="AL24" s="12"/>
      <c r="AM24" s="12"/>
    </row>
    <row r="25" spans="3:39" x14ac:dyDescent="0.3">
      <c r="C25" s="6"/>
      <c r="D25" s="6"/>
      <c r="E25" s="6"/>
      <c r="F25" s="6"/>
      <c r="G25" s="6"/>
      <c r="H25" s="6"/>
      <c r="J25" s="12"/>
      <c r="AF25" s="12"/>
      <c r="AG25" s="12"/>
      <c r="AK25" s="12"/>
      <c r="AL25" s="12"/>
      <c r="AM25" s="12"/>
    </row>
    <row r="26" spans="3:39" x14ac:dyDescent="0.3">
      <c r="C26" s="6"/>
      <c r="D26" s="6"/>
      <c r="E26" s="6"/>
      <c r="F26" s="6"/>
      <c r="G26" s="6"/>
      <c r="H26" s="6"/>
      <c r="J26" s="12"/>
      <c r="AF26" s="12"/>
      <c r="AG26" s="12"/>
      <c r="AK26" s="12"/>
      <c r="AL26" s="12"/>
      <c r="AM26" s="12"/>
    </row>
    <row r="27" spans="3:39" x14ac:dyDescent="0.3">
      <c r="C27" s="6"/>
      <c r="D27" s="6"/>
      <c r="E27" s="6"/>
      <c r="F27" s="6"/>
      <c r="G27" s="6"/>
      <c r="H27" s="6"/>
      <c r="J27" s="12"/>
      <c r="AF27" s="12"/>
      <c r="AG27" s="12"/>
      <c r="AK27" s="12"/>
      <c r="AL27" s="12"/>
      <c r="AM27" s="12"/>
    </row>
    <row r="28" spans="3:39" x14ac:dyDescent="0.3">
      <c r="C28" s="6"/>
      <c r="D28" s="6"/>
      <c r="E28" s="6"/>
      <c r="F28" s="6"/>
      <c r="G28" s="6"/>
      <c r="H28" s="6"/>
      <c r="J28" s="12"/>
      <c r="AF28" s="12"/>
      <c r="AG28" s="12"/>
      <c r="AK28" s="12"/>
      <c r="AL28" s="12"/>
      <c r="AM28" s="12"/>
    </row>
    <row r="29" spans="3:39" x14ac:dyDescent="0.3">
      <c r="C29" s="6"/>
      <c r="D29" s="6"/>
      <c r="E29" s="6"/>
      <c r="F29" s="6"/>
      <c r="G29" s="6"/>
      <c r="H29" s="6"/>
      <c r="J29" s="12"/>
      <c r="AF29" s="12"/>
      <c r="AG29" s="12"/>
      <c r="AK29" s="12"/>
      <c r="AL29" s="12"/>
      <c r="AM29" s="12"/>
    </row>
    <row r="30" spans="3:39" x14ac:dyDescent="0.3">
      <c r="C30" s="6"/>
      <c r="D30" s="6"/>
      <c r="E30" s="6"/>
      <c r="F30" s="6"/>
      <c r="G30" s="6"/>
      <c r="H30" s="6"/>
      <c r="J30" s="12"/>
      <c r="AF30" s="12"/>
      <c r="AG30" s="12"/>
      <c r="AK30" s="12"/>
      <c r="AL30" s="12"/>
      <c r="AM30" s="12"/>
    </row>
    <row r="31" spans="3:39" x14ac:dyDescent="0.3">
      <c r="C31" s="6"/>
      <c r="D31" s="6"/>
      <c r="E31" s="6"/>
      <c r="F31" s="6"/>
      <c r="G31" s="6"/>
      <c r="H31" s="6"/>
      <c r="J31" s="12"/>
    </row>
    <row r="32" spans="3:39" x14ac:dyDescent="0.3">
      <c r="C32" s="6"/>
      <c r="D32" s="6"/>
      <c r="E32" s="6"/>
      <c r="F32" s="6"/>
      <c r="G32" s="6"/>
      <c r="H32" s="6"/>
      <c r="J32" s="12"/>
    </row>
    <row r="33" spans="3:10" x14ac:dyDescent="0.3">
      <c r="C33" s="6"/>
      <c r="D33" s="6"/>
      <c r="E33" s="6"/>
      <c r="F33" s="6"/>
      <c r="G33" s="6"/>
      <c r="H33" s="6"/>
      <c r="J33" s="12"/>
    </row>
    <row r="34" spans="3:10" x14ac:dyDescent="0.3">
      <c r="C34" s="6"/>
      <c r="D34" s="6"/>
      <c r="E34" s="6"/>
      <c r="F34" s="6"/>
      <c r="G34" s="6"/>
      <c r="H34" s="6"/>
      <c r="J34" s="12"/>
    </row>
    <row r="35" spans="3:10" x14ac:dyDescent="0.3">
      <c r="C35" s="6"/>
      <c r="D35" s="6"/>
      <c r="E35" s="6"/>
      <c r="F35" s="6"/>
      <c r="G35" s="6"/>
      <c r="H35" s="6"/>
      <c r="J35" s="12"/>
    </row>
    <row r="36" spans="3:10" x14ac:dyDescent="0.3">
      <c r="C36" s="6"/>
      <c r="D36" s="6"/>
      <c r="E36" s="6"/>
      <c r="F36" s="6"/>
      <c r="G36" s="6"/>
      <c r="H36" s="6"/>
      <c r="J36" s="12"/>
    </row>
    <row r="37" spans="3:10" x14ac:dyDescent="0.3">
      <c r="C37" s="6"/>
      <c r="D37" s="6"/>
      <c r="E37" s="6"/>
      <c r="F37" s="6"/>
      <c r="G37" s="6"/>
      <c r="H37" s="6"/>
      <c r="J37" s="12"/>
    </row>
    <row r="38" spans="3:10" x14ac:dyDescent="0.3">
      <c r="C38" s="6"/>
      <c r="D38" s="6"/>
      <c r="E38" s="6"/>
      <c r="F38" s="6"/>
      <c r="G38" s="6"/>
      <c r="H38" s="6"/>
      <c r="J38" s="12"/>
    </row>
    <row r="39" spans="3:10" x14ac:dyDescent="0.3">
      <c r="C39" s="6"/>
      <c r="D39" s="6"/>
      <c r="E39" s="6"/>
      <c r="F39" s="6"/>
      <c r="G39" s="6"/>
      <c r="H39" s="6"/>
      <c r="J39" s="12"/>
    </row>
    <row r="40" spans="3:10" x14ac:dyDescent="0.3">
      <c r="C40" s="6"/>
      <c r="D40" s="6"/>
      <c r="E40" s="6"/>
      <c r="F40" s="6"/>
      <c r="G40" s="6"/>
      <c r="H40" s="6"/>
      <c r="J40" s="12"/>
    </row>
    <row r="41" spans="3:10" x14ac:dyDescent="0.3">
      <c r="C41" s="6"/>
      <c r="D41" s="6"/>
      <c r="E41" s="6"/>
      <c r="F41" s="6"/>
      <c r="G41" s="6"/>
      <c r="H41" s="6"/>
      <c r="J41" s="12"/>
    </row>
    <row r="42" spans="3:10" x14ac:dyDescent="0.3">
      <c r="C42" s="6"/>
      <c r="D42" s="6"/>
      <c r="E42" s="6"/>
      <c r="F42" s="6"/>
      <c r="G42" s="6"/>
      <c r="H42" s="6"/>
      <c r="J42" s="12"/>
    </row>
    <row r="43" spans="3:10" x14ac:dyDescent="0.3">
      <c r="C43" s="6"/>
      <c r="D43" s="6"/>
      <c r="E43" s="6"/>
      <c r="F43" s="6"/>
      <c r="G43" s="6"/>
      <c r="H43" s="6"/>
      <c r="J43" s="12"/>
    </row>
    <row r="44" spans="3:10" x14ac:dyDescent="0.3">
      <c r="C44" s="6"/>
      <c r="D44" s="6"/>
      <c r="E44" s="6"/>
      <c r="F44" s="6"/>
      <c r="G44" s="6"/>
      <c r="H44" s="6"/>
      <c r="J44" s="12"/>
    </row>
    <row r="45" spans="3:10" x14ac:dyDescent="0.3">
      <c r="C45" s="6"/>
      <c r="D45" s="6"/>
      <c r="E45" s="6"/>
      <c r="F45" s="6"/>
      <c r="G45" s="6"/>
      <c r="H45" s="6"/>
      <c r="J45" s="12"/>
    </row>
    <row r="46" spans="3:10" x14ac:dyDescent="0.3">
      <c r="C46" s="6"/>
      <c r="D46" s="6"/>
      <c r="E46" s="6"/>
      <c r="F46" s="6"/>
      <c r="G46" s="6"/>
      <c r="H46" s="6"/>
      <c r="J46" s="12"/>
    </row>
    <row r="47" spans="3:10" x14ac:dyDescent="0.3">
      <c r="C47" s="6"/>
      <c r="D47" s="6"/>
      <c r="E47" s="6"/>
      <c r="F47" s="6"/>
      <c r="G47" s="6"/>
      <c r="H47" s="6"/>
      <c r="J47" s="12"/>
    </row>
    <row r="48" spans="3:10" x14ac:dyDescent="0.3">
      <c r="C48" s="6"/>
      <c r="D48" s="6"/>
      <c r="E48" s="6"/>
      <c r="F48" s="6"/>
      <c r="G48" s="6"/>
      <c r="H48" s="6"/>
      <c r="J48" s="12"/>
    </row>
    <row r="49" spans="3:10" x14ac:dyDescent="0.3">
      <c r="C49" s="6"/>
      <c r="D49" s="6"/>
      <c r="E49" s="6"/>
      <c r="F49" s="6"/>
      <c r="G49" s="6"/>
      <c r="H49" s="6"/>
      <c r="J49" s="12"/>
    </row>
    <row r="50" spans="3:10" x14ac:dyDescent="0.3">
      <c r="C50" s="6"/>
      <c r="D50" s="6"/>
      <c r="E50" s="6"/>
      <c r="F50" s="6"/>
      <c r="G50" s="6"/>
      <c r="H50" s="6"/>
      <c r="J50" s="12"/>
    </row>
    <row r="51" spans="3:10" x14ac:dyDescent="0.3">
      <c r="C51" s="6"/>
      <c r="D51" s="6"/>
      <c r="E51" s="6"/>
      <c r="F51" s="6"/>
      <c r="G51" s="6"/>
      <c r="H51" s="6"/>
      <c r="J51" s="12"/>
    </row>
    <row r="52" spans="3:10" x14ac:dyDescent="0.3">
      <c r="C52" s="6"/>
      <c r="D52" s="6"/>
      <c r="E52" s="6"/>
      <c r="F52" s="6"/>
      <c r="G52" s="6"/>
      <c r="H52" s="6"/>
      <c r="J52" s="12"/>
    </row>
    <row r="53" spans="3:10" x14ac:dyDescent="0.3">
      <c r="C53" s="6"/>
      <c r="D53" s="6"/>
      <c r="E53" s="6"/>
      <c r="F53" s="6"/>
      <c r="G53" s="6"/>
      <c r="H53" s="6"/>
      <c r="J53" s="12"/>
    </row>
    <row r="54" spans="3:10" x14ac:dyDescent="0.3">
      <c r="C54" s="6"/>
      <c r="D54" s="6"/>
      <c r="E54" s="6"/>
      <c r="F54" s="6"/>
      <c r="G54" s="6"/>
      <c r="H54" s="6"/>
      <c r="J54" s="12"/>
    </row>
    <row r="55" spans="3:10" x14ac:dyDescent="0.3">
      <c r="C55" s="6"/>
      <c r="D55" s="6"/>
      <c r="E55" s="6"/>
      <c r="F55" s="6"/>
      <c r="G55" s="6"/>
      <c r="H55" s="6"/>
      <c r="J55" s="12"/>
    </row>
    <row r="56" spans="3:10" x14ac:dyDescent="0.3">
      <c r="C56" s="6"/>
      <c r="D56" s="6"/>
      <c r="E56" s="6"/>
      <c r="F56" s="6"/>
      <c r="G56" s="6"/>
      <c r="H56" s="6"/>
      <c r="J56" s="12"/>
    </row>
    <row r="57" spans="3:10" x14ac:dyDescent="0.3">
      <c r="C57" s="6"/>
      <c r="D57" s="6"/>
      <c r="E57" s="6"/>
      <c r="F57" s="6"/>
      <c r="G57" s="6"/>
      <c r="H57" s="6"/>
      <c r="J57" s="12"/>
    </row>
    <row r="58" spans="3:10" x14ac:dyDescent="0.3">
      <c r="C58" s="6"/>
      <c r="D58" s="6"/>
      <c r="E58" s="6"/>
      <c r="F58" s="6"/>
      <c r="G58" s="6"/>
      <c r="H58" s="6"/>
      <c r="J58" s="12"/>
    </row>
    <row r="59" spans="3:10" x14ac:dyDescent="0.3">
      <c r="C59" s="6"/>
      <c r="D59" s="6"/>
      <c r="E59" s="6"/>
      <c r="F59" s="6"/>
      <c r="G59" s="6"/>
      <c r="H59" s="6"/>
      <c r="J59" s="12"/>
    </row>
    <row r="60" spans="3:10" x14ac:dyDescent="0.3">
      <c r="C60" s="6"/>
      <c r="D60" s="6"/>
      <c r="E60" s="6"/>
      <c r="F60" s="6"/>
      <c r="G60" s="6"/>
      <c r="H60" s="6"/>
      <c r="J60" s="12"/>
    </row>
    <row r="61" spans="3:10" x14ac:dyDescent="0.3">
      <c r="C61" s="6"/>
      <c r="D61" s="6"/>
      <c r="E61" s="6"/>
      <c r="F61" s="6"/>
      <c r="G61" s="6"/>
      <c r="H61" s="6"/>
      <c r="J61" s="12"/>
    </row>
    <row r="62" spans="3:10" x14ac:dyDescent="0.3">
      <c r="C62" s="6"/>
      <c r="D62" s="6"/>
      <c r="E62" s="6"/>
      <c r="F62" s="6"/>
      <c r="G62" s="6"/>
      <c r="H62" s="6"/>
      <c r="J62" s="12"/>
    </row>
    <row r="63" spans="3:10" x14ac:dyDescent="0.3">
      <c r="C63" s="6"/>
      <c r="D63" s="6"/>
      <c r="E63" s="6"/>
      <c r="F63" s="6"/>
      <c r="G63" s="6"/>
      <c r="H63" s="6"/>
      <c r="J63" s="12"/>
    </row>
    <row r="64" spans="3:10" x14ac:dyDescent="0.3">
      <c r="C64" s="6"/>
      <c r="D64" s="6"/>
      <c r="E64" s="6"/>
      <c r="F64" s="6"/>
      <c r="G64" s="6"/>
      <c r="H64" s="6"/>
      <c r="J64" s="12"/>
    </row>
    <row r="65" spans="3:10" x14ac:dyDescent="0.3">
      <c r="C65" s="6"/>
      <c r="D65" s="6"/>
      <c r="E65" s="6"/>
      <c r="F65" s="6"/>
      <c r="G65" s="6"/>
      <c r="H65" s="6"/>
      <c r="J65" s="12"/>
    </row>
    <row r="66" spans="3:10" x14ac:dyDescent="0.3">
      <c r="C66" s="6"/>
      <c r="D66" s="6"/>
      <c r="E66" s="6"/>
      <c r="F66" s="6"/>
      <c r="G66" s="6"/>
      <c r="H66" s="6"/>
      <c r="J66" s="12"/>
    </row>
    <row r="67" spans="3:10" x14ac:dyDescent="0.3">
      <c r="C67" s="6"/>
      <c r="D67" s="6"/>
      <c r="E67" s="6"/>
      <c r="F67" s="6"/>
      <c r="G67" s="6"/>
      <c r="H67" s="6"/>
      <c r="J67" s="12"/>
    </row>
    <row r="68" spans="3:10" x14ac:dyDescent="0.3">
      <c r="C68" s="6"/>
      <c r="D68" s="6"/>
      <c r="E68" s="6"/>
      <c r="F68" s="6"/>
      <c r="G68" s="6"/>
      <c r="H68" s="6"/>
      <c r="J68" s="12"/>
    </row>
    <row r="69" spans="3:10" x14ac:dyDescent="0.3">
      <c r="C69" s="6"/>
      <c r="D69" s="6"/>
      <c r="E69" s="6"/>
      <c r="F69" s="6"/>
      <c r="G69" s="6"/>
      <c r="H69" s="6"/>
      <c r="J69" s="12"/>
    </row>
    <row r="70" spans="3:10" x14ac:dyDescent="0.3">
      <c r="C70" s="6"/>
      <c r="D70" s="6"/>
      <c r="E70" s="6"/>
      <c r="F70" s="6"/>
      <c r="G70" s="6"/>
      <c r="H70" s="6"/>
      <c r="J70" s="12"/>
    </row>
    <row r="71" spans="3:10" x14ac:dyDescent="0.3">
      <c r="C71" s="6"/>
      <c r="D71" s="6"/>
      <c r="E71" s="6"/>
      <c r="F71" s="6"/>
      <c r="G71" s="6"/>
      <c r="H71" s="6"/>
      <c r="J71" s="12"/>
    </row>
    <row r="72" spans="3:10" x14ac:dyDescent="0.3">
      <c r="C72" s="6"/>
      <c r="D72" s="6"/>
      <c r="E72" s="6"/>
      <c r="F72" s="6"/>
      <c r="G72" s="6"/>
      <c r="H72" s="6"/>
      <c r="J72" s="12"/>
    </row>
    <row r="73" spans="3:10" x14ac:dyDescent="0.3">
      <c r="C73" s="6"/>
      <c r="D73" s="6"/>
      <c r="E73" s="6"/>
      <c r="F73" s="6"/>
      <c r="G73" s="6"/>
      <c r="H73" s="6"/>
      <c r="J73" s="12"/>
    </row>
    <row r="74" spans="3:10" x14ac:dyDescent="0.3">
      <c r="C74" s="6"/>
      <c r="D74" s="6"/>
      <c r="E74" s="6"/>
      <c r="F74" s="6"/>
      <c r="G74" s="6"/>
      <c r="H74" s="6"/>
      <c r="J74" s="12"/>
    </row>
    <row r="75" spans="3:10" x14ac:dyDescent="0.3">
      <c r="C75" s="6"/>
      <c r="D75" s="6"/>
      <c r="E75" s="6"/>
      <c r="F75" s="6"/>
      <c r="G75" s="6"/>
      <c r="H75" s="6"/>
      <c r="J75" s="12"/>
    </row>
    <row r="76" spans="3:10" x14ac:dyDescent="0.3">
      <c r="C76" s="6"/>
      <c r="D76" s="6"/>
      <c r="E76" s="6"/>
      <c r="F76" s="6"/>
      <c r="G76" s="6"/>
      <c r="H76" s="6"/>
      <c r="J76" s="12"/>
    </row>
    <row r="77" spans="3:10" x14ac:dyDescent="0.3">
      <c r="C77" s="6"/>
      <c r="D77" s="6"/>
      <c r="E77" s="6"/>
      <c r="F77" s="6"/>
      <c r="G77" s="6"/>
      <c r="H77" s="6"/>
      <c r="J77" s="12"/>
    </row>
    <row r="78" spans="3:10" x14ac:dyDescent="0.3">
      <c r="C78" s="6"/>
      <c r="D78" s="6"/>
      <c r="E78" s="6"/>
      <c r="F78" s="6"/>
      <c r="G78" s="6"/>
      <c r="H78" s="6"/>
      <c r="J78" s="12"/>
    </row>
    <row r="79" spans="3:10" x14ac:dyDescent="0.3">
      <c r="C79" s="6"/>
      <c r="D79" s="6"/>
      <c r="E79" s="6"/>
      <c r="F79" s="6"/>
      <c r="G79" s="6"/>
      <c r="H79" s="6"/>
      <c r="J79" s="12"/>
    </row>
    <row r="80" spans="3:10" x14ac:dyDescent="0.3">
      <c r="C80" s="6"/>
      <c r="D80" s="6"/>
      <c r="E80" s="6"/>
      <c r="F80" s="6"/>
      <c r="G80" s="6"/>
      <c r="H80" s="6"/>
      <c r="J80" s="12"/>
    </row>
    <row r="81" spans="3:10" x14ac:dyDescent="0.3">
      <c r="C81" s="6"/>
      <c r="D81" s="6"/>
      <c r="E81" s="6"/>
      <c r="F81" s="6"/>
      <c r="G81" s="6"/>
      <c r="H81" s="6"/>
      <c r="J81" s="12"/>
    </row>
    <row r="82" spans="3:10" x14ac:dyDescent="0.3">
      <c r="C82" s="6"/>
      <c r="D82" s="6"/>
      <c r="E82" s="6"/>
      <c r="F82" s="6"/>
      <c r="G82" s="6"/>
      <c r="H82" s="6"/>
      <c r="J82" s="12"/>
    </row>
    <row r="83" spans="3:10" x14ac:dyDescent="0.3">
      <c r="C83" s="6"/>
      <c r="D83" s="6"/>
      <c r="E83" s="6"/>
      <c r="F83" s="6"/>
      <c r="G83" s="6"/>
      <c r="H83" s="6"/>
      <c r="J83" s="12"/>
    </row>
    <row r="84" spans="3:10" x14ac:dyDescent="0.3">
      <c r="C84" s="6"/>
      <c r="D84" s="6"/>
      <c r="E84" s="6"/>
      <c r="F84" s="6"/>
      <c r="G84" s="6"/>
      <c r="H84" s="6"/>
      <c r="J84" s="12"/>
    </row>
    <row r="85" spans="3:10" x14ac:dyDescent="0.3">
      <c r="C85" s="6"/>
      <c r="D85" s="6"/>
      <c r="E85" s="6"/>
      <c r="F85" s="6"/>
      <c r="G85" s="6"/>
      <c r="H85" s="6"/>
      <c r="J85" s="12"/>
    </row>
    <row r="86" spans="3:10" x14ac:dyDescent="0.3">
      <c r="C86" s="6"/>
      <c r="D86" s="6"/>
      <c r="E86" s="6"/>
      <c r="F86" s="6"/>
      <c r="G86" s="6"/>
      <c r="H86" s="6"/>
      <c r="J86" s="12"/>
    </row>
    <row r="87" spans="3:10" x14ac:dyDescent="0.3">
      <c r="C87" s="6"/>
      <c r="D87" s="6"/>
      <c r="E87" s="6"/>
      <c r="F87" s="6"/>
      <c r="G87" s="6"/>
      <c r="H87" s="6"/>
      <c r="J87" s="12"/>
    </row>
    <row r="88" spans="3:10" x14ac:dyDescent="0.3">
      <c r="C88" s="6"/>
      <c r="D88" s="6"/>
      <c r="E88" s="6"/>
      <c r="F88" s="6"/>
      <c r="G88" s="6"/>
      <c r="H88" s="6"/>
      <c r="J88" s="12"/>
    </row>
    <row r="89" spans="3:10" x14ac:dyDescent="0.3">
      <c r="C89" s="6"/>
      <c r="D89" s="6"/>
      <c r="E89" s="6"/>
      <c r="F89" s="6"/>
      <c r="G89" s="6"/>
      <c r="H89" s="6"/>
      <c r="J89" s="12"/>
    </row>
    <row r="90" spans="3:10" x14ac:dyDescent="0.3">
      <c r="C90" s="6"/>
      <c r="D90" s="6"/>
      <c r="E90" s="6"/>
      <c r="F90" s="6"/>
      <c r="G90" s="6"/>
      <c r="H90" s="6"/>
      <c r="J90" s="12"/>
    </row>
    <row r="91" spans="3:10" x14ac:dyDescent="0.3">
      <c r="C91" s="6"/>
      <c r="D91" s="6"/>
      <c r="E91" s="6"/>
      <c r="F91" s="6"/>
      <c r="G91" s="6"/>
      <c r="H91" s="6"/>
      <c r="J91" s="12"/>
    </row>
    <row r="92" spans="3:10" x14ac:dyDescent="0.3">
      <c r="C92" s="6"/>
      <c r="D92" s="6"/>
      <c r="E92" s="6"/>
      <c r="F92" s="6"/>
      <c r="G92" s="6"/>
      <c r="H92" s="6"/>
      <c r="J92" s="12"/>
    </row>
    <row r="93" spans="3:10" x14ac:dyDescent="0.3">
      <c r="C93" s="6"/>
      <c r="D93" s="6"/>
      <c r="E93" s="6"/>
      <c r="F93" s="6"/>
      <c r="G93" s="6"/>
      <c r="H93" s="6"/>
      <c r="J93" s="12"/>
    </row>
    <row r="94" spans="3:10" x14ac:dyDescent="0.3">
      <c r="C94" s="6"/>
      <c r="D94" s="6"/>
      <c r="E94" s="6"/>
      <c r="F94" s="6"/>
      <c r="G94" s="6"/>
      <c r="H94" s="6"/>
      <c r="J94" s="12"/>
    </row>
    <row r="95" spans="3:10" x14ac:dyDescent="0.3">
      <c r="C95" s="6"/>
      <c r="D95" s="6"/>
      <c r="E95" s="6"/>
      <c r="F95" s="6"/>
      <c r="G95" s="6"/>
      <c r="H95" s="6"/>
      <c r="J95" s="12"/>
    </row>
    <row r="96" spans="3:10" x14ac:dyDescent="0.3">
      <c r="C96" s="6"/>
      <c r="D96" s="6"/>
      <c r="E96" s="6"/>
      <c r="F96" s="6"/>
      <c r="G96" s="6"/>
      <c r="H96" s="6"/>
      <c r="J96" s="12"/>
    </row>
    <row r="97" spans="3:10" x14ac:dyDescent="0.3">
      <c r="C97" s="6"/>
      <c r="D97" s="6"/>
      <c r="E97" s="6"/>
      <c r="F97" s="6"/>
      <c r="G97" s="6"/>
      <c r="H97" s="6"/>
      <c r="J97" s="12"/>
    </row>
    <row r="98" spans="3:10" x14ac:dyDescent="0.3">
      <c r="C98" s="6"/>
      <c r="D98" s="6"/>
      <c r="E98" s="6"/>
      <c r="F98" s="6"/>
      <c r="G98" s="6"/>
      <c r="H98" s="6"/>
      <c r="J98" s="12"/>
    </row>
    <row r="99" spans="3:10" x14ac:dyDescent="0.3">
      <c r="C99" s="6"/>
      <c r="D99" s="6"/>
      <c r="E99" s="6"/>
      <c r="F99" s="6"/>
      <c r="G99" s="6"/>
      <c r="H99" s="6"/>
      <c r="J99" s="12"/>
    </row>
    <row r="100" spans="3:10" x14ac:dyDescent="0.3">
      <c r="C100" s="6"/>
      <c r="D100" s="6"/>
      <c r="E100" s="6"/>
      <c r="F100" s="6"/>
      <c r="G100" s="6"/>
      <c r="H100" s="6"/>
      <c r="J100" s="12"/>
    </row>
  </sheetData>
  <mergeCells count="5">
    <mergeCell ref="AJ2:AO2"/>
    <mergeCell ref="M2:S2"/>
    <mergeCell ref="V2:AB2"/>
    <mergeCell ref="B2:J2"/>
    <mergeCell ref="AE2:AH2"/>
  </mergeCells>
  <dataValidations count="4">
    <dataValidation type="list" allowBlank="1" showInputMessage="1" showErrorMessage="1" sqref="M21" xr:uid="{6BCCA2D2-7512-43A7-9AA9-DAC4BFD8CDC4}">
      <formula1>"DeathGuard,Space Marines,Drukhari, Daemons, T'Au, Imperial Guard, Sisters of Battle, Thousand Sons"</formula1>
    </dataValidation>
    <dataValidation type="list" allowBlank="1" showInputMessage="1" showErrorMessage="1" sqref="J4:J100" xr:uid="{E8AAD933-EB03-47BF-9CD7-59C57D9466BB}">
      <formula1>"Ranged,Melee"</formula1>
    </dataValidation>
    <dataValidation type="list" allowBlank="1" showInputMessage="1" showErrorMessage="1" sqref="AF4:AF30 AL4:AL30" xr:uid="{8FE3E76C-5E4E-461D-8310-0FD404E0854D}">
      <formula1>"Attacker,Target"</formula1>
    </dataValidation>
    <dataValidation type="list" allowBlank="1" showInputMessage="1" showErrorMessage="1" sqref="AG4:AG30 AM4:AM30" xr:uid="{A270B206-E662-404B-8F4B-A202087B9E05}">
      <formula1>"Shooting,Fighting,Both"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C0CEF-D7C5-4837-B147-BDB1EC8751B5}">
  <sheetPr codeName="Sheet8">
    <tabColor theme="5"/>
  </sheetPr>
  <dimension ref="B2:AO100"/>
  <sheetViews>
    <sheetView workbookViewId="0">
      <selection activeCell="I3" sqref="I3"/>
    </sheetView>
  </sheetViews>
  <sheetFormatPr defaultRowHeight="14.4" x14ac:dyDescent="0.3"/>
  <cols>
    <col min="2" max="2" width="21.6640625" bestFit="1" customWidth="1"/>
    <col min="3" max="7" width="7.44140625" customWidth="1"/>
    <col min="8" max="8" width="13" customWidth="1"/>
    <col min="9" max="9" width="26" bestFit="1" customWidth="1"/>
    <col min="10" max="10" width="4.6640625" customWidth="1"/>
    <col min="11" max="12" width="1.88671875" customWidth="1"/>
    <col min="13" max="13" width="26.33203125" bestFit="1" customWidth="1"/>
    <col min="14" max="14" width="4.44140625" bestFit="1" customWidth="1"/>
    <col min="15" max="15" width="5.44140625" bestFit="1" customWidth="1"/>
    <col min="16" max="16" width="4.33203125" bestFit="1" customWidth="1"/>
    <col min="17" max="17" width="5.5546875" bestFit="1" customWidth="1"/>
    <col min="18" max="18" width="4.5546875" bestFit="1" customWidth="1"/>
    <col min="19" max="19" width="20.44140625" bestFit="1" customWidth="1"/>
    <col min="20" max="21" width="1.88671875" customWidth="1"/>
    <col min="22" max="22" width="11.88671875" bestFit="1" customWidth="1"/>
    <col min="31" max="31" width="27.77734375" customWidth="1"/>
    <col min="32" max="33" width="12" customWidth="1"/>
    <col min="34" max="34" width="37" customWidth="1"/>
    <col min="36" max="36" width="27.77734375" customWidth="1"/>
    <col min="37" max="37" width="6.44140625" customWidth="1"/>
    <col min="38" max="39" width="13" customWidth="1"/>
    <col min="40" max="40" width="31.44140625" customWidth="1"/>
    <col min="41" max="41" width="40.77734375" customWidth="1"/>
  </cols>
  <sheetData>
    <row r="2" spans="2:41" x14ac:dyDescent="0.3">
      <c r="B2" s="8" t="s">
        <v>14</v>
      </c>
      <c r="C2" s="8"/>
      <c r="D2" s="8"/>
      <c r="E2" s="8"/>
      <c r="F2" s="8"/>
      <c r="G2" s="8"/>
      <c r="H2" s="8"/>
      <c r="I2" s="8"/>
      <c r="J2" s="8"/>
      <c r="M2" s="8" t="s">
        <v>33</v>
      </c>
      <c r="N2" s="8"/>
      <c r="O2" s="8"/>
      <c r="P2" s="8"/>
      <c r="Q2" s="8"/>
      <c r="R2" s="8"/>
      <c r="S2" s="8"/>
      <c r="V2" s="8" t="s">
        <v>34</v>
      </c>
      <c r="W2" s="8"/>
      <c r="X2" s="8"/>
      <c r="Y2" s="8"/>
      <c r="Z2" s="8"/>
      <c r="AA2" s="8"/>
      <c r="AB2" s="8"/>
      <c r="AE2" s="65" t="s">
        <v>222</v>
      </c>
      <c r="AF2" s="65"/>
      <c r="AG2" s="65"/>
      <c r="AH2" s="65"/>
      <c r="AJ2" s="67" t="s">
        <v>298</v>
      </c>
      <c r="AK2" s="68"/>
      <c r="AL2" s="68"/>
      <c r="AM2" s="68"/>
      <c r="AN2" s="68"/>
      <c r="AO2" s="68"/>
    </row>
    <row r="3" spans="2:41" x14ac:dyDescent="0.3">
      <c r="B3" t="s">
        <v>21</v>
      </c>
      <c r="C3" t="s">
        <v>15</v>
      </c>
      <c r="D3" t="s">
        <v>16</v>
      </c>
      <c r="E3" t="s">
        <v>449</v>
      </c>
      <c r="F3" t="s">
        <v>450</v>
      </c>
      <c r="G3" t="s">
        <v>19</v>
      </c>
      <c r="H3" t="s">
        <v>17</v>
      </c>
      <c r="I3" t="s">
        <v>2</v>
      </c>
      <c r="J3" s="2" t="s">
        <v>38</v>
      </c>
      <c r="K3" s="2"/>
      <c r="M3" s="3" t="s">
        <v>2</v>
      </c>
      <c r="N3" s="3" t="s">
        <v>3</v>
      </c>
      <c r="O3" s="3" t="s">
        <v>4</v>
      </c>
      <c r="P3" s="3" t="s">
        <v>5</v>
      </c>
      <c r="Q3" s="3" t="s">
        <v>6</v>
      </c>
      <c r="R3" s="3" t="s">
        <v>7</v>
      </c>
      <c r="S3" s="3" t="s">
        <v>8</v>
      </c>
      <c r="T3" s="2"/>
      <c r="V3" s="3" t="s">
        <v>2</v>
      </c>
      <c r="W3" s="3" t="s">
        <v>3</v>
      </c>
      <c r="X3" s="3" t="s">
        <v>4</v>
      </c>
      <c r="Y3" s="3" t="s">
        <v>5</v>
      </c>
      <c r="Z3" s="3" t="s">
        <v>6</v>
      </c>
      <c r="AA3" s="3" t="s">
        <v>7</v>
      </c>
      <c r="AB3" s="3" t="s">
        <v>8</v>
      </c>
      <c r="AE3" s="3" t="s">
        <v>184</v>
      </c>
      <c r="AF3" s="3" t="s">
        <v>46</v>
      </c>
      <c r="AG3" s="3" t="s">
        <v>223</v>
      </c>
      <c r="AH3" s="3" t="s">
        <v>8</v>
      </c>
      <c r="AJ3" s="3" t="s">
        <v>273</v>
      </c>
      <c r="AK3" s="3" t="s">
        <v>274</v>
      </c>
      <c r="AL3" s="3" t="s">
        <v>46</v>
      </c>
      <c r="AM3" s="3" t="s">
        <v>223</v>
      </c>
      <c r="AN3" s="3" t="s">
        <v>8</v>
      </c>
      <c r="AO3" s="3" t="s">
        <v>275</v>
      </c>
    </row>
    <row r="4" spans="2:41" x14ac:dyDescent="0.3">
      <c r="C4" s="6"/>
      <c r="D4" s="6"/>
      <c r="E4" s="6"/>
      <c r="F4" s="6"/>
      <c r="G4" s="6"/>
      <c r="H4" s="6"/>
      <c r="J4" s="12"/>
      <c r="S4" s="2"/>
      <c r="T4" s="2"/>
      <c r="V4" s="3"/>
      <c r="W4" s="2"/>
      <c r="X4" s="2"/>
      <c r="Y4" s="2"/>
      <c r="Z4" s="2"/>
      <c r="AA4" s="2"/>
      <c r="AB4" s="2"/>
      <c r="AF4" s="12"/>
      <c r="AG4" s="12"/>
      <c r="AK4" s="12"/>
      <c r="AL4" s="12"/>
      <c r="AM4" s="12"/>
    </row>
    <row r="5" spans="2:41" x14ac:dyDescent="0.3">
      <c r="B5" s="5"/>
      <c r="C5" s="6"/>
      <c r="D5" s="6"/>
      <c r="E5" s="6"/>
      <c r="F5" s="6"/>
      <c r="G5" s="6"/>
      <c r="H5" s="6"/>
      <c r="I5" s="3"/>
      <c r="J5" s="12"/>
      <c r="K5" s="2"/>
      <c r="M5" s="3"/>
      <c r="N5" s="2"/>
      <c r="O5" s="2"/>
      <c r="P5" s="2"/>
      <c r="Q5" s="2"/>
      <c r="R5" s="2"/>
      <c r="S5" s="2"/>
      <c r="T5" s="2"/>
      <c r="AF5" s="12"/>
      <c r="AG5" s="12"/>
      <c r="AK5" s="12"/>
      <c r="AL5" s="12"/>
      <c r="AM5" s="12"/>
    </row>
    <row r="6" spans="2:41" x14ac:dyDescent="0.3">
      <c r="B6" s="5"/>
      <c r="C6" s="6"/>
      <c r="D6" s="6"/>
      <c r="E6" s="6"/>
      <c r="F6" s="6"/>
      <c r="G6" s="6"/>
      <c r="H6" s="6"/>
      <c r="I6" s="3"/>
      <c r="J6" s="12"/>
      <c r="K6" s="2"/>
      <c r="M6" s="3"/>
      <c r="N6" s="2"/>
      <c r="O6" s="2"/>
      <c r="P6" s="2"/>
      <c r="Q6" s="2"/>
      <c r="R6" s="2"/>
      <c r="S6" s="2"/>
      <c r="T6" s="2"/>
      <c r="AF6" s="12"/>
      <c r="AG6" s="12"/>
      <c r="AK6" s="12"/>
      <c r="AL6" s="12"/>
      <c r="AM6" s="12"/>
    </row>
    <row r="7" spans="2:41" x14ac:dyDescent="0.3">
      <c r="B7" s="5"/>
      <c r="C7" s="6"/>
      <c r="D7" s="6"/>
      <c r="E7" s="6"/>
      <c r="F7" s="6"/>
      <c r="G7" s="6"/>
      <c r="H7" s="6"/>
      <c r="I7" s="3"/>
      <c r="J7" s="12"/>
      <c r="K7" s="2"/>
      <c r="M7" s="3"/>
      <c r="N7" s="2"/>
      <c r="O7" s="2"/>
      <c r="P7" s="2"/>
      <c r="Q7" s="2"/>
      <c r="R7" s="2"/>
      <c r="S7" s="2"/>
      <c r="T7" s="2"/>
      <c r="AF7" s="12"/>
      <c r="AG7" s="12"/>
      <c r="AK7" s="12"/>
      <c r="AL7" s="12"/>
      <c r="AM7" s="12"/>
    </row>
    <row r="8" spans="2:41" x14ac:dyDescent="0.3">
      <c r="B8" s="5"/>
      <c r="C8" s="6"/>
      <c r="D8" s="6"/>
      <c r="E8" s="6"/>
      <c r="F8" s="6"/>
      <c r="G8" s="6"/>
      <c r="H8" s="6"/>
      <c r="I8" s="3"/>
      <c r="J8" s="12"/>
      <c r="M8" s="3"/>
      <c r="O8" s="2"/>
      <c r="P8" s="2"/>
      <c r="Q8" s="2"/>
      <c r="R8" s="2"/>
      <c r="S8" s="2"/>
      <c r="AF8" s="12"/>
      <c r="AG8" s="12"/>
      <c r="AK8" s="12"/>
      <c r="AL8" s="12"/>
      <c r="AM8" s="12"/>
    </row>
    <row r="9" spans="2:41" x14ac:dyDescent="0.3">
      <c r="B9" s="5"/>
      <c r="C9" s="6"/>
      <c r="D9" s="6"/>
      <c r="E9" s="6"/>
      <c r="F9" s="6"/>
      <c r="G9" s="6"/>
      <c r="H9" s="6"/>
      <c r="I9" s="3"/>
      <c r="J9" s="12"/>
      <c r="M9" s="3"/>
      <c r="N9" s="2"/>
      <c r="O9" s="2"/>
      <c r="P9" s="2"/>
      <c r="Q9" s="2"/>
      <c r="R9" s="2"/>
      <c r="S9" s="2"/>
      <c r="AF9" s="12"/>
      <c r="AG9" s="12"/>
      <c r="AK9" s="12"/>
      <c r="AL9" s="12"/>
      <c r="AM9" s="12"/>
    </row>
    <row r="10" spans="2:41" x14ac:dyDescent="0.3">
      <c r="B10" s="5"/>
      <c r="C10" s="6"/>
      <c r="D10" s="6"/>
      <c r="E10" s="6"/>
      <c r="F10" s="6"/>
      <c r="G10" s="6"/>
      <c r="H10" s="6"/>
      <c r="I10" s="3"/>
      <c r="J10" s="12"/>
      <c r="M10" s="3"/>
      <c r="O10" s="4"/>
      <c r="P10" s="2"/>
      <c r="Q10" s="2"/>
      <c r="R10" s="2"/>
      <c r="S10" s="2"/>
      <c r="AF10" s="12"/>
      <c r="AG10" s="12"/>
      <c r="AK10" s="12"/>
      <c r="AL10" s="12"/>
      <c r="AM10" s="12"/>
    </row>
    <row r="11" spans="2:41" x14ac:dyDescent="0.3">
      <c r="B11" s="5"/>
      <c r="C11" s="6"/>
      <c r="D11" s="6"/>
      <c r="E11" s="6"/>
      <c r="F11" s="6"/>
      <c r="G11" s="6"/>
      <c r="H11" s="6"/>
      <c r="I11" s="3"/>
      <c r="J11" s="12"/>
      <c r="M11" s="3"/>
      <c r="N11" s="2"/>
      <c r="O11" s="2"/>
      <c r="P11" s="2"/>
      <c r="Q11" s="2"/>
      <c r="R11" s="2"/>
      <c r="S11" s="2"/>
      <c r="AF11" s="12"/>
      <c r="AG11" s="12"/>
      <c r="AK11" s="12"/>
      <c r="AL11" s="12"/>
      <c r="AM11" s="12"/>
    </row>
    <row r="12" spans="2:41" x14ac:dyDescent="0.3">
      <c r="B12" s="5"/>
      <c r="C12" s="6"/>
      <c r="D12" s="6"/>
      <c r="E12" s="6"/>
      <c r="F12" s="6"/>
      <c r="G12" s="6"/>
      <c r="H12" s="6"/>
      <c r="I12" s="3"/>
      <c r="J12" s="12"/>
      <c r="M12" s="3"/>
      <c r="O12" s="2"/>
      <c r="P12" s="2"/>
      <c r="Q12" s="2"/>
      <c r="R12" s="2"/>
      <c r="S12" s="2"/>
      <c r="AF12" s="12"/>
      <c r="AG12" s="12"/>
      <c r="AK12" s="12"/>
      <c r="AL12" s="12"/>
      <c r="AM12" s="12"/>
    </row>
    <row r="13" spans="2:41" x14ac:dyDescent="0.3">
      <c r="B13" s="5"/>
      <c r="C13" s="6"/>
      <c r="D13" s="6"/>
      <c r="E13" s="6"/>
      <c r="F13" s="6"/>
      <c r="G13" s="6"/>
      <c r="H13" s="6"/>
      <c r="I13" s="3"/>
      <c r="J13" s="12"/>
      <c r="M13" s="3"/>
      <c r="N13" s="2"/>
      <c r="O13" s="2"/>
      <c r="P13" s="2"/>
      <c r="Q13" s="2"/>
      <c r="R13" s="2"/>
      <c r="AF13" s="12"/>
      <c r="AG13" s="12"/>
      <c r="AK13" s="12"/>
      <c r="AL13" s="12"/>
      <c r="AM13" s="12"/>
    </row>
    <row r="14" spans="2:41" x14ac:dyDescent="0.3">
      <c r="B14" s="5"/>
      <c r="C14" s="6"/>
      <c r="D14" s="6"/>
      <c r="E14" s="6"/>
      <c r="F14" s="6"/>
      <c r="G14" s="6"/>
      <c r="H14" s="6"/>
      <c r="I14" s="3"/>
      <c r="J14" s="12"/>
      <c r="M14" s="3"/>
      <c r="O14" s="2"/>
      <c r="P14" s="2"/>
      <c r="Q14" s="2"/>
      <c r="R14" s="2"/>
      <c r="AF14" s="12"/>
      <c r="AG14" s="12"/>
      <c r="AK14" s="12"/>
      <c r="AL14" s="12"/>
      <c r="AM14" s="12"/>
    </row>
    <row r="15" spans="2:41" x14ac:dyDescent="0.3">
      <c r="B15" s="5"/>
      <c r="C15" s="6"/>
      <c r="D15" s="6"/>
      <c r="E15" s="6"/>
      <c r="F15" s="6"/>
      <c r="G15" s="6"/>
      <c r="H15" s="6"/>
      <c r="I15" s="3"/>
      <c r="J15" s="12"/>
      <c r="M15" s="3"/>
      <c r="N15" s="2"/>
      <c r="O15" s="2"/>
      <c r="P15" s="2"/>
      <c r="Q15" s="2"/>
      <c r="R15" s="2"/>
      <c r="AF15" s="12"/>
      <c r="AG15" s="12"/>
      <c r="AK15" s="12"/>
      <c r="AL15" s="12"/>
      <c r="AM15" s="12"/>
    </row>
    <row r="16" spans="2:41" x14ac:dyDescent="0.3">
      <c r="C16" s="6"/>
      <c r="D16" s="6"/>
      <c r="E16" s="6"/>
      <c r="F16" s="6"/>
      <c r="G16" s="6"/>
      <c r="H16" s="6"/>
      <c r="J16" s="12"/>
      <c r="AF16" s="12"/>
      <c r="AG16" s="12"/>
      <c r="AK16" s="12"/>
      <c r="AL16" s="12"/>
      <c r="AM16" s="12"/>
    </row>
    <row r="17" spans="3:39" x14ac:dyDescent="0.3">
      <c r="C17" s="6"/>
      <c r="D17" s="6"/>
      <c r="E17" s="6"/>
      <c r="F17" s="6"/>
      <c r="G17" s="6"/>
      <c r="H17" s="6"/>
      <c r="J17" s="12"/>
      <c r="AF17" s="12"/>
      <c r="AG17" s="12"/>
      <c r="AK17" s="12"/>
      <c r="AL17" s="12"/>
      <c r="AM17" s="12"/>
    </row>
    <row r="18" spans="3:39" x14ac:dyDescent="0.3">
      <c r="C18" s="6"/>
      <c r="D18" s="6"/>
      <c r="E18" s="6"/>
      <c r="F18" s="6"/>
      <c r="G18" s="6"/>
      <c r="H18" s="6"/>
      <c r="J18" s="12"/>
      <c r="AF18" s="12"/>
      <c r="AG18" s="12"/>
      <c r="AK18" s="12"/>
      <c r="AL18" s="12"/>
      <c r="AM18" s="12"/>
    </row>
    <row r="19" spans="3:39" x14ac:dyDescent="0.3">
      <c r="C19" s="6"/>
      <c r="D19" s="6"/>
      <c r="E19" s="6"/>
      <c r="F19" s="6"/>
      <c r="G19" s="6"/>
      <c r="H19" s="6"/>
      <c r="J19" s="12"/>
      <c r="AF19" s="12"/>
      <c r="AG19" s="12"/>
      <c r="AK19" s="12"/>
      <c r="AL19" s="12"/>
      <c r="AM19" s="12"/>
    </row>
    <row r="20" spans="3:39" x14ac:dyDescent="0.3">
      <c r="C20" s="6"/>
      <c r="D20" s="6"/>
      <c r="E20" s="6"/>
      <c r="F20" s="6"/>
      <c r="G20" s="6"/>
      <c r="H20" s="6"/>
      <c r="J20" s="12"/>
      <c r="AF20" s="12"/>
      <c r="AG20" s="12"/>
      <c r="AK20" s="12"/>
      <c r="AL20" s="12"/>
      <c r="AM20" s="12"/>
    </row>
    <row r="21" spans="3:39" x14ac:dyDescent="0.3">
      <c r="C21" s="6"/>
      <c r="D21" s="6"/>
      <c r="E21" s="6"/>
      <c r="F21" s="6"/>
      <c r="G21" s="6"/>
      <c r="H21" s="6"/>
      <c r="J21" s="12"/>
      <c r="AF21" s="12"/>
      <c r="AG21" s="12"/>
      <c r="AK21" s="12"/>
      <c r="AL21" s="12"/>
      <c r="AM21" s="12"/>
    </row>
    <row r="22" spans="3:39" x14ac:dyDescent="0.3">
      <c r="C22" s="6"/>
      <c r="D22" s="6"/>
      <c r="E22" s="6"/>
      <c r="F22" s="6"/>
      <c r="G22" s="6"/>
      <c r="H22" s="6"/>
      <c r="J22" s="12"/>
      <c r="AF22" s="12"/>
      <c r="AG22" s="12"/>
      <c r="AK22" s="12"/>
      <c r="AL22" s="12"/>
      <c r="AM22" s="12"/>
    </row>
    <row r="23" spans="3:39" x14ac:dyDescent="0.3">
      <c r="C23" s="6"/>
      <c r="D23" s="6"/>
      <c r="E23" s="6"/>
      <c r="F23" s="6"/>
      <c r="G23" s="6"/>
      <c r="H23" s="6"/>
      <c r="J23" s="12"/>
      <c r="AF23" s="12"/>
      <c r="AG23" s="12"/>
      <c r="AK23" s="12"/>
      <c r="AL23" s="12"/>
      <c r="AM23" s="12"/>
    </row>
    <row r="24" spans="3:39" x14ac:dyDescent="0.3">
      <c r="C24" s="6"/>
      <c r="D24" s="6"/>
      <c r="E24" s="6"/>
      <c r="F24" s="6"/>
      <c r="G24" s="6"/>
      <c r="H24" s="6"/>
      <c r="J24" s="12"/>
      <c r="AF24" s="12"/>
      <c r="AG24" s="12"/>
      <c r="AK24" s="12"/>
      <c r="AL24" s="12"/>
      <c r="AM24" s="12"/>
    </row>
    <row r="25" spans="3:39" x14ac:dyDescent="0.3">
      <c r="C25" s="6"/>
      <c r="D25" s="6"/>
      <c r="E25" s="6"/>
      <c r="F25" s="6"/>
      <c r="G25" s="6"/>
      <c r="H25" s="6"/>
      <c r="J25" s="12"/>
      <c r="AF25" s="12"/>
      <c r="AG25" s="12"/>
      <c r="AK25" s="12"/>
      <c r="AL25" s="12"/>
      <c r="AM25" s="12"/>
    </row>
    <row r="26" spans="3:39" x14ac:dyDescent="0.3">
      <c r="C26" s="6"/>
      <c r="D26" s="6"/>
      <c r="E26" s="6"/>
      <c r="F26" s="6"/>
      <c r="G26" s="6"/>
      <c r="H26" s="6"/>
      <c r="J26" s="12"/>
      <c r="AF26" s="12"/>
      <c r="AG26" s="12"/>
      <c r="AK26" s="12"/>
      <c r="AL26" s="12"/>
      <c r="AM26" s="12"/>
    </row>
    <row r="27" spans="3:39" x14ac:dyDescent="0.3">
      <c r="C27" s="6"/>
      <c r="D27" s="6"/>
      <c r="E27" s="6"/>
      <c r="F27" s="6"/>
      <c r="G27" s="6"/>
      <c r="H27" s="6"/>
      <c r="J27" s="12"/>
      <c r="AF27" s="12"/>
      <c r="AG27" s="12"/>
      <c r="AK27" s="12"/>
      <c r="AL27" s="12"/>
      <c r="AM27" s="12"/>
    </row>
    <row r="28" spans="3:39" x14ac:dyDescent="0.3">
      <c r="C28" s="6"/>
      <c r="D28" s="6"/>
      <c r="E28" s="6"/>
      <c r="F28" s="6"/>
      <c r="G28" s="6"/>
      <c r="H28" s="6"/>
      <c r="J28" s="12"/>
      <c r="AF28" s="12"/>
      <c r="AG28" s="12"/>
      <c r="AK28" s="12"/>
      <c r="AL28" s="12"/>
      <c r="AM28" s="12"/>
    </row>
    <row r="29" spans="3:39" x14ac:dyDescent="0.3">
      <c r="C29" s="6"/>
      <c r="D29" s="6"/>
      <c r="E29" s="6"/>
      <c r="F29" s="6"/>
      <c r="G29" s="6"/>
      <c r="H29" s="6"/>
      <c r="J29" s="12"/>
      <c r="AF29" s="12"/>
      <c r="AG29" s="12"/>
      <c r="AK29" s="12"/>
      <c r="AL29" s="12"/>
      <c r="AM29" s="12"/>
    </row>
    <row r="30" spans="3:39" x14ac:dyDescent="0.3">
      <c r="C30" s="6"/>
      <c r="D30" s="6"/>
      <c r="E30" s="6"/>
      <c r="F30" s="6"/>
      <c r="G30" s="6"/>
      <c r="H30" s="6"/>
      <c r="J30" s="12"/>
      <c r="AF30" s="12"/>
      <c r="AG30" s="12"/>
      <c r="AK30" s="12"/>
      <c r="AL30" s="12"/>
      <c r="AM30" s="12"/>
    </row>
    <row r="31" spans="3:39" x14ac:dyDescent="0.3">
      <c r="C31" s="6"/>
      <c r="D31" s="6"/>
      <c r="E31" s="6"/>
      <c r="F31" s="6"/>
      <c r="G31" s="6"/>
      <c r="H31" s="6"/>
      <c r="J31" s="12"/>
    </row>
    <row r="32" spans="3:39" x14ac:dyDescent="0.3">
      <c r="C32" s="6"/>
      <c r="D32" s="6"/>
      <c r="E32" s="6"/>
      <c r="F32" s="6"/>
      <c r="G32" s="6"/>
      <c r="H32" s="6"/>
      <c r="J32" s="12"/>
    </row>
    <row r="33" spans="3:10" x14ac:dyDescent="0.3">
      <c r="C33" s="6"/>
      <c r="D33" s="6"/>
      <c r="E33" s="6"/>
      <c r="F33" s="6"/>
      <c r="G33" s="6"/>
      <c r="H33" s="6"/>
      <c r="J33" s="12"/>
    </row>
    <row r="34" spans="3:10" x14ac:dyDescent="0.3">
      <c r="C34" s="6"/>
      <c r="D34" s="6"/>
      <c r="E34" s="6"/>
      <c r="F34" s="6"/>
      <c r="G34" s="6"/>
      <c r="H34" s="6"/>
      <c r="J34" s="12"/>
    </row>
    <row r="35" spans="3:10" x14ac:dyDescent="0.3">
      <c r="C35" s="6"/>
      <c r="D35" s="6"/>
      <c r="E35" s="6"/>
      <c r="F35" s="6"/>
      <c r="G35" s="6"/>
      <c r="H35" s="6"/>
      <c r="J35" s="12"/>
    </row>
    <row r="36" spans="3:10" x14ac:dyDescent="0.3">
      <c r="C36" s="6"/>
      <c r="D36" s="6"/>
      <c r="E36" s="6"/>
      <c r="F36" s="6"/>
      <c r="G36" s="6"/>
      <c r="H36" s="6"/>
      <c r="J36" s="12"/>
    </row>
    <row r="37" spans="3:10" x14ac:dyDescent="0.3">
      <c r="C37" s="6"/>
      <c r="D37" s="6"/>
      <c r="E37" s="6"/>
      <c r="F37" s="6"/>
      <c r="G37" s="6"/>
      <c r="H37" s="6"/>
      <c r="J37" s="12"/>
    </row>
    <row r="38" spans="3:10" x14ac:dyDescent="0.3">
      <c r="C38" s="6"/>
      <c r="D38" s="6"/>
      <c r="E38" s="6"/>
      <c r="F38" s="6"/>
      <c r="G38" s="6"/>
      <c r="H38" s="6"/>
      <c r="J38" s="12"/>
    </row>
    <row r="39" spans="3:10" x14ac:dyDescent="0.3">
      <c r="C39" s="6"/>
      <c r="D39" s="6"/>
      <c r="E39" s="6"/>
      <c r="F39" s="6"/>
      <c r="G39" s="6"/>
      <c r="H39" s="6"/>
      <c r="J39" s="12"/>
    </row>
    <row r="40" spans="3:10" x14ac:dyDescent="0.3">
      <c r="C40" s="6"/>
      <c r="D40" s="6"/>
      <c r="E40" s="6"/>
      <c r="F40" s="6"/>
      <c r="G40" s="6"/>
      <c r="H40" s="6"/>
      <c r="J40" s="12"/>
    </row>
    <row r="41" spans="3:10" x14ac:dyDescent="0.3">
      <c r="C41" s="6"/>
      <c r="D41" s="6"/>
      <c r="E41" s="6"/>
      <c r="F41" s="6"/>
      <c r="G41" s="6"/>
      <c r="H41" s="6"/>
      <c r="J41" s="12"/>
    </row>
    <row r="42" spans="3:10" x14ac:dyDescent="0.3">
      <c r="C42" s="6"/>
      <c r="D42" s="6"/>
      <c r="E42" s="6"/>
      <c r="F42" s="6"/>
      <c r="G42" s="6"/>
      <c r="H42" s="6"/>
      <c r="J42" s="12"/>
    </row>
    <row r="43" spans="3:10" x14ac:dyDescent="0.3">
      <c r="C43" s="6"/>
      <c r="D43" s="6"/>
      <c r="E43" s="6"/>
      <c r="F43" s="6"/>
      <c r="G43" s="6"/>
      <c r="H43" s="6"/>
      <c r="J43" s="12"/>
    </row>
    <row r="44" spans="3:10" x14ac:dyDescent="0.3">
      <c r="C44" s="6"/>
      <c r="D44" s="6"/>
      <c r="E44" s="6"/>
      <c r="F44" s="6"/>
      <c r="G44" s="6"/>
      <c r="H44" s="6"/>
      <c r="J44" s="12"/>
    </row>
    <row r="45" spans="3:10" x14ac:dyDescent="0.3">
      <c r="C45" s="6"/>
      <c r="D45" s="6"/>
      <c r="E45" s="6"/>
      <c r="F45" s="6"/>
      <c r="G45" s="6"/>
      <c r="H45" s="6"/>
      <c r="J45" s="12"/>
    </row>
    <row r="46" spans="3:10" x14ac:dyDescent="0.3">
      <c r="C46" s="6"/>
      <c r="D46" s="6"/>
      <c r="E46" s="6"/>
      <c r="F46" s="6"/>
      <c r="G46" s="6"/>
      <c r="H46" s="6"/>
      <c r="J46" s="12"/>
    </row>
    <row r="47" spans="3:10" x14ac:dyDescent="0.3">
      <c r="C47" s="6"/>
      <c r="D47" s="6"/>
      <c r="E47" s="6"/>
      <c r="F47" s="6"/>
      <c r="G47" s="6"/>
      <c r="H47" s="6"/>
      <c r="J47" s="12"/>
    </row>
    <row r="48" spans="3:10" x14ac:dyDescent="0.3">
      <c r="C48" s="6"/>
      <c r="D48" s="6"/>
      <c r="E48" s="6"/>
      <c r="F48" s="6"/>
      <c r="G48" s="6"/>
      <c r="H48" s="6"/>
      <c r="J48" s="12"/>
    </row>
    <row r="49" spans="3:10" x14ac:dyDescent="0.3">
      <c r="C49" s="6"/>
      <c r="D49" s="6"/>
      <c r="E49" s="6"/>
      <c r="F49" s="6"/>
      <c r="G49" s="6"/>
      <c r="H49" s="6"/>
      <c r="J49" s="12"/>
    </row>
    <row r="50" spans="3:10" x14ac:dyDescent="0.3">
      <c r="C50" s="6"/>
      <c r="D50" s="6"/>
      <c r="E50" s="6"/>
      <c r="F50" s="6"/>
      <c r="G50" s="6"/>
      <c r="H50" s="6"/>
      <c r="J50" s="12"/>
    </row>
    <row r="51" spans="3:10" x14ac:dyDescent="0.3">
      <c r="C51" s="6"/>
      <c r="D51" s="6"/>
      <c r="E51" s="6"/>
      <c r="F51" s="6"/>
      <c r="G51" s="6"/>
      <c r="H51" s="6"/>
      <c r="J51" s="12"/>
    </row>
    <row r="52" spans="3:10" x14ac:dyDescent="0.3">
      <c r="C52" s="6"/>
      <c r="D52" s="6"/>
      <c r="E52" s="6"/>
      <c r="F52" s="6"/>
      <c r="G52" s="6"/>
      <c r="H52" s="6"/>
      <c r="J52" s="12"/>
    </row>
    <row r="53" spans="3:10" x14ac:dyDescent="0.3">
      <c r="C53" s="6"/>
      <c r="D53" s="6"/>
      <c r="E53" s="6"/>
      <c r="F53" s="6"/>
      <c r="G53" s="6"/>
      <c r="H53" s="6"/>
      <c r="J53" s="12"/>
    </row>
    <row r="54" spans="3:10" x14ac:dyDescent="0.3">
      <c r="C54" s="6"/>
      <c r="D54" s="6"/>
      <c r="E54" s="6"/>
      <c r="F54" s="6"/>
      <c r="G54" s="6"/>
      <c r="H54" s="6"/>
      <c r="J54" s="12"/>
    </row>
    <row r="55" spans="3:10" x14ac:dyDescent="0.3">
      <c r="C55" s="6"/>
      <c r="D55" s="6"/>
      <c r="E55" s="6"/>
      <c r="F55" s="6"/>
      <c r="G55" s="6"/>
      <c r="H55" s="6"/>
      <c r="J55" s="12"/>
    </row>
    <row r="56" spans="3:10" x14ac:dyDescent="0.3">
      <c r="C56" s="6"/>
      <c r="D56" s="6"/>
      <c r="E56" s="6"/>
      <c r="F56" s="6"/>
      <c r="G56" s="6"/>
      <c r="H56" s="6"/>
      <c r="J56" s="12"/>
    </row>
    <row r="57" spans="3:10" x14ac:dyDescent="0.3">
      <c r="C57" s="6"/>
      <c r="D57" s="6"/>
      <c r="E57" s="6"/>
      <c r="F57" s="6"/>
      <c r="G57" s="6"/>
      <c r="H57" s="6"/>
      <c r="J57" s="12"/>
    </row>
    <row r="58" spans="3:10" x14ac:dyDescent="0.3">
      <c r="C58" s="6"/>
      <c r="D58" s="6"/>
      <c r="E58" s="6"/>
      <c r="F58" s="6"/>
      <c r="G58" s="6"/>
      <c r="H58" s="6"/>
      <c r="J58" s="12"/>
    </row>
    <row r="59" spans="3:10" x14ac:dyDescent="0.3">
      <c r="C59" s="6"/>
      <c r="D59" s="6"/>
      <c r="E59" s="6"/>
      <c r="F59" s="6"/>
      <c r="G59" s="6"/>
      <c r="H59" s="6"/>
      <c r="J59" s="12"/>
    </row>
    <row r="60" spans="3:10" x14ac:dyDescent="0.3">
      <c r="C60" s="6"/>
      <c r="D60" s="6"/>
      <c r="E60" s="6"/>
      <c r="F60" s="6"/>
      <c r="G60" s="6"/>
      <c r="H60" s="6"/>
      <c r="J60" s="12"/>
    </row>
    <row r="61" spans="3:10" x14ac:dyDescent="0.3">
      <c r="C61" s="6"/>
      <c r="D61" s="6"/>
      <c r="E61" s="6"/>
      <c r="F61" s="6"/>
      <c r="G61" s="6"/>
      <c r="H61" s="6"/>
      <c r="J61" s="12"/>
    </row>
    <row r="62" spans="3:10" x14ac:dyDescent="0.3">
      <c r="C62" s="6"/>
      <c r="D62" s="6"/>
      <c r="E62" s="6"/>
      <c r="F62" s="6"/>
      <c r="G62" s="6"/>
      <c r="H62" s="6"/>
      <c r="J62" s="12"/>
    </row>
    <row r="63" spans="3:10" x14ac:dyDescent="0.3">
      <c r="C63" s="6"/>
      <c r="D63" s="6"/>
      <c r="E63" s="6"/>
      <c r="F63" s="6"/>
      <c r="G63" s="6"/>
      <c r="H63" s="6"/>
      <c r="J63" s="12"/>
    </row>
    <row r="64" spans="3:10" x14ac:dyDescent="0.3">
      <c r="C64" s="6"/>
      <c r="D64" s="6"/>
      <c r="E64" s="6"/>
      <c r="F64" s="6"/>
      <c r="G64" s="6"/>
      <c r="H64" s="6"/>
      <c r="J64" s="12"/>
    </row>
    <row r="65" spans="3:10" x14ac:dyDescent="0.3">
      <c r="C65" s="6"/>
      <c r="D65" s="6"/>
      <c r="E65" s="6"/>
      <c r="F65" s="6"/>
      <c r="G65" s="6"/>
      <c r="H65" s="6"/>
      <c r="J65" s="12"/>
    </row>
    <row r="66" spans="3:10" x14ac:dyDescent="0.3">
      <c r="C66" s="6"/>
      <c r="D66" s="6"/>
      <c r="E66" s="6"/>
      <c r="F66" s="6"/>
      <c r="G66" s="6"/>
      <c r="H66" s="6"/>
      <c r="J66" s="12"/>
    </row>
    <row r="67" spans="3:10" x14ac:dyDescent="0.3">
      <c r="C67" s="6"/>
      <c r="D67" s="6"/>
      <c r="E67" s="6"/>
      <c r="F67" s="6"/>
      <c r="G67" s="6"/>
      <c r="H67" s="6"/>
      <c r="J67" s="12"/>
    </row>
    <row r="68" spans="3:10" x14ac:dyDescent="0.3">
      <c r="C68" s="6"/>
      <c r="D68" s="6"/>
      <c r="E68" s="6"/>
      <c r="F68" s="6"/>
      <c r="G68" s="6"/>
      <c r="H68" s="6"/>
      <c r="J68" s="12"/>
    </row>
    <row r="69" spans="3:10" x14ac:dyDescent="0.3">
      <c r="C69" s="6"/>
      <c r="D69" s="6"/>
      <c r="E69" s="6"/>
      <c r="F69" s="6"/>
      <c r="G69" s="6"/>
      <c r="H69" s="6"/>
      <c r="J69" s="12"/>
    </row>
    <row r="70" spans="3:10" x14ac:dyDescent="0.3">
      <c r="C70" s="6"/>
      <c r="D70" s="6"/>
      <c r="E70" s="6"/>
      <c r="F70" s="6"/>
      <c r="G70" s="6"/>
      <c r="H70" s="6"/>
      <c r="J70" s="12"/>
    </row>
    <row r="71" spans="3:10" x14ac:dyDescent="0.3">
      <c r="C71" s="6"/>
      <c r="D71" s="6"/>
      <c r="E71" s="6"/>
      <c r="F71" s="6"/>
      <c r="G71" s="6"/>
      <c r="H71" s="6"/>
      <c r="J71" s="12"/>
    </row>
    <row r="72" spans="3:10" x14ac:dyDescent="0.3">
      <c r="C72" s="6"/>
      <c r="D72" s="6"/>
      <c r="E72" s="6"/>
      <c r="F72" s="6"/>
      <c r="G72" s="6"/>
      <c r="H72" s="6"/>
      <c r="J72" s="12"/>
    </row>
    <row r="73" spans="3:10" x14ac:dyDescent="0.3">
      <c r="C73" s="6"/>
      <c r="D73" s="6"/>
      <c r="E73" s="6"/>
      <c r="F73" s="6"/>
      <c r="G73" s="6"/>
      <c r="H73" s="6"/>
      <c r="J73" s="12"/>
    </row>
    <row r="74" spans="3:10" x14ac:dyDescent="0.3">
      <c r="C74" s="6"/>
      <c r="D74" s="6"/>
      <c r="E74" s="6"/>
      <c r="F74" s="6"/>
      <c r="G74" s="6"/>
      <c r="H74" s="6"/>
      <c r="J74" s="12"/>
    </row>
    <row r="75" spans="3:10" x14ac:dyDescent="0.3">
      <c r="C75" s="6"/>
      <c r="D75" s="6"/>
      <c r="E75" s="6"/>
      <c r="F75" s="6"/>
      <c r="G75" s="6"/>
      <c r="H75" s="6"/>
      <c r="J75" s="12"/>
    </row>
    <row r="76" spans="3:10" x14ac:dyDescent="0.3">
      <c r="C76" s="6"/>
      <c r="D76" s="6"/>
      <c r="E76" s="6"/>
      <c r="F76" s="6"/>
      <c r="G76" s="6"/>
      <c r="H76" s="6"/>
      <c r="J76" s="12"/>
    </row>
    <row r="77" spans="3:10" x14ac:dyDescent="0.3">
      <c r="C77" s="6"/>
      <c r="D77" s="6"/>
      <c r="E77" s="6"/>
      <c r="F77" s="6"/>
      <c r="G77" s="6"/>
      <c r="H77" s="6"/>
      <c r="J77" s="12"/>
    </row>
    <row r="78" spans="3:10" x14ac:dyDescent="0.3">
      <c r="C78" s="6"/>
      <c r="D78" s="6"/>
      <c r="E78" s="6"/>
      <c r="F78" s="6"/>
      <c r="G78" s="6"/>
      <c r="H78" s="6"/>
      <c r="J78" s="12"/>
    </row>
    <row r="79" spans="3:10" x14ac:dyDescent="0.3">
      <c r="C79" s="6"/>
      <c r="D79" s="6"/>
      <c r="E79" s="6"/>
      <c r="F79" s="6"/>
      <c r="G79" s="6"/>
      <c r="H79" s="6"/>
      <c r="J79" s="12"/>
    </row>
    <row r="80" spans="3:10" x14ac:dyDescent="0.3">
      <c r="C80" s="6"/>
      <c r="D80" s="6"/>
      <c r="E80" s="6"/>
      <c r="F80" s="6"/>
      <c r="G80" s="6"/>
      <c r="H80" s="6"/>
      <c r="J80" s="12"/>
    </row>
    <row r="81" spans="3:10" x14ac:dyDescent="0.3">
      <c r="C81" s="6"/>
      <c r="D81" s="6"/>
      <c r="E81" s="6"/>
      <c r="F81" s="6"/>
      <c r="G81" s="6"/>
      <c r="H81" s="6"/>
      <c r="J81" s="12"/>
    </row>
    <row r="82" spans="3:10" x14ac:dyDescent="0.3">
      <c r="C82" s="6"/>
      <c r="D82" s="6"/>
      <c r="E82" s="6"/>
      <c r="F82" s="6"/>
      <c r="G82" s="6"/>
      <c r="H82" s="6"/>
      <c r="J82" s="12"/>
    </row>
    <row r="83" spans="3:10" x14ac:dyDescent="0.3">
      <c r="C83" s="6"/>
      <c r="D83" s="6"/>
      <c r="E83" s="6"/>
      <c r="F83" s="6"/>
      <c r="G83" s="6"/>
      <c r="H83" s="6"/>
      <c r="J83" s="12"/>
    </row>
    <row r="84" spans="3:10" x14ac:dyDescent="0.3">
      <c r="C84" s="6"/>
      <c r="D84" s="6"/>
      <c r="E84" s="6"/>
      <c r="F84" s="6"/>
      <c r="G84" s="6"/>
      <c r="H84" s="6"/>
      <c r="J84" s="12"/>
    </row>
    <row r="85" spans="3:10" x14ac:dyDescent="0.3">
      <c r="C85" s="6"/>
      <c r="D85" s="6"/>
      <c r="E85" s="6"/>
      <c r="F85" s="6"/>
      <c r="G85" s="6"/>
      <c r="H85" s="6"/>
      <c r="J85" s="12"/>
    </row>
    <row r="86" spans="3:10" x14ac:dyDescent="0.3">
      <c r="C86" s="6"/>
      <c r="D86" s="6"/>
      <c r="E86" s="6"/>
      <c r="F86" s="6"/>
      <c r="G86" s="6"/>
      <c r="H86" s="6"/>
      <c r="J86" s="12"/>
    </row>
    <row r="87" spans="3:10" x14ac:dyDescent="0.3">
      <c r="C87" s="6"/>
      <c r="D87" s="6"/>
      <c r="E87" s="6"/>
      <c r="F87" s="6"/>
      <c r="G87" s="6"/>
      <c r="H87" s="6"/>
      <c r="J87" s="12"/>
    </row>
    <row r="88" spans="3:10" x14ac:dyDescent="0.3">
      <c r="C88" s="6"/>
      <c r="D88" s="6"/>
      <c r="E88" s="6"/>
      <c r="F88" s="6"/>
      <c r="G88" s="6"/>
      <c r="H88" s="6"/>
      <c r="J88" s="12"/>
    </row>
    <row r="89" spans="3:10" x14ac:dyDescent="0.3">
      <c r="C89" s="6"/>
      <c r="D89" s="6"/>
      <c r="E89" s="6"/>
      <c r="F89" s="6"/>
      <c r="G89" s="6"/>
      <c r="H89" s="6"/>
      <c r="J89" s="12"/>
    </row>
    <row r="90" spans="3:10" x14ac:dyDescent="0.3">
      <c r="C90" s="6"/>
      <c r="D90" s="6"/>
      <c r="E90" s="6"/>
      <c r="F90" s="6"/>
      <c r="G90" s="6"/>
      <c r="H90" s="6"/>
      <c r="J90" s="12"/>
    </row>
    <row r="91" spans="3:10" x14ac:dyDescent="0.3">
      <c r="C91" s="6"/>
      <c r="D91" s="6"/>
      <c r="E91" s="6"/>
      <c r="F91" s="6"/>
      <c r="G91" s="6"/>
      <c r="H91" s="6"/>
      <c r="J91" s="12"/>
    </row>
    <row r="92" spans="3:10" x14ac:dyDescent="0.3">
      <c r="C92" s="6"/>
      <c r="D92" s="6"/>
      <c r="E92" s="6"/>
      <c r="F92" s="6"/>
      <c r="G92" s="6"/>
      <c r="H92" s="6"/>
      <c r="J92" s="12"/>
    </row>
    <row r="93" spans="3:10" x14ac:dyDescent="0.3">
      <c r="C93" s="6"/>
      <c r="D93" s="6"/>
      <c r="E93" s="6"/>
      <c r="F93" s="6"/>
      <c r="G93" s="6"/>
      <c r="H93" s="6"/>
      <c r="J93" s="12"/>
    </row>
    <row r="94" spans="3:10" x14ac:dyDescent="0.3">
      <c r="C94" s="6"/>
      <c r="D94" s="6"/>
      <c r="E94" s="6"/>
      <c r="F94" s="6"/>
      <c r="G94" s="6"/>
      <c r="H94" s="6"/>
      <c r="J94" s="12"/>
    </row>
    <row r="95" spans="3:10" x14ac:dyDescent="0.3">
      <c r="C95" s="6"/>
      <c r="D95" s="6"/>
      <c r="E95" s="6"/>
      <c r="F95" s="6"/>
      <c r="G95" s="6"/>
      <c r="H95" s="6"/>
      <c r="J95" s="12"/>
    </row>
    <row r="96" spans="3:10" x14ac:dyDescent="0.3">
      <c r="C96" s="6"/>
      <c r="D96" s="6"/>
      <c r="E96" s="6"/>
      <c r="F96" s="6"/>
      <c r="G96" s="6"/>
      <c r="H96" s="6"/>
      <c r="J96" s="12"/>
    </row>
    <row r="97" spans="3:10" x14ac:dyDescent="0.3">
      <c r="C97" s="6"/>
      <c r="D97" s="6"/>
      <c r="E97" s="6"/>
      <c r="F97" s="6"/>
      <c r="G97" s="6"/>
      <c r="H97" s="6"/>
      <c r="J97" s="12"/>
    </row>
    <row r="98" spans="3:10" x14ac:dyDescent="0.3">
      <c r="C98" s="6"/>
      <c r="D98" s="6"/>
      <c r="E98" s="6"/>
      <c r="F98" s="6"/>
      <c r="G98" s="6"/>
      <c r="H98" s="6"/>
      <c r="J98" s="12"/>
    </row>
    <row r="99" spans="3:10" x14ac:dyDescent="0.3">
      <c r="C99" s="6"/>
      <c r="D99" s="6"/>
      <c r="E99" s="6"/>
      <c r="F99" s="6"/>
      <c r="G99" s="6"/>
      <c r="H99" s="6"/>
      <c r="J99" s="12"/>
    </row>
    <row r="100" spans="3:10" x14ac:dyDescent="0.3">
      <c r="C100" s="6"/>
      <c r="D100" s="6"/>
      <c r="E100" s="6"/>
      <c r="F100" s="6"/>
      <c r="G100" s="6"/>
      <c r="H100" s="6"/>
      <c r="J100" s="12"/>
    </row>
  </sheetData>
  <mergeCells count="5">
    <mergeCell ref="AJ2:AO2"/>
    <mergeCell ref="M2:S2"/>
    <mergeCell ref="V2:AB2"/>
    <mergeCell ref="B2:J2"/>
    <mergeCell ref="AE2:AH2"/>
  </mergeCells>
  <dataValidations count="4">
    <dataValidation type="list" allowBlank="1" showInputMessage="1" showErrorMessage="1" sqref="M21" xr:uid="{F51A4C4C-DFCA-4880-B681-BA3EAA56ABD0}">
      <formula1>"DeathGuard,Space Marines,Drukhari, Daemons, T'Au, Imperial Guard, Sisters of Battle, Thousand Sons"</formula1>
    </dataValidation>
    <dataValidation type="list" allowBlank="1" showInputMessage="1" showErrorMessage="1" sqref="J4:J100" xr:uid="{BE69AAA4-2338-43DA-B07F-EA80583647F4}">
      <formula1>"Ranged,Melee"</formula1>
    </dataValidation>
    <dataValidation type="list" allowBlank="1" showInputMessage="1" showErrorMessage="1" sqref="AF4:AF30 AL4:AL30" xr:uid="{78E16B44-4A7C-4C73-B163-93F5B9B810BC}">
      <formula1>"Attacker,Target"</formula1>
    </dataValidation>
    <dataValidation type="list" allowBlank="1" showInputMessage="1" showErrorMessage="1" sqref="AG4:AG30 AM4:AM30" xr:uid="{F4840473-8340-4248-87B6-F3D983937154}">
      <formula1>"Shooting,Fighting,Both"</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9B610-C331-46F8-ABD2-8141B4EBE544}">
  <sheetPr codeName="Sheet9">
    <tabColor theme="6" tint="0.59999389629810485"/>
  </sheetPr>
  <dimension ref="B2:AO100"/>
  <sheetViews>
    <sheetView workbookViewId="0">
      <selection activeCell="I3" sqref="I3"/>
    </sheetView>
  </sheetViews>
  <sheetFormatPr defaultRowHeight="14.4" x14ac:dyDescent="0.3"/>
  <cols>
    <col min="2" max="2" width="21.6640625" bestFit="1" customWidth="1"/>
    <col min="3" max="7" width="7.44140625" customWidth="1"/>
    <col min="8" max="8" width="13" customWidth="1"/>
    <col min="9" max="9" width="26" bestFit="1" customWidth="1"/>
    <col min="10" max="10" width="4.6640625" customWidth="1"/>
    <col min="11" max="12" width="1.88671875" customWidth="1"/>
    <col min="13" max="13" width="26.33203125" bestFit="1" customWidth="1"/>
    <col min="14" max="14" width="4.44140625" bestFit="1" customWidth="1"/>
    <col min="15" max="15" width="5.44140625" bestFit="1" customWidth="1"/>
    <col min="16" max="16" width="4.33203125" bestFit="1" customWidth="1"/>
    <col min="17" max="17" width="5.5546875" bestFit="1" customWidth="1"/>
    <col min="18" max="18" width="4.5546875" bestFit="1" customWidth="1"/>
    <col min="19" max="19" width="20.44140625" bestFit="1" customWidth="1"/>
    <col min="20" max="21" width="1.88671875" customWidth="1"/>
    <col min="22" max="22" width="11.88671875" bestFit="1" customWidth="1"/>
    <col min="31" max="31" width="27.77734375" customWidth="1"/>
    <col min="32" max="33" width="12" customWidth="1"/>
    <col min="34" max="34" width="37" customWidth="1"/>
    <col min="36" max="36" width="27.77734375" customWidth="1"/>
    <col min="37" max="37" width="6.44140625" customWidth="1"/>
    <col min="38" max="39" width="13" customWidth="1"/>
    <col min="40" max="40" width="31.44140625" customWidth="1"/>
    <col min="41" max="41" width="40.77734375" customWidth="1"/>
  </cols>
  <sheetData>
    <row r="2" spans="2:41" x14ac:dyDescent="0.3">
      <c r="B2" s="8" t="s">
        <v>14</v>
      </c>
      <c r="C2" s="8"/>
      <c r="D2" s="8"/>
      <c r="E2" s="8"/>
      <c r="F2" s="8"/>
      <c r="G2" s="8"/>
      <c r="H2" s="8"/>
      <c r="I2" s="8"/>
      <c r="J2" s="8"/>
      <c r="M2" s="8" t="s">
        <v>33</v>
      </c>
      <c r="N2" s="8"/>
      <c r="O2" s="8"/>
      <c r="P2" s="8"/>
      <c r="Q2" s="8"/>
      <c r="R2" s="8"/>
      <c r="S2" s="8"/>
      <c r="V2" s="8" t="s">
        <v>34</v>
      </c>
      <c r="W2" s="8"/>
      <c r="X2" s="8"/>
      <c r="Y2" s="8"/>
      <c r="Z2" s="8"/>
      <c r="AA2" s="8"/>
      <c r="AB2" s="8"/>
      <c r="AE2" s="65" t="s">
        <v>222</v>
      </c>
      <c r="AF2" s="65"/>
      <c r="AG2" s="65"/>
      <c r="AH2" s="65"/>
      <c r="AJ2" s="67" t="s">
        <v>298</v>
      </c>
      <c r="AK2" s="68"/>
      <c r="AL2" s="68"/>
      <c r="AM2" s="68"/>
      <c r="AN2" s="68"/>
      <c r="AO2" s="68"/>
    </row>
    <row r="3" spans="2:41" x14ac:dyDescent="0.3">
      <c r="B3" t="s">
        <v>21</v>
      </c>
      <c r="C3" t="s">
        <v>15</v>
      </c>
      <c r="D3" t="s">
        <v>16</v>
      </c>
      <c r="E3" t="s">
        <v>449</v>
      </c>
      <c r="F3" t="s">
        <v>450</v>
      </c>
      <c r="G3" t="s">
        <v>19</v>
      </c>
      <c r="H3" t="s">
        <v>17</v>
      </c>
      <c r="I3" t="s">
        <v>2</v>
      </c>
      <c r="J3" s="2" t="s">
        <v>38</v>
      </c>
      <c r="K3" s="2"/>
      <c r="M3" s="3" t="s">
        <v>2</v>
      </c>
      <c r="N3" s="3" t="s">
        <v>3</v>
      </c>
      <c r="O3" s="3" t="s">
        <v>4</v>
      </c>
      <c r="P3" s="3" t="s">
        <v>5</v>
      </c>
      <c r="Q3" s="3" t="s">
        <v>6</v>
      </c>
      <c r="R3" s="3" t="s">
        <v>7</v>
      </c>
      <c r="S3" s="3" t="s">
        <v>8</v>
      </c>
      <c r="T3" s="2"/>
      <c r="V3" s="3" t="s">
        <v>2</v>
      </c>
      <c r="W3" s="3" t="s">
        <v>3</v>
      </c>
      <c r="X3" s="3" t="s">
        <v>4</v>
      </c>
      <c r="Y3" s="3" t="s">
        <v>5</v>
      </c>
      <c r="Z3" s="3" t="s">
        <v>6</v>
      </c>
      <c r="AA3" s="3" t="s">
        <v>7</v>
      </c>
      <c r="AB3" s="3" t="s">
        <v>8</v>
      </c>
      <c r="AE3" s="3" t="s">
        <v>184</v>
      </c>
      <c r="AF3" s="3" t="s">
        <v>46</v>
      </c>
      <c r="AG3" s="3" t="s">
        <v>223</v>
      </c>
      <c r="AH3" s="3" t="s">
        <v>8</v>
      </c>
      <c r="AJ3" s="3" t="s">
        <v>273</v>
      </c>
      <c r="AK3" s="3" t="s">
        <v>274</v>
      </c>
      <c r="AL3" s="3" t="s">
        <v>46</v>
      </c>
      <c r="AM3" s="3" t="s">
        <v>223</v>
      </c>
      <c r="AN3" s="3" t="s">
        <v>8</v>
      </c>
      <c r="AO3" s="3" t="s">
        <v>275</v>
      </c>
    </row>
    <row r="4" spans="2:41" x14ac:dyDescent="0.3">
      <c r="C4" s="6"/>
      <c r="D4" s="6"/>
      <c r="E4" s="6"/>
      <c r="F4" s="6"/>
      <c r="G4" s="6"/>
      <c r="H4" s="6"/>
      <c r="J4" s="12"/>
      <c r="S4" s="2"/>
      <c r="T4" s="2"/>
      <c r="V4" s="3"/>
      <c r="W4" s="2"/>
      <c r="X4" s="2"/>
      <c r="Y4" s="2"/>
      <c r="Z4" s="2"/>
      <c r="AA4" s="2"/>
      <c r="AB4" s="2"/>
      <c r="AF4" s="12"/>
      <c r="AG4" s="12"/>
      <c r="AK4" s="12"/>
      <c r="AL4" s="12"/>
      <c r="AM4" s="12"/>
    </row>
    <row r="5" spans="2:41" x14ac:dyDescent="0.3">
      <c r="B5" s="5"/>
      <c r="C5" s="6"/>
      <c r="D5" s="6"/>
      <c r="E5" s="6"/>
      <c r="F5" s="6"/>
      <c r="G5" s="6"/>
      <c r="H5" s="6"/>
      <c r="I5" s="3"/>
      <c r="J5" s="12"/>
      <c r="K5" s="2"/>
      <c r="M5" s="3"/>
      <c r="N5" s="2"/>
      <c r="O5" s="2"/>
      <c r="P5" s="2"/>
      <c r="Q5" s="2"/>
      <c r="R5" s="2"/>
      <c r="S5" s="2"/>
      <c r="T5" s="2"/>
      <c r="AF5" s="12"/>
      <c r="AG5" s="12"/>
      <c r="AK5" s="12"/>
      <c r="AL5" s="12"/>
      <c r="AM5" s="12"/>
    </row>
    <row r="6" spans="2:41" x14ac:dyDescent="0.3">
      <c r="B6" s="5"/>
      <c r="C6" s="6"/>
      <c r="D6" s="6"/>
      <c r="E6" s="6"/>
      <c r="F6" s="6"/>
      <c r="G6" s="6"/>
      <c r="H6" s="6"/>
      <c r="I6" s="3"/>
      <c r="J6" s="12"/>
      <c r="K6" s="2"/>
      <c r="M6" s="3"/>
      <c r="N6" s="2"/>
      <c r="O6" s="2"/>
      <c r="P6" s="2"/>
      <c r="Q6" s="2"/>
      <c r="R6" s="2"/>
      <c r="S6" s="2"/>
      <c r="T6" s="2"/>
      <c r="AF6" s="12"/>
      <c r="AG6" s="12"/>
      <c r="AK6" s="12"/>
      <c r="AL6" s="12"/>
      <c r="AM6" s="12"/>
    </row>
    <row r="7" spans="2:41" x14ac:dyDescent="0.3">
      <c r="B7" s="5"/>
      <c r="C7" s="6"/>
      <c r="D7" s="6"/>
      <c r="E7" s="6"/>
      <c r="F7" s="6"/>
      <c r="G7" s="6"/>
      <c r="H7" s="6"/>
      <c r="I7" s="3"/>
      <c r="J7" s="12"/>
      <c r="K7" s="2"/>
      <c r="M7" s="3"/>
      <c r="N7" s="2"/>
      <c r="O7" s="2"/>
      <c r="P7" s="2"/>
      <c r="Q7" s="2"/>
      <c r="R7" s="2"/>
      <c r="S7" s="2"/>
      <c r="T7" s="2"/>
      <c r="AF7" s="12"/>
      <c r="AG7" s="12"/>
      <c r="AK7" s="12"/>
      <c r="AL7" s="12"/>
      <c r="AM7" s="12"/>
    </row>
    <row r="8" spans="2:41" x14ac:dyDescent="0.3">
      <c r="B8" s="5"/>
      <c r="C8" s="6"/>
      <c r="D8" s="6"/>
      <c r="E8" s="6"/>
      <c r="F8" s="6"/>
      <c r="G8" s="6"/>
      <c r="H8" s="6"/>
      <c r="I8" s="3"/>
      <c r="J8" s="12"/>
      <c r="M8" s="3"/>
      <c r="O8" s="2"/>
      <c r="P8" s="2"/>
      <c r="Q8" s="2"/>
      <c r="R8" s="2"/>
      <c r="S8" s="2"/>
      <c r="AF8" s="12"/>
      <c r="AG8" s="12"/>
      <c r="AK8" s="12"/>
      <c r="AL8" s="12"/>
      <c r="AM8" s="12"/>
    </row>
    <row r="9" spans="2:41" x14ac:dyDescent="0.3">
      <c r="B9" s="5"/>
      <c r="C9" s="6"/>
      <c r="D9" s="6"/>
      <c r="E9" s="6"/>
      <c r="F9" s="6"/>
      <c r="G9" s="6"/>
      <c r="H9" s="6"/>
      <c r="I9" s="3"/>
      <c r="J9" s="12"/>
      <c r="M9" s="3"/>
      <c r="N9" s="2"/>
      <c r="O9" s="2"/>
      <c r="P9" s="2"/>
      <c r="Q9" s="2"/>
      <c r="R9" s="2"/>
      <c r="S9" s="2"/>
      <c r="AF9" s="12"/>
      <c r="AG9" s="12"/>
      <c r="AK9" s="12"/>
      <c r="AL9" s="12"/>
      <c r="AM9" s="12"/>
    </row>
    <row r="10" spans="2:41" x14ac:dyDescent="0.3">
      <c r="B10" s="5"/>
      <c r="C10" s="6"/>
      <c r="D10" s="6"/>
      <c r="E10" s="6"/>
      <c r="F10" s="6"/>
      <c r="G10" s="6"/>
      <c r="H10" s="6"/>
      <c r="I10" s="3"/>
      <c r="J10" s="12"/>
      <c r="M10" s="3"/>
      <c r="O10" s="4"/>
      <c r="P10" s="2"/>
      <c r="Q10" s="2"/>
      <c r="R10" s="2"/>
      <c r="S10" s="2"/>
      <c r="AF10" s="12"/>
      <c r="AG10" s="12"/>
      <c r="AK10" s="12"/>
      <c r="AL10" s="12"/>
      <c r="AM10" s="12"/>
    </row>
    <row r="11" spans="2:41" x14ac:dyDescent="0.3">
      <c r="B11" s="5"/>
      <c r="C11" s="6"/>
      <c r="D11" s="6"/>
      <c r="E11" s="6"/>
      <c r="F11" s="6"/>
      <c r="G11" s="6"/>
      <c r="H11" s="6"/>
      <c r="I11" s="3"/>
      <c r="J11" s="12"/>
      <c r="M11" s="3"/>
      <c r="N11" s="2"/>
      <c r="O11" s="2"/>
      <c r="P11" s="2"/>
      <c r="Q11" s="2"/>
      <c r="R11" s="2"/>
      <c r="S11" s="2"/>
      <c r="AF11" s="12"/>
      <c r="AG11" s="12"/>
      <c r="AK11" s="12"/>
      <c r="AL11" s="12"/>
      <c r="AM11" s="12"/>
    </row>
    <row r="12" spans="2:41" x14ac:dyDescent="0.3">
      <c r="B12" s="5"/>
      <c r="C12" s="6"/>
      <c r="D12" s="6"/>
      <c r="E12" s="6"/>
      <c r="F12" s="6"/>
      <c r="G12" s="6"/>
      <c r="H12" s="6"/>
      <c r="I12" s="3"/>
      <c r="J12" s="12"/>
      <c r="M12" s="3"/>
      <c r="O12" s="2"/>
      <c r="P12" s="2"/>
      <c r="Q12" s="2"/>
      <c r="R12" s="2"/>
      <c r="S12" s="2"/>
      <c r="AF12" s="12"/>
      <c r="AG12" s="12"/>
      <c r="AK12" s="12"/>
      <c r="AL12" s="12"/>
      <c r="AM12" s="12"/>
    </row>
    <row r="13" spans="2:41" x14ac:dyDescent="0.3">
      <c r="B13" s="5"/>
      <c r="C13" s="6"/>
      <c r="D13" s="6"/>
      <c r="E13" s="6"/>
      <c r="F13" s="6"/>
      <c r="G13" s="6"/>
      <c r="H13" s="6"/>
      <c r="I13" s="3"/>
      <c r="J13" s="12"/>
      <c r="M13" s="3"/>
      <c r="N13" s="2"/>
      <c r="O13" s="2"/>
      <c r="P13" s="2"/>
      <c r="Q13" s="2"/>
      <c r="R13" s="2"/>
      <c r="AF13" s="12"/>
      <c r="AG13" s="12"/>
      <c r="AK13" s="12"/>
      <c r="AL13" s="12"/>
      <c r="AM13" s="12"/>
    </row>
    <row r="14" spans="2:41" x14ac:dyDescent="0.3">
      <c r="B14" s="5"/>
      <c r="C14" s="6"/>
      <c r="D14" s="6"/>
      <c r="E14" s="6"/>
      <c r="F14" s="6"/>
      <c r="G14" s="6"/>
      <c r="H14" s="6"/>
      <c r="I14" s="3"/>
      <c r="J14" s="12"/>
      <c r="M14" s="3"/>
      <c r="O14" s="2"/>
      <c r="P14" s="2"/>
      <c r="Q14" s="2"/>
      <c r="R14" s="2"/>
      <c r="AF14" s="12"/>
      <c r="AG14" s="12"/>
      <c r="AK14" s="12"/>
      <c r="AL14" s="12"/>
      <c r="AM14" s="12"/>
    </row>
    <row r="15" spans="2:41" x14ac:dyDescent="0.3">
      <c r="B15" s="5"/>
      <c r="C15" s="6"/>
      <c r="D15" s="6"/>
      <c r="E15" s="6"/>
      <c r="F15" s="6"/>
      <c r="G15" s="6"/>
      <c r="H15" s="6"/>
      <c r="I15" s="3"/>
      <c r="J15" s="12"/>
      <c r="M15" s="3"/>
      <c r="N15" s="2"/>
      <c r="O15" s="2"/>
      <c r="P15" s="2"/>
      <c r="Q15" s="2"/>
      <c r="R15" s="2"/>
      <c r="AF15" s="12"/>
      <c r="AG15" s="12"/>
      <c r="AK15" s="12"/>
      <c r="AL15" s="12"/>
      <c r="AM15" s="12"/>
    </row>
    <row r="16" spans="2:41" x14ac:dyDescent="0.3">
      <c r="C16" s="6"/>
      <c r="D16" s="6"/>
      <c r="E16" s="6"/>
      <c r="F16" s="6"/>
      <c r="G16" s="6"/>
      <c r="H16" s="6"/>
      <c r="J16" s="12"/>
      <c r="AF16" s="12"/>
      <c r="AG16" s="12"/>
      <c r="AK16" s="12"/>
      <c r="AL16" s="12"/>
      <c r="AM16" s="12"/>
    </row>
    <row r="17" spans="3:39" x14ac:dyDescent="0.3">
      <c r="C17" s="6"/>
      <c r="D17" s="6"/>
      <c r="E17" s="6"/>
      <c r="F17" s="6"/>
      <c r="G17" s="6"/>
      <c r="H17" s="6"/>
      <c r="J17" s="12"/>
      <c r="AF17" s="12"/>
      <c r="AG17" s="12"/>
      <c r="AK17" s="12"/>
      <c r="AL17" s="12"/>
      <c r="AM17" s="12"/>
    </row>
    <row r="18" spans="3:39" x14ac:dyDescent="0.3">
      <c r="C18" s="6"/>
      <c r="D18" s="6"/>
      <c r="E18" s="6"/>
      <c r="F18" s="6"/>
      <c r="G18" s="6"/>
      <c r="H18" s="6"/>
      <c r="J18" s="12"/>
      <c r="AF18" s="12"/>
      <c r="AG18" s="12"/>
      <c r="AK18" s="12"/>
      <c r="AL18" s="12"/>
      <c r="AM18" s="12"/>
    </row>
    <row r="19" spans="3:39" x14ac:dyDescent="0.3">
      <c r="C19" s="6"/>
      <c r="D19" s="6"/>
      <c r="E19" s="6"/>
      <c r="F19" s="6"/>
      <c r="G19" s="6"/>
      <c r="H19" s="6"/>
      <c r="J19" s="12"/>
      <c r="AF19" s="12"/>
      <c r="AG19" s="12"/>
      <c r="AK19" s="12"/>
      <c r="AL19" s="12"/>
      <c r="AM19" s="12"/>
    </row>
    <row r="20" spans="3:39" x14ac:dyDescent="0.3">
      <c r="C20" s="6"/>
      <c r="D20" s="6"/>
      <c r="E20" s="6"/>
      <c r="F20" s="6"/>
      <c r="G20" s="6"/>
      <c r="H20" s="6"/>
      <c r="J20" s="12"/>
      <c r="AF20" s="12"/>
      <c r="AG20" s="12"/>
      <c r="AK20" s="12"/>
      <c r="AL20" s="12"/>
      <c r="AM20" s="12"/>
    </row>
    <row r="21" spans="3:39" x14ac:dyDescent="0.3">
      <c r="C21" s="6"/>
      <c r="D21" s="6"/>
      <c r="E21" s="6"/>
      <c r="F21" s="6"/>
      <c r="G21" s="6"/>
      <c r="H21" s="6"/>
      <c r="J21" s="12"/>
      <c r="AF21" s="12"/>
      <c r="AG21" s="12"/>
      <c r="AK21" s="12"/>
      <c r="AL21" s="12"/>
      <c r="AM21" s="12"/>
    </row>
    <row r="22" spans="3:39" x14ac:dyDescent="0.3">
      <c r="C22" s="6"/>
      <c r="D22" s="6"/>
      <c r="E22" s="6"/>
      <c r="F22" s="6"/>
      <c r="G22" s="6"/>
      <c r="H22" s="6"/>
      <c r="J22" s="12"/>
      <c r="AF22" s="12"/>
      <c r="AG22" s="12"/>
      <c r="AK22" s="12"/>
      <c r="AL22" s="12"/>
      <c r="AM22" s="12"/>
    </row>
    <row r="23" spans="3:39" x14ac:dyDescent="0.3">
      <c r="C23" s="6"/>
      <c r="D23" s="6"/>
      <c r="E23" s="6"/>
      <c r="F23" s="6"/>
      <c r="G23" s="6"/>
      <c r="H23" s="6"/>
      <c r="J23" s="12"/>
      <c r="AF23" s="12"/>
      <c r="AG23" s="12"/>
      <c r="AK23" s="12"/>
      <c r="AL23" s="12"/>
      <c r="AM23" s="12"/>
    </row>
    <row r="24" spans="3:39" x14ac:dyDescent="0.3">
      <c r="C24" s="6"/>
      <c r="D24" s="6"/>
      <c r="E24" s="6"/>
      <c r="F24" s="6"/>
      <c r="G24" s="6"/>
      <c r="H24" s="6"/>
      <c r="J24" s="12"/>
      <c r="AF24" s="12"/>
      <c r="AG24" s="12"/>
      <c r="AK24" s="12"/>
      <c r="AL24" s="12"/>
      <c r="AM24" s="12"/>
    </row>
    <row r="25" spans="3:39" x14ac:dyDescent="0.3">
      <c r="C25" s="6"/>
      <c r="D25" s="6"/>
      <c r="E25" s="6"/>
      <c r="F25" s="6"/>
      <c r="G25" s="6"/>
      <c r="H25" s="6"/>
      <c r="J25" s="12"/>
      <c r="AF25" s="12"/>
      <c r="AG25" s="12"/>
      <c r="AK25" s="12"/>
      <c r="AL25" s="12"/>
      <c r="AM25" s="12"/>
    </row>
    <row r="26" spans="3:39" x14ac:dyDescent="0.3">
      <c r="C26" s="6"/>
      <c r="D26" s="6"/>
      <c r="E26" s="6"/>
      <c r="F26" s="6"/>
      <c r="G26" s="6"/>
      <c r="H26" s="6"/>
      <c r="J26" s="12"/>
      <c r="AF26" s="12"/>
      <c r="AG26" s="12"/>
      <c r="AK26" s="12"/>
      <c r="AL26" s="12"/>
      <c r="AM26" s="12"/>
    </row>
    <row r="27" spans="3:39" x14ac:dyDescent="0.3">
      <c r="C27" s="6"/>
      <c r="D27" s="6"/>
      <c r="E27" s="6"/>
      <c r="F27" s="6"/>
      <c r="G27" s="6"/>
      <c r="H27" s="6"/>
      <c r="J27" s="12"/>
      <c r="AF27" s="12"/>
      <c r="AG27" s="12"/>
      <c r="AK27" s="12"/>
      <c r="AL27" s="12"/>
      <c r="AM27" s="12"/>
    </row>
    <row r="28" spans="3:39" x14ac:dyDescent="0.3">
      <c r="C28" s="6"/>
      <c r="D28" s="6"/>
      <c r="E28" s="6"/>
      <c r="F28" s="6"/>
      <c r="G28" s="6"/>
      <c r="H28" s="6"/>
      <c r="J28" s="12"/>
      <c r="AF28" s="12"/>
      <c r="AG28" s="12"/>
      <c r="AK28" s="12"/>
      <c r="AL28" s="12"/>
      <c r="AM28" s="12"/>
    </row>
    <row r="29" spans="3:39" x14ac:dyDescent="0.3">
      <c r="C29" s="6"/>
      <c r="D29" s="6"/>
      <c r="E29" s="6"/>
      <c r="F29" s="6"/>
      <c r="G29" s="6"/>
      <c r="H29" s="6"/>
      <c r="J29" s="12"/>
      <c r="AF29" s="12"/>
      <c r="AG29" s="12"/>
      <c r="AK29" s="12"/>
      <c r="AL29" s="12"/>
      <c r="AM29" s="12"/>
    </row>
    <row r="30" spans="3:39" x14ac:dyDescent="0.3">
      <c r="C30" s="6"/>
      <c r="D30" s="6"/>
      <c r="E30" s="6"/>
      <c r="F30" s="6"/>
      <c r="G30" s="6"/>
      <c r="H30" s="6"/>
      <c r="J30" s="12"/>
      <c r="AF30" s="12"/>
      <c r="AG30" s="12"/>
      <c r="AK30" s="12"/>
      <c r="AL30" s="12"/>
      <c r="AM30" s="12"/>
    </row>
    <row r="31" spans="3:39" x14ac:dyDescent="0.3">
      <c r="C31" s="6"/>
      <c r="D31" s="6"/>
      <c r="E31" s="6"/>
      <c r="F31" s="6"/>
      <c r="G31" s="6"/>
      <c r="H31" s="6"/>
      <c r="J31" s="12"/>
    </row>
    <row r="32" spans="3:39" x14ac:dyDescent="0.3">
      <c r="C32" s="6"/>
      <c r="D32" s="6"/>
      <c r="E32" s="6"/>
      <c r="F32" s="6"/>
      <c r="G32" s="6"/>
      <c r="H32" s="6"/>
      <c r="J32" s="12"/>
    </row>
    <row r="33" spans="3:10" x14ac:dyDescent="0.3">
      <c r="C33" s="6"/>
      <c r="D33" s="6"/>
      <c r="E33" s="6"/>
      <c r="F33" s="6"/>
      <c r="G33" s="6"/>
      <c r="H33" s="6"/>
      <c r="J33" s="12"/>
    </row>
    <row r="34" spans="3:10" x14ac:dyDescent="0.3">
      <c r="C34" s="6"/>
      <c r="D34" s="6"/>
      <c r="E34" s="6"/>
      <c r="F34" s="6"/>
      <c r="G34" s="6"/>
      <c r="H34" s="6"/>
      <c r="J34" s="12"/>
    </row>
    <row r="35" spans="3:10" x14ac:dyDescent="0.3">
      <c r="C35" s="6"/>
      <c r="D35" s="6"/>
      <c r="E35" s="6"/>
      <c r="F35" s="6"/>
      <c r="G35" s="6"/>
      <c r="H35" s="6"/>
      <c r="J35" s="12"/>
    </row>
    <row r="36" spans="3:10" x14ac:dyDescent="0.3">
      <c r="C36" s="6"/>
      <c r="D36" s="6"/>
      <c r="E36" s="6"/>
      <c r="F36" s="6"/>
      <c r="G36" s="6"/>
      <c r="H36" s="6"/>
      <c r="J36" s="12"/>
    </row>
    <row r="37" spans="3:10" x14ac:dyDescent="0.3">
      <c r="C37" s="6"/>
      <c r="D37" s="6"/>
      <c r="E37" s="6"/>
      <c r="F37" s="6"/>
      <c r="G37" s="6"/>
      <c r="H37" s="6"/>
      <c r="J37" s="12"/>
    </row>
    <row r="38" spans="3:10" x14ac:dyDescent="0.3">
      <c r="C38" s="6"/>
      <c r="D38" s="6"/>
      <c r="E38" s="6"/>
      <c r="F38" s="6"/>
      <c r="G38" s="6"/>
      <c r="H38" s="6"/>
      <c r="J38" s="12"/>
    </row>
    <row r="39" spans="3:10" x14ac:dyDescent="0.3">
      <c r="C39" s="6"/>
      <c r="D39" s="6"/>
      <c r="E39" s="6"/>
      <c r="F39" s="6"/>
      <c r="G39" s="6"/>
      <c r="H39" s="6"/>
      <c r="J39" s="12"/>
    </row>
    <row r="40" spans="3:10" x14ac:dyDescent="0.3">
      <c r="C40" s="6"/>
      <c r="D40" s="6"/>
      <c r="E40" s="6"/>
      <c r="F40" s="6"/>
      <c r="G40" s="6"/>
      <c r="H40" s="6"/>
      <c r="J40" s="12"/>
    </row>
    <row r="41" spans="3:10" x14ac:dyDescent="0.3">
      <c r="C41" s="6"/>
      <c r="D41" s="6"/>
      <c r="E41" s="6"/>
      <c r="F41" s="6"/>
      <c r="G41" s="6"/>
      <c r="H41" s="6"/>
      <c r="J41" s="12"/>
    </row>
    <row r="42" spans="3:10" x14ac:dyDescent="0.3">
      <c r="C42" s="6"/>
      <c r="D42" s="6"/>
      <c r="E42" s="6"/>
      <c r="F42" s="6"/>
      <c r="G42" s="6"/>
      <c r="H42" s="6"/>
      <c r="J42" s="12"/>
    </row>
    <row r="43" spans="3:10" x14ac:dyDescent="0.3">
      <c r="C43" s="6"/>
      <c r="D43" s="6"/>
      <c r="E43" s="6"/>
      <c r="F43" s="6"/>
      <c r="G43" s="6"/>
      <c r="H43" s="6"/>
      <c r="J43" s="12"/>
    </row>
    <row r="44" spans="3:10" x14ac:dyDescent="0.3">
      <c r="C44" s="6"/>
      <c r="D44" s="6"/>
      <c r="E44" s="6"/>
      <c r="F44" s="6"/>
      <c r="G44" s="6"/>
      <c r="H44" s="6"/>
      <c r="J44" s="12"/>
    </row>
    <row r="45" spans="3:10" x14ac:dyDescent="0.3">
      <c r="C45" s="6"/>
      <c r="D45" s="6"/>
      <c r="E45" s="6"/>
      <c r="F45" s="6"/>
      <c r="G45" s="6"/>
      <c r="H45" s="6"/>
      <c r="J45" s="12"/>
    </row>
    <row r="46" spans="3:10" x14ac:dyDescent="0.3">
      <c r="C46" s="6"/>
      <c r="D46" s="6"/>
      <c r="E46" s="6"/>
      <c r="F46" s="6"/>
      <c r="G46" s="6"/>
      <c r="H46" s="6"/>
      <c r="J46" s="12"/>
    </row>
    <row r="47" spans="3:10" x14ac:dyDescent="0.3">
      <c r="C47" s="6"/>
      <c r="D47" s="6"/>
      <c r="E47" s="6"/>
      <c r="F47" s="6"/>
      <c r="G47" s="6"/>
      <c r="H47" s="6"/>
      <c r="J47" s="12"/>
    </row>
    <row r="48" spans="3:10" x14ac:dyDescent="0.3">
      <c r="C48" s="6"/>
      <c r="D48" s="6"/>
      <c r="E48" s="6"/>
      <c r="F48" s="6"/>
      <c r="G48" s="6"/>
      <c r="H48" s="6"/>
      <c r="J48" s="12"/>
    </row>
    <row r="49" spans="3:10" x14ac:dyDescent="0.3">
      <c r="C49" s="6"/>
      <c r="D49" s="6"/>
      <c r="E49" s="6"/>
      <c r="F49" s="6"/>
      <c r="G49" s="6"/>
      <c r="H49" s="6"/>
      <c r="J49" s="12"/>
    </row>
    <row r="50" spans="3:10" x14ac:dyDescent="0.3">
      <c r="C50" s="6"/>
      <c r="D50" s="6"/>
      <c r="E50" s="6"/>
      <c r="F50" s="6"/>
      <c r="G50" s="6"/>
      <c r="H50" s="6"/>
      <c r="J50" s="12"/>
    </row>
    <row r="51" spans="3:10" x14ac:dyDescent="0.3">
      <c r="C51" s="6"/>
      <c r="D51" s="6"/>
      <c r="E51" s="6"/>
      <c r="F51" s="6"/>
      <c r="G51" s="6"/>
      <c r="H51" s="6"/>
      <c r="J51" s="12"/>
    </row>
    <row r="52" spans="3:10" x14ac:dyDescent="0.3">
      <c r="C52" s="6"/>
      <c r="D52" s="6"/>
      <c r="E52" s="6"/>
      <c r="F52" s="6"/>
      <c r="G52" s="6"/>
      <c r="H52" s="6"/>
      <c r="J52" s="12"/>
    </row>
    <row r="53" spans="3:10" x14ac:dyDescent="0.3">
      <c r="C53" s="6"/>
      <c r="D53" s="6"/>
      <c r="E53" s="6"/>
      <c r="F53" s="6"/>
      <c r="G53" s="6"/>
      <c r="H53" s="6"/>
      <c r="J53" s="12"/>
    </row>
    <row r="54" spans="3:10" x14ac:dyDescent="0.3">
      <c r="C54" s="6"/>
      <c r="D54" s="6"/>
      <c r="E54" s="6"/>
      <c r="F54" s="6"/>
      <c r="G54" s="6"/>
      <c r="H54" s="6"/>
      <c r="J54" s="12"/>
    </row>
    <row r="55" spans="3:10" x14ac:dyDescent="0.3">
      <c r="C55" s="6"/>
      <c r="D55" s="6"/>
      <c r="E55" s="6"/>
      <c r="F55" s="6"/>
      <c r="G55" s="6"/>
      <c r="H55" s="6"/>
      <c r="J55" s="12"/>
    </row>
    <row r="56" spans="3:10" x14ac:dyDescent="0.3">
      <c r="C56" s="6"/>
      <c r="D56" s="6"/>
      <c r="E56" s="6"/>
      <c r="F56" s="6"/>
      <c r="G56" s="6"/>
      <c r="H56" s="6"/>
      <c r="J56" s="12"/>
    </row>
    <row r="57" spans="3:10" x14ac:dyDescent="0.3">
      <c r="C57" s="6"/>
      <c r="D57" s="6"/>
      <c r="E57" s="6"/>
      <c r="F57" s="6"/>
      <c r="G57" s="6"/>
      <c r="H57" s="6"/>
      <c r="J57" s="12"/>
    </row>
    <row r="58" spans="3:10" x14ac:dyDescent="0.3">
      <c r="C58" s="6"/>
      <c r="D58" s="6"/>
      <c r="E58" s="6"/>
      <c r="F58" s="6"/>
      <c r="G58" s="6"/>
      <c r="H58" s="6"/>
      <c r="J58" s="12"/>
    </row>
    <row r="59" spans="3:10" x14ac:dyDescent="0.3">
      <c r="C59" s="6"/>
      <c r="D59" s="6"/>
      <c r="E59" s="6"/>
      <c r="F59" s="6"/>
      <c r="G59" s="6"/>
      <c r="H59" s="6"/>
      <c r="J59" s="12"/>
    </row>
    <row r="60" spans="3:10" x14ac:dyDescent="0.3">
      <c r="C60" s="6"/>
      <c r="D60" s="6"/>
      <c r="E60" s="6"/>
      <c r="F60" s="6"/>
      <c r="G60" s="6"/>
      <c r="H60" s="6"/>
      <c r="J60" s="12"/>
    </row>
    <row r="61" spans="3:10" x14ac:dyDescent="0.3">
      <c r="C61" s="6"/>
      <c r="D61" s="6"/>
      <c r="E61" s="6"/>
      <c r="F61" s="6"/>
      <c r="G61" s="6"/>
      <c r="H61" s="6"/>
      <c r="J61" s="12"/>
    </row>
    <row r="62" spans="3:10" x14ac:dyDescent="0.3">
      <c r="C62" s="6"/>
      <c r="D62" s="6"/>
      <c r="E62" s="6"/>
      <c r="F62" s="6"/>
      <c r="G62" s="6"/>
      <c r="H62" s="6"/>
      <c r="J62" s="12"/>
    </row>
    <row r="63" spans="3:10" x14ac:dyDescent="0.3">
      <c r="C63" s="6"/>
      <c r="D63" s="6"/>
      <c r="E63" s="6"/>
      <c r="F63" s="6"/>
      <c r="G63" s="6"/>
      <c r="H63" s="6"/>
      <c r="J63" s="12"/>
    </row>
    <row r="64" spans="3:10" x14ac:dyDescent="0.3">
      <c r="C64" s="6"/>
      <c r="D64" s="6"/>
      <c r="E64" s="6"/>
      <c r="F64" s="6"/>
      <c r="G64" s="6"/>
      <c r="H64" s="6"/>
      <c r="J64" s="12"/>
    </row>
    <row r="65" spans="3:10" x14ac:dyDescent="0.3">
      <c r="C65" s="6"/>
      <c r="D65" s="6"/>
      <c r="E65" s="6"/>
      <c r="F65" s="6"/>
      <c r="G65" s="6"/>
      <c r="H65" s="6"/>
      <c r="J65" s="12"/>
    </row>
    <row r="66" spans="3:10" x14ac:dyDescent="0.3">
      <c r="C66" s="6"/>
      <c r="D66" s="6"/>
      <c r="E66" s="6"/>
      <c r="F66" s="6"/>
      <c r="G66" s="6"/>
      <c r="H66" s="6"/>
      <c r="J66" s="12"/>
    </row>
    <row r="67" spans="3:10" x14ac:dyDescent="0.3">
      <c r="C67" s="6"/>
      <c r="D67" s="6"/>
      <c r="E67" s="6"/>
      <c r="F67" s="6"/>
      <c r="G67" s="6"/>
      <c r="H67" s="6"/>
      <c r="J67" s="12"/>
    </row>
    <row r="68" spans="3:10" x14ac:dyDescent="0.3">
      <c r="C68" s="6"/>
      <c r="D68" s="6"/>
      <c r="E68" s="6"/>
      <c r="F68" s="6"/>
      <c r="G68" s="6"/>
      <c r="H68" s="6"/>
      <c r="J68" s="12"/>
    </row>
    <row r="69" spans="3:10" x14ac:dyDescent="0.3">
      <c r="C69" s="6"/>
      <c r="D69" s="6"/>
      <c r="E69" s="6"/>
      <c r="F69" s="6"/>
      <c r="G69" s="6"/>
      <c r="H69" s="6"/>
      <c r="J69" s="12"/>
    </row>
    <row r="70" spans="3:10" x14ac:dyDescent="0.3">
      <c r="C70" s="6"/>
      <c r="D70" s="6"/>
      <c r="E70" s="6"/>
      <c r="F70" s="6"/>
      <c r="G70" s="6"/>
      <c r="H70" s="6"/>
      <c r="J70" s="12"/>
    </row>
    <row r="71" spans="3:10" x14ac:dyDescent="0.3">
      <c r="C71" s="6"/>
      <c r="D71" s="6"/>
      <c r="E71" s="6"/>
      <c r="F71" s="6"/>
      <c r="G71" s="6"/>
      <c r="H71" s="6"/>
      <c r="J71" s="12"/>
    </row>
    <row r="72" spans="3:10" x14ac:dyDescent="0.3">
      <c r="C72" s="6"/>
      <c r="D72" s="6"/>
      <c r="E72" s="6"/>
      <c r="F72" s="6"/>
      <c r="G72" s="6"/>
      <c r="H72" s="6"/>
      <c r="J72" s="12"/>
    </row>
    <row r="73" spans="3:10" x14ac:dyDescent="0.3">
      <c r="C73" s="6"/>
      <c r="D73" s="6"/>
      <c r="E73" s="6"/>
      <c r="F73" s="6"/>
      <c r="G73" s="6"/>
      <c r="H73" s="6"/>
      <c r="J73" s="12"/>
    </row>
    <row r="74" spans="3:10" x14ac:dyDescent="0.3">
      <c r="C74" s="6"/>
      <c r="D74" s="6"/>
      <c r="E74" s="6"/>
      <c r="F74" s="6"/>
      <c r="G74" s="6"/>
      <c r="H74" s="6"/>
      <c r="J74" s="12"/>
    </row>
    <row r="75" spans="3:10" x14ac:dyDescent="0.3">
      <c r="C75" s="6"/>
      <c r="D75" s="6"/>
      <c r="E75" s="6"/>
      <c r="F75" s="6"/>
      <c r="G75" s="6"/>
      <c r="H75" s="6"/>
      <c r="J75" s="12"/>
    </row>
    <row r="76" spans="3:10" x14ac:dyDescent="0.3">
      <c r="C76" s="6"/>
      <c r="D76" s="6"/>
      <c r="E76" s="6"/>
      <c r="F76" s="6"/>
      <c r="G76" s="6"/>
      <c r="H76" s="6"/>
      <c r="J76" s="12"/>
    </row>
    <row r="77" spans="3:10" x14ac:dyDescent="0.3">
      <c r="C77" s="6"/>
      <c r="D77" s="6"/>
      <c r="E77" s="6"/>
      <c r="F77" s="6"/>
      <c r="G77" s="6"/>
      <c r="H77" s="6"/>
      <c r="J77" s="12"/>
    </row>
    <row r="78" spans="3:10" x14ac:dyDescent="0.3">
      <c r="C78" s="6"/>
      <c r="D78" s="6"/>
      <c r="E78" s="6"/>
      <c r="F78" s="6"/>
      <c r="G78" s="6"/>
      <c r="H78" s="6"/>
      <c r="J78" s="12"/>
    </row>
    <row r="79" spans="3:10" x14ac:dyDescent="0.3">
      <c r="C79" s="6"/>
      <c r="D79" s="6"/>
      <c r="E79" s="6"/>
      <c r="F79" s="6"/>
      <c r="G79" s="6"/>
      <c r="H79" s="6"/>
      <c r="J79" s="12"/>
    </row>
    <row r="80" spans="3:10" x14ac:dyDescent="0.3">
      <c r="C80" s="6"/>
      <c r="D80" s="6"/>
      <c r="E80" s="6"/>
      <c r="F80" s="6"/>
      <c r="G80" s="6"/>
      <c r="H80" s="6"/>
      <c r="J80" s="12"/>
    </row>
    <row r="81" spans="3:10" x14ac:dyDescent="0.3">
      <c r="C81" s="6"/>
      <c r="D81" s="6"/>
      <c r="E81" s="6"/>
      <c r="F81" s="6"/>
      <c r="G81" s="6"/>
      <c r="H81" s="6"/>
      <c r="J81" s="12"/>
    </row>
    <row r="82" spans="3:10" x14ac:dyDescent="0.3">
      <c r="C82" s="6"/>
      <c r="D82" s="6"/>
      <c r="E82" s="6"/>
      <c r="F82" s="6"/>
      <c r="G82" s="6"/>
      <c r="H82" s="6"/>
      <c r="J82" s="12"/>
    </row>
    <row r="83" spans="3:10" x14ac:dyDescent="0.3">
      <c r="C83" s="6"/>
      <c r="D83" s="6"/>
      <c r="E83" s="6"/>
      <c r="F83" s="6"/>
      <c r="G83" s="6"/>
      <c r="H83" s="6"/>
      <c r="J83" s="12"/>
    </row>
    <row r="84" spans="3:10" x14ac:dyDescent="0.3">
      <c r="C84" s="6"/>
      <c r="D84" s="6"/>
      <c r="E84" s="6"/>
      <c r="F84" s="6"/>
      <c r="G84" s="6"/>
      <c r="H84" s="6"/>
      <c r="J84" s="12"/>
    </row>
    <row r="85" spans="3:10" x14ac:dyDescent="0.3">
      <c r="C85" s="6"/>
      <c r="D85" s="6"/>
      <c r="E85" s="6"/>
      <c r="F85" s="6"/>
      <c r="G85" s="6"/>
      <c r="H85" s="6"/>
      <c r="J85" s="12"/>
    </row>
    <row r="86" spans="3:10" x14ac:dyDescent="0.3">
      <c r="C86" s="6"/>
      <c r="D86" s="6"/>
      <c r="E86" s="6"/>
      <c r="F86" s="6"/>
      <c r="G86" s="6"/>
      <c r="H86" s="6"/>
      <c r="J86" s="12"/>
    </row>
    <row r="87" spans="3:10" x14ac:dyDescent="0.3">
      <c r="C87" s="6"/>
      <c r="D87" s="6"/>
      <c r="E87" s="6"/>
      <c r="F87" s="6"/>
      <c r="G87" s="6"/>
      <c r="H87" s="6"/>
      <c r="J87" s="12"/>
    </row>
    <row r="88" spans="3:10" x14ac:dyDescent="0.3">
      <c r="C88" s="6"/>
      <c r="D88" s="6"/>
      <c r="E88" s="6"/>
      <c r="F88" s="6"/>
      <c r="G88" s="6"/>
      <c r="H88" s="6"/>
      <c r="J88" s="12"/>
    </row>
    <row r="89" spans="3:10" x14ac:dyDescent="0.3">
      <c r="C89" s="6"/>
      <c r="D89" s="6"/>
      <c r="E89" s="6"/>
      <c r="F89" s="6"/>
      <c r="G89" s="6"/>
      <c r="H89" s="6"/>
      <c r="J89" s="12"/>
    </row>
    <row r="90" spans="3:10" x14ac:dyDescent="0.3">
      <c r="C90" s="6"/>
      <c r="D90" s="6"/>
      <c r="E90" s="6"/>
      <c r="F90" s="6"/>
      <c r="G90" s="6"/>
      <c r="H90" s="6"/>
      <c r="J90" s="12"/>
    </row>
    <row r="91" spans="3:10" x14ac:dyDescent="0.3">
      <c r="C91" s="6"/>
      <c r="D91" s="6"/>
      <c r="E91" s="6"/>
      <c r="F91" s="6"/>
      <c r="G91" s="6"/>
      <c r="H91" s="6"/>
      <c r="J91" s="12"/>
    </row>
    <row r="92" spans="3:10" x14ac:dyDescent="0.3">
      <c r="C92" s="6"/>
      <c r="D92" s="6"/>
      <c r="E92" s="6"/>
      <c r="F92" s="6"/>
      <c r="G92" s="6"/>
      <c r="H92" s="6"/>
      <c r="J92" s="12"/>
    </row>
    <row r="93" spans="3:10" x14ac:dyDescent="0.3">
      <c r="C93" s="6"/>
      <c r="D93" s="6"/>
      <c r="E93" s="6"/>
      <c r="F93" s="6"/>
      <c r="G93" s="6"/>
      <c r="H93" s="6"/>
      <c r="J93" s="12"/>
    </row>
    <row r="94" spans="3:10" x14ac:dyDescent="0.3">
      <c r="C94" s="6"/>
      <c r="D94" s="6"/>
      <c r="E94" s="6"/>
      <c r="F94" s="6"/>
      <c r="G94" s="6"/>
      <c r="H94" s="6"/>
      <c r="J94" s="12"/>
    </row>
    <row r="95" spans="3:10" x14ac:dyDescent="0.3">
      <c r="C95" s="6"/>
      <c r="D95" s="6"/>
      <c r="E95" s="6"/>
      <c r="F95" s="6"/>
      <c r="G95" s="6"/>
      <c r="H95" s="6"/>
      <c r="J95" s="12"/>
    </row>
    <row r="96" spans="3:10" x14ac:dyDescent="0.3">
      <c r="C96" s="6"/>
      <c r="D96" s="6"/>
      <c r="E96" s="6"/>
      <c r="F96" s="6"/>
      <c r="G96" s="6"/>
      <c r="H96" s="6"/>
      <c r="J96" s="12"/>
    </row>
    <row r="97" spans="3:10" x14ac:dyDescent="0.3">
      <c r="C97" s="6"/>
      <c r="D97" s="6"/>
      <c r="E97" s="6"/>
      <c r="F97" s="6"/>
      <c r="G97" s="6"/>
      <c r="H97" s="6"/>
      <c r="J97" s="12"/>
    </row>
    <row r="98" spans="3:10" x14ac:dyDescent="0.3">
      <c r="C98" s="6"/>
      <c r="D98" s="6"/>
      <c r="E98" s="6"/>
      <c r="F98" s="6"/>
      <c r="G98" s="6"/>
      <c r="H98" s="6"/>
      <c r="J98" s="12"/>
    </row>
    <row r="99" spans="3:10" x14ac:dyDescent="0.3">
      <c r="C99" s="6"/>
      <c r="D99" s="6"/>
      <c r="E99" s="6"/>
      <c r="F99" s="6"/>
      <c r="G99" s="6"/>
      <c r="H99" s="6"/>
      <c r="J99" s="12"/>
    </row>
    <row r="100" spans="3:10" x14ac:dyDescent="0.3">
      <c r="C100" s="6"/>
      <c r="D100" s="6"/>
      <c r="E100" s="6"/>
      <c r="F100" s="6"/>
      <c r="G100" s="6"/>
      <c r="H100" s="6"/>
      <c r="J100" s="12"/>
    </row>
  </sheetData>
  <mergeCells count="5">
    <mergeCell ref="AJ2:AO2"/>
    <mergeCell ref="M2:S2"/>
    <mergeCell ref="V2:AB2"/>
    <mergeCell ref="B2:J2"/>
    <mergeCell ref="AE2:AH2"/>
  </mergeCells>
  <dataValidations count="4">
    <dataValidation type="list" allowBlank="1" showInputMessage="1" showErrorMessage="1" sqref="M21" xr:uid="{FF22E486-131A-44D1-98E3-A1196FFA3C4A}">
      <formula1>"DeathGuard,Space Marines,Drukhari, Daemons, T'Au, Imperial Guard, Sisters of Battle, Thousand Sons"</formula1>
    </dataValidation>
    <dataValidation type="list" allowBlank="1" showInputMessage="1" showErrorMessage="1" sqref="J4:J100" xr:uid="{2E23F0CE-DB26-4ABD-A597-ED64215E23CF}">
      <formula1>"Ranged,Melee"</formula1>
    </dataValidation>
    <dataValidation type="list" allowBlank="1" showInputMessage="1" showErrorMessage="1" sqref="AF4:AF30 AL4:AL30" xr:uid="{DD5FD0B4-A3B0-4755-895C-D739C5EEC7AF}">
      <formula1>"Attacker,Target"</formula1>
    </dataValidation>
    <dataValidation type="list" allowBlank="1" showInputMessage="1" showErrorMessage="1" sqref="AG4:AG30 AM4:AM30" xr:uid="{E0A6444B-36BD-467A-AD67-C49A13F77683}">
      <formula1>"Shooting,Fighting,Both"</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FB97C-93D2-4B56-9B0A-A62157D23BFC}">
  <sheetPr codeName="Sheet10">
    <tabColor theme="1"/>
  </sheetPr>
  <dimension ref="B2:AO100"/>
  <sheetViews>
    <sheetView workbookViewId="0">
      <selection activeCell="I3" sqref="I3"/>
    </sheetView>
  </sheetViews>
  <sheetFormatPr defaultRowHeight="14.4" x14ac:dyDescent="0.3"/>
  <cols>
    <col min="2" max="2" width="21.6640625" bestFit="1" customWidth="1"/>
    <col min="3" max="7" width="7.44140625" customWidth="1"/>
    <col min="8" max="8" width="13" customWidth="1"/>
    <col min="9" max="9" width="26" bestFit="1" customWidth="1"/>
    <col min="10" max="10" width="4.6640625" customWidth="1"/>
    <col min="11" max="12" width="1.88671875" customWidth="1"/>
    <col min="13" max="13" width="26.33203125" bestFit="1" customWidth="1"/>
    <col min="14" max="14" width="4.44140625" bestFit="1" customWidth="1"/>
    <col min="15" max="15" width="5.44140625" bestFit="1" customWidth="1"/>
    <col min="16" max="16" width="4.33203125" bestFit="1" customWidth="1"/>
    <col min="17" max="17" width="5.5546875" bestFit="1" customWidth="1"/>
    <col min="18" max="18" width="4.5546875" bestFit="1" customWidth="1"/>
    <col min="19" max="19" width="20.44140625" bestFit="1" customWidth="1"/>
    <col min="20" max="21" width="1.88671875" customWidth="1"/>
    <col min="22" max="22" width="11.88671875" bestFit="1" customWidth="1"/>
    <col min="31" max="31" width="27.77734375" customWidth="1"/>
    <col min="32" max="33" width="12" customWidth="1"/>
    <col min="34" max="34" width="37" customWidth="1"/>
    <col min="36" max="36" width="27.77734375" customWidth="1"/>
    <col min="37" max="37" width="6.44140625" customWidth="1"/>
    <col min="38" max="39" width="13" customWidth="1"/>
    <col min="40" max="40" width="31.44140625" customWidth="1"/>
    <col min="41" max="41" width="40.77734375" customWidth="1"/>
  </cols>
  <sheetData>
    <row r="2" spans="2:41" x14ac:dyDescent="0.3">
      <c r="B2" s="8" t="s">
        <v>14</v>
      </c>
      <c r="C2" s="8"/>
      <c r="D2" s="8"/>
      <c r="E2" s="8"/>
      <c r="F2" s="8"/>
      <c r="G2" s="8"/>
      <c r="H2" s="8"/>
      <c r="I2" s="8"/>
      <c r="J2" s="8"/>
      <c r="M2" s="8" t="s">
        <v>33</v>
      </c>
      <c r="N2" s="8"/>
      <c r="O2" s="8"/>
      <c r="P2" s="8"/>
      <c r="Q2" s="8"/>
      <c r="R2" s="8"/>
      <c r="S2" s="8"/>
      <c r="V2" s="8" t="s">
        <v>34</v>
      </c>
      <c r="W2" s="8"/>
      <c r="X2" s="8"/>
      <c r="Y2" s="8"/>
      <c r="Z2" s="8"/>
      <c r="AA2" s="8"/>
      <c r="AB2" s="8"/>
      <c r="AE2" s="65" t="s">
        <v>222</v>
      </c>
      <c r="AF2" s="65"/>
      <c r="AG2" s="65"/>
      <c r="AH2" s="65"/>
      <c r="AJ2" s="67" t="s">
        <v>298</v>
      </c>
      <c r="AK2" s="68"/>
      <c r="AL2" s="68"/>
      <c r="AM2" s="68"/>
      <c r="AN2" s="68"/>
      <c r="AO2" s="68"/>
    </row>
    <row r="3" spans="2:41" x14ac:dyDescent="0.3">
      <c r="B3" t="s">
        <v>21</v>
      </c>
      <c r="C3" t="s">
        <v>15</v>
      </c>
      <c r="D3" t="s">
        <v>16</v>
      </c>
      <c r="E3" t="s">
        <v>449</v>
      </c>
      <c r="F3" t="s">
        <v>450</v>
      </c>
      <c r="G3" t="s">
        <v>19</v>
      </c>
      <c r="H3" t="s">
        <v>17</v>
      </c>
      <c r="I3" t="s">
        <v>2</v>
      </c>
      <c r="J3" s="2" t="s">
        <v>38</v>
      </c>
      <c r="K3" s="2"/>
      <c r="M3" s="3" t="s">
        <v>2</v>
      </c>
      <c r="N3" s="3" t="s">
        <v>3</v>
      </c>
      <c r="O3" s="3" t="s">
        <v>4</v>
      </c>
      <c r="P3" s="3" t="s">
        <v>5</v>
      </c>
      <c r="Q3" s="3" t="s">
        <v>6</v>
      </c>
      <c r="R3" s="3" t="s">
        <v>7</v>
      </c>
      <c r="S3" s="3" t="s">
        <v>8</v>
      </c>
      <c r="T3" s="2"/>
      <c r="V3" s="3" t="s">
        <v>2</v>
      </c>
      <c r="W3" s="3" t="s">
        <v>3</v>
      </c>
      <c r="X3" s="3" t="s">
        <v>4</v>
      </c>
      <c r="Y3" s="3" t="s">
        <v>5</v>
      </c>
      <c r="Z3" s="3" t="s">
        <v>6</v>
      </c>
      <c r="AA3" s="3" t="s">
        <v>7</v>
      </c>
      <c r="AB3" s="3" t="s">
        <v>8</v>
      </c>
      <c r="AE3" s="3" t="s">
        <v>184</v>
      </c>
      <c r="AF3" s="3" t="s">
        <v>46</v>
      </c>
      <c r="AG3" s="3" t="s">
        <v>223</v>
      </c>
      <c r="AH3" s="3" t="s">
        <v>8</v>
      </c>
      <c r="AJ3" s="3" t="s">
        <v>273</v>
      </c>
      <c r="AK3" s="3" t="s">
        <v>274</v>
      </c>
      <c r="AL3" s="3" t="s">
        <v>46</v>
      </c>
      <c r="AM3" s="3" t="s">
        <v>223</v>
      </c>
      <c r="AN3" s="3" t="s">
        <v>8</v>
      </c>
      <c r="AO3" s="3" t="s">
        <v>275</v>
      </c>
    </row>
    <row r="4" spans="2:41" x14ac:dyDescent="0.3">
      <c r="C4" s="6"/>
      <c r="D4" s="6"/>
      <c r="E4" s="6"/>
      <c r="F4" s="6"/>
      <c r="G4" s="6"/>
      <c r="H4" s="6"/>
      <c r="J4" s="12"/>
      <c r="S4" s="2"/>
      <c r="T4" s="2"/>
      <c r="V4" s="3"/>
      <c r="W4" s="2"/>
      <c r="X4" s="2"/>
      <c r="Y4" s="2"/>
      <c r="Z4" s="2"/>
      <c r="AA4" s="2"/>
      <c r="AB4" s="2"/>
      <c r="AF4" s="12"/>
      <c r="AG4" s="12"/>
      <c r="AK4" s="12"/>
      <c r="AL4" s="12"/>
      <c r="AM4" s="12"/>
    </row>
    <row r="5" spans="2:41" x14ac:dyDescent="0.3">
      <c r="B5" s="5"/>
      <c r="C5" s="6"/>
      <c r="D5" s="6"/>
      <c r="E5" s="6"/>
      <c r="F5" s="6"/>
      <c r="G5" s="6"/>
      <c r="H5" s="6"/>
      <c r="I5" s="3"/>
      <c r="J5" s="12"/>
      <c r="K5" s="2"/>
      <c r="M5" s="3"/>
      <c r="N5" s="2"/>
      <c r="O5" s="2"/>
      <c r="P5" s="2"/>
      <c r="Q5" s="2"/>
      <c r="R5" s="2"/>
      <c r="S5" s="2"/>
      <c r="T5" s="2"/>
      <c r="AF5" s="12"/>
      <c r="AG5" s="12"/>
      <c r="AK5" s="12"/>
      <c r="AL5" s="12"/>
      <c r="AM5" s="12"/>
    </row>
    <row r="6" spans="2:41" x14ac:dyDescent="0.3">
      <c r="B6" s="5"/>
      <c r="C6" s="6"/>
      <c r="D6" s="6"/>
      <c r="E6" s="6"/>
      <c r="F6" s="6"/>
      <c r="G6" s="6"/>
      <c r="H6" s="6"/>
      <c r="I6" s="3"/>
      <c r="J6" s="12"/>
      <c r="K6" s="2"/>
      <c r="M6" s="3"/>
      <c r="N6" s="2"/>
      <c r="O6" s="2"/>
      <c r="P6" s="2"/>
      <c r="Q6" s="2"/>
      <c r="R6" s="2"/>
      <c r="S6" s="2"/>
      <c r="T6" s="2"/>
      <c r="AF6" s="12"/>
      <c r="AG6" s="12"/>
      <c r="AK6" s="12"/>
      <c r="AL6" s="12"/>
      <c r="AM6" s="12"/>
    </row>
    <row r="7" spans="2:41" x14ac:dyDescent="0.3">
      <c r="B7" s="5"/>
      <c r="C7" s="6"/>
      <c r="D7" s="6"/>
      <c r="E7" s="6"/>
      <c r="F7" s="6"/>
      <c r="G7" s="6"/>
      <c r="H7" s="6"/>
      <c r="I7" s="3"/>
      <c r="J7" s="12"/>
      <c r="K7" s="2"/>
      <c r="M7" s="3"/>
      <c r="N7" s="2"/>
      <c r="O7" s="2"/>
      <c r="P7" s="2"/>
      <c r="Q7" s="2"/>
      <c r="R7" s="2"/>
      <c r="S7" s="2"/>
      <c r="T7" s="2"/>
      <c r="AF7" s="12"/>
      <c r="AG7" s="12"/>
      <c r="AK7" s="12"/>
      <c r="AL7" s="12"/>
      <c r="AM7" s="12"/>
    </row>
    <row r="8" spans="2:41" x14ac:dyDescent="0.3">
      <c r="B8" s="5"/>
      <c r="C8" s="6"/>
      <c r="D8" s="6"/>
      <c r="E8" s="6"/>
      <c r="F8" s="6"/>
      <c r="G8" s="6"/>
      <c r="H8" s="6"/>
      <c r="I8" s="3"/>
      <c r="J8" s="12"/>
      <c r="M8" s="3"/>
      <c r="O8" s="2"/>
      <c r="P8" s="2"/>
      <c r="Q8" s="2"/>
      <c r="R8" s="2"/>
      <c r="S8" s="2"/>
      <c r="AF8" s="12"/>
      <c r="AG8" s="12"/>
      <c r="AK8" s="12"/>
      <c r="AL8" s="12"/>
      <c r="AM8" s="12"/>
    </row>
    <row r="9" spans="2:41" x14ac:dyDescent="0.3">
      <c r="B9" s="5"/>
      <c r="C9" s="6"/>
      <c r="D9" s="6"/>
      <c r="E9" s="6"/>
      <c r="F9" s="6"/>
      <c r="G9" s="6"/>
      <c r="H9" s="6"/>
      <c r="I9" s="3"/>
      <c r="J9" s="12"/>
      <c r="M9" s="3"/>
      <c r="N9" s="2"/>
      <c r="O9" s="2"/>
      <c r="P9" s="2"/>
      <c r="Q9" s="2"/>
      <c r="R9" s="2"/>
      <c r="S9" s="2"/>
      <c r="AF9" s="12"/>
      <c r="AG9" s="12"/>
      <c r="AK9" s="12"/>
      <c r="AL9" s="12"/>
      <c r="AM9" s="12"/>
    </row>
    <row r="10" spans="2:41" x14ac:dyDescent="0.3">
      <c r="B10" s="5"/>
      <c r="C10" s="6"/>
      <c r="D10" s="6"/>
      <c r="E10" s="6"/>
      <c r="F10" s="6"/>
      <c r="G10" s="6"/>
      <c r="H10" s="6"/>
      <c r="I10" s="3"/>
      <c r="J10" s="12"/>
      <c r="M10" s="3"/>
      <c r="O10" s="4"/>
      <c r="P10" s="2"/>
      <c r="Q10" s="2"/>
      <c r="R10" s="2"/>
      <c r="S10" s="2"/>
      <c r="AF10" s="12"/>
      <c r="AG10" s="12"/>
      <c r="AK10" s="12"/>
      <c r="AL10" s="12"/>
      <c r="AM10" s="12"/>
    </row>
    <row r="11" spans="2:41" x14ac:dyDescent="0.3">
      <c r="B11" s="5"/>
      <c r="C11" s="6"/>
      <c r="D11" s="6"/>
      <c r="E11" s="6"/>
      <c r="F11" s="6"/>
      <c r="G11" s="6"/>
      <c r="H11" s="6"/>
      <c r="I11" s="3"/>
      <c r="J11" s="12"/>
      <c r="M11" s="3"/>
      <c r="N11" s="2"/>
      <c r="O11" s="2"/>
      <c r="P11" s="2"/>
      <c r="Q11" s="2"/>
      <c r="R11" s="2"/>
      <c r="S11" s="2"/>
      <c r="AF11" s="12"/>
      <c r="AG11" s="12"/>
      <c r="AK11" s="12"/>
      <c r="AL11" s="12"/>
      <c r="AM11" s="12"/>
    </row>
    <row r="12" spans="2:41" x14ac:dyDescent="0.3">
      <c r="B12" s="5"/>
      <c r="C12" s="6"/>
      <c r="D12" s="6"/>
      <c r="E12" s="6"/>
      <c r="F12" s="6"/>
      <c r="G12" s="6"/>
      <c r="H12" s="6"/>
      <c r="I12" s="3"/>
      <c r="J12" s="12"/>
      <c r="M12" s="3"/>
      <c r="O12" s="2"/>
      <c r="P12" s="2"/>
      <c r="Q12" s="2"/>
      <c r="R12" s="2"/>
      <c r="S12" s="2"/>
      <c r="AF12" s="12"/>
      <c r="AG12" s="12"/>
      <c r="AK12" s="12"/>
      <c r="AL12" s="12"/>
      <c r="AM12" s="12"/>
    </row>
    <row r="13" spans="2:41" x14ac:dyDescent="0.3">
      <c r="B13" s="5"/>
      <c r="C13" s="6"/>
      <c r="D13" s="6"/>
      <c r="E13" s="6"/>
      <c r="F13" s="6"/>
      <c r="G13" s="6"/>
      <c r="H13" s="6"/>
      <c r="I13" s="3"/>
      <c r="J13" s="12"/>
      <c r="M13" s="3"/>
      <c r="N13" s="2"/>
      <c r="O13" s="2"/>
      <c r="P13" s="2"/>
      <c r="Q13" s="2"/>
      <c r="R13" s="2"/>
      <c r="AF13" s="12"/>
      <c r="AG13" s="12"/>
      <c r="AK13" s="12"/>
      <c r="AL13" s="12"/>
      <c r="AM13" s="12"/>
    </row>
    <row r="14" spans="2:41" x14ac:dyDescent="0.3">
      <c r="B14" s="5"/>
      <c r="C14" s="6"/>
      <c r="D14" s="6"/>
      <c r="E14" s="6"/>
      <c r="F14" s="6"/>
      <c r="G14" s="6"/>
      <c r="H14" s="6"/>
      <c r="I14" s="3"/>
      <c r="J14" s="12"/>
      <c r="M14" s="3"/>
      <c r="O14" s="2"/>
      <c r="P14" s="2"/>
      <c r="Q14" s="2"/>
      <c r="R14" s="2"/>
      <c r="AF14" s="12"/>
      <c r="AG14" s="12"/>
      <c r="AK14" s="12"/>
      <c r="AL14" s="12"/>
      <c r="AM14" s="12"/>
    </row>
    <row r="15" spans="2:41" x14ac:dyDescent="0.3">
      <c r="B15" s="5"/>
      <c r="C15" s="6"/>
      <c r="D15" s="6"/>
      <c r="E15" s="6"/>
      <c r="F15" s="6"/>
      <c r="G15" s="6"/>
      <c r="H15" s="6"/>
      <c r="I15" s="3"/>
      <c r="J15" s="12"/>
      <c r="M15" s="3"/>
      <c r="N15" s="2"/>
      <c r="O15" s="2"/>
      <c r="P15" s="2"/>
      <c r="Q15" s="2"/>
      <c r="R15" s="2"/>
      <c r="AF15" s="12"/>
      <c r="AG15" s="12"/>
      <c r="AK15" s="12"/>
      <c r="AL15" s="12"/>
      <c r="AM15" s="12"/>
    </row>
    <row r="16" spans="2:41" x14ac:dyDescent="0.3">
      <c r="C16" s="6"/>
      <c r="D16" s="6"/>
      <c r="E16" s="6"/>
      <c r="F16" s="6"/>
      <c r="G16" s="6"/>
      <c r="H16" s="6"/>
      <c r="J16" s="12"/>
      <c r="AF16" s="12"/>
      <c r="AG16" s="12"/>
      <c r="AK16" s="12"/>
      <c r="AL16" s="12"/>
      <c r="AM16" s="12"/>
    </row>
    <row r="17" spans="3:39" x14ac:dyDescent="0.3">
      <c r="C17" s="6"/>
      <c r="D17" s="6"/>
      <c r="E17" s="6"/>
      <c r="F17" s="6"/>
      <c r="G17" s="6"/>
      <c r="H17" s="6"/>
      <c r="J17" s="12"/>
      <c r="AF17" s="12"/>
      <c r="AG17" s="12"/>
      <c r="AK17" s="12"/>
      <c r="AL17" s="12"/>
      <c r="AM17" s="12"/>
    </row>
    <row r="18" spans="3:39" x14ac:dyDescent="0.3">
      <c r="C18" s="6"/>
      <c r="D18" s="6"/>
      <c r="E18" s="6"/>
      <c r="F18" s="6"/>
      <c r="G18" s="6"/>
      <c r="H18" s="6"/>
      <c r="J18" s="12"/>
      <c r="AF18" s="12"/>
      <c r="AG18" s="12"/>
      <c r="AK18" s="12"/>
      <c r="AL18" s="12"/>
      <c r="AM18" s="12"/>
    </row>
    <row r="19" spans="3:39" x14ac:dyDescent="0.3">
      <c r="C19" s="6"/>
      <c r="D19" s="6"/>
      <c r="E19" s="6"/>
      <c r="F19" s="6"/>
      <c r="G19" s="6"/>
      <c r="H19" s="6"/>
      <c r="J19" s="12"/>
      <c r="AF19" s="12"/>
      <c r="AG19" s="12"/>
      <c r="AK19" s="12"/>
      <c r="AL19" s="12"/>
      <c r="AM19" s="12"/>
    </row>
    <row r="20" spans="3:39" x14ac:dyDescent="0.3">
      <c r="C20" s="6"/>
      <c r="D20" s="6"/>
      <c r="E20" s="6"/>
      <c r="F20" s="6"/>
      <c r="G20" s="6"/>
      <c r="H20" s="6"/>
      <c r="J20" s="12"/>
      <c r="AF20" s="12"/>
      <c r="AG20" s="12"/>
      <c r="AK20" s="12"/>
      <c r="AL20" s="12"/>
      <c r="AM20" s="12"/>
    </row>
    <row r="21" spans="3:39" x14ac:dyDescent="0.3">
      <c r="C21" s="6"/>
      <c r="D21" s="6"/>
      <c r="E21" s="6"/>
      <c r="F21" s="6"/>
      <c r="G21" s="6"/>
      <c r="H21" s="6"/>
      <c r="J21" s="12"/>
      <c r="AF21" s="12"/>
      <c r="AG21" s="12"/>
      <c r="AK21" s="12"/>
      <c r="AL21" s="12"/>
      <c r="AM21" s="12"/>
    </row>
    <row r="22" spans="3:39" x14ac:dyDescent="0.3">
      <c r="C22" s="6"/>
      <c r="D22" s="6"/>
      <c r="E22" s="6"/>
      <c r="F22" s="6"/>
      <c r="G22" s="6"/>
      <c r="H22" s="6"/>
      <c r="J22" s="12"/>
      <c r="AF22" s="12"/>
      <c r="AG22" s="12"/>
      <c r="AK22" s="12"/>
      <c r="AL22" s="12"/>
      <c r="AM22" s="12"/>
    </row>
    <row r="23" spans="3:39" x14ac:dyDescent="0.3">
      <c r="C23" s="6"/>
      <c r="D23" s="6"/>
      <c r="E23" s="6"/>
      <c r="F23" s="6"/>
      <c r="G23" s="6"/>
      <c r="H23" s="6"/>
      <c r="J23" s="12"/>
      <c r="AF23" s="12"/>
      <c r="AG23" s="12"/>
      <c r="AK23" s="12"/>
      <c r="AL23" s="12"/>
      <c r="AM23" s="12"/>
    </row>
    <row r="24" spans="3:39" x14ac:dyDescent="0.3">
      <c r="C24" s="6"/>
      <c r="D24" s="6"/>
      <c r="E24" s="6"/>
      <c r="F24" s="6"/>
      <c r="G24" s="6"/>
      <c r="H24" s="6"/>
      <c r="J24" s="12"/>
      <c r="AF24" s="12"/>
      <c r="AG24" s="12"/>
      <c r="AK24" s="12"/>
      <c r="AL24" s="12"/>
      <c r="AM24" s="12"/>
    </row>
    <row r="25" spans="3:39" x14ac:dyDescent="0.3">
      <c r="C25" s="6"/>
      <c r="D25" s="6"/>
      <c r="E25" s="6"/>
      <c r="F25" s="6"/>
      <c r="G25" s="6"/>
      <c r="H25" s="6"/>
      <c r="J25" s="12"/>
      <c r="AF25" s="12"/>
      <c r="AG25" s="12"/>
      <c r="AK25" s="12"/>
      <c r="AL25" s="12"/>
      <c r="AM25" s="12"/>
    </row>
    <row r="26" spans="3:39" x14ac:dyDescent="0.3">
      <c r="C26" s="6"/>
      <c r="D26" s="6"/>
      <c r="E26" s="6"/>
      <c r="F26" s="6"/>
      <c r="G26" s="6"/>
      <c r="H26" s="6"/>
      <c r="J26" s="12"/>
      <c r="AF26" s="12"/>
      <c r="AG26" s="12"/>
      <c r="AK26" s="12"/>
      <c r="AL26" s="12"/>
      <c r="AM26" s="12"/>
    </row>
    <row r="27" spans="3:39" x14ac:dyDescent="0.3">
      <c r="C27" s="6"/>
      <c r="D27" s="6"/>
      <c r="E27" s="6"/>
      <c r="F27" s="6"/>
      <c r="G27" s="6"/>
      <c r="H27" s="6"/>
      <c r="J27" s="12"/>
      <c r="AF27" s="12"/>
      <c r="AG27" s="12"/>
      <c r="AK27" s="12"/>
      <c r="AL27" s="12"/>
      <c r="AM27" s="12"/>
    </row>
    <row r="28" spans="3:39" x14ac:dyDescent="0.3">
      <c r="C28" s="6"/>
      <c r="D28" s="6"/>
      <c r="E28" s="6"/>
      <c r="F28" s="6"/>
      <c r="G28" s="6"/>
      <c r="H28" s="6"/>
      <c r="J28" s="12"/>
      <c r="AF28" s="12"/>
      <c r="AG28" s="12"/>
      <c r="AK28" s="12"/>
      <c r="AL28" s="12"/>
      <c r="AM28" s="12"/>
    </row>
    <row r="29" spans="3:39" x14ac:dyDescent="0.3">
      <c r="C29" s="6"/>
      <c r="D29" s="6"/>
      <c r="E29" s="6"/>
      <c r="F29" s="6"/>
      <c r="G29" s="6"/>
      <c r="H29" s="6"/>
      <c r="J29" s="12"/>
      <c r="AF29" s="12"/>
      <c r="AG29" s="12"/>
      <c r="AK29" s="12"/>
      <c r="AL29" s="12"/>
      <c r="AM29" s="12"/>
    </row>
    <row r="30" spans="3:39" x14ac:dyDescent="0.3">
      <c r="C30" s="6"/>
      <c r="D30" s="6"/>
      <c r="E30" s="6"/>
      <c r="F30" s="6"/>
      <c r="G30" s="6"/>
      <c r="H30" s="6"/>
      <c r="J30" s="12"/>
      <c r="AF30" s="12"/>
      <c r="AG30" s="12"/>
      <c r="AK30" s="12"/>
      <c r="AL30" s="12"/>
      <c r="AM30" s="12"/>
    </row>
    <row r="31" spans="3:39" x14ac:dyDescent="0.3">
      <c r="C31" s="6"/>
      <c r="D31" s="6"/>
      <c r="E31" s="6"/>
      <c r="F31" s="6"/>
      <c r="G31" s="6"/>
      <c r="H31" s="6"/>
      <c r="J31" s="12"/>
    </row>
    <row r="32" spans="3:39" x14ac:dyDescent="0.3">
      <c r="C32" s="6"/>
      <c r="D32" s="6"/>
      <c r="E32" s="6"/>
      <c r="F32" s="6"/>
      <c r="G32" s="6"/>
      <c r="H32" s="6"/>
      <c r="J32" s="12"/>
    </row>
    <row r="33" spans="3:10" x14ac:dyDescent="0.3">
      <c r="C33" s="6"/>
      <c r="D33" s="6"/>
      <c r="E33" s="6"/>
      <c r="F33" s="6"/>
      <c r="G33" s="6"/>
      <c r="H33" s="6"/>
      <c r="J33" s="12"/>
    </row>
    <row r="34" spans="3:10" x14ac:dyDescent="0.3">
      <c r="C34" s="6"/>
      <c r="D34" s="6"/>
      <c r="E34" s="6"/>
      <c r="F34" s="6"/>
      <c r="G34" s="6"/>
      <c r="H34" s="6"/>
      <c r="J34" s="12"/>
    </row>
    <row r="35" spans="3:10" x14ac:dyDescent="0.3">
      <c r="C35" s="6"/>
      <c r="D35" s="6"/>
      <c r="E35" s="6"/>
      <c r="F35" s="6"/>
      <c r="G35" s="6"/>
      <c r="H35" s="6"/>
      <c r="J35" s="12"/>
    </row>
    <row r="36" spans="3:10" x14ac:dyDescent="0.3">
      <c r="C36" s="6"/>
      <c r="D36" s="6"/>
      <c r="E36" s="6"/>
      <c r="F36" s="6"/>
      <c r="G36" s="6"/>
      <c r="H36" s="6"/>
      <c r="J36" s="12"/>
    </row>
    <row r="37" spans="3:10" x14ac:dyDescent="0.3">
      <c r="C37" s="6"/>
      <c r="D37" s="6"/>
      <c r="E37" s="6"/>
      <c r="F37" s="6"/>
      <c r="G37" s="6"/>
      <c r="H37" s="6"/>
      <c r="J37" s="12"/>
    </row>
    <row r="38" spans="3:10" x14ac:dyDescent="0.3">
      <c r="C38" s="6"/>
      <c r="D38" s="6"/>
      <c r="E38" s="6"/>
      <c r="F38" s="6"/>
      <c r="G38" s="6"/>
      <c r="H38" s="6"/>
      <c r="J38" s="12"/>
    </row>
    <row r="39" spans="3:10" x14ac:dyDescent="0.3">
      <c r="C39" s="6"/>
      <c r="D39" s="6"/>
      <c r="E39" s="6"/>
      <c r="F39" s="6"/>
      <c r="G39" s="6"/>
      <c r="H39" s="6"/>
      <c r="J39" s="12"/>
    </row>
    <row r="40" spans="3:10" x14ac:dyDescent="0.3">
      <c r="C40" s="6"/>
      <c r="D40" s="6"/>
      <c r="E40" s="6"/>
      <c r="F40" s="6"/>
      <c r="G40" s="6"/>
      <c r="H40" s="6"/>
      <c r="J40" s="12"/>
    </row>
    <row r="41" spans="3:10" x14ac:dyDescent="0.3">
      <c r="C41" s="6"/>
      <c r="D41" s="6"/>
      <c r="E41" s="6"/>
      <c r="F41" s="6"/>
      <c r="G41" s="6"/>
      <c r="H41" s="6"/>
      <c r="J41" s="12"/>
    </row>
    <row r="42" spans="3:10" x14ac:dyDescent="0.3">
      <c r="C42" s="6"/>
      <c r="D42" s="6"/>
      <c r="E42" s="6"/>
      <c r="F42" s="6"/>
      <c r="G42" s="6"/>
      <c r="H42" s="6"/>
      <c r="J42" s="12"/>
    </row>
    <row r="43" spans="3:10" x14ac:dyDescent="0.3">
      <c r="C43" s="6"/>
      <c r="D43" s="6"/>
      <c r="E43" s="6"/>
      <c r="F43" s="6"/>
      <c r="G43" s="6"/>
      <c r="H43" s="6"/>
      <c r="J43" s="12"/>
    </row>
    <row r="44" spans="3:10" x14ac:dyDescent="0.3">
      <c r="C44" s="6"/>
      <c r="D44" s="6"/>
      <c r="E44" s="6"/>
      <c r="F44" s="6"/>
      <c r="G44" s="6"/>
      <c r="H44" s="6"/>
      <c r="J44" s="12"/>
    </row>
    <row r="45" spans="3:10" x14ac:dyDescent="0.3">
      <c r="C45" s="6"/>
      <c r="D45" s="6"/>
      <c r="E45" s="6"/>
      <c r="F45" s="6"/>
      <c r="G45" s="6"/>
      <c r="H45" s="6"/>
      <c r="J45" s="12"/>
    </row>
    <row r="46" spans="3:10" x14ac:dyDescent="0.3">
      <c r="C46" s="6"/>
      <c r="D46" s="6"/>
      <c r="E46" s="6"/>
      <c r="F46" s="6"/>
      <c r="G46" s="6"/>
      <c r="H46" s="6"/>
      <c r="J46" s="12"/>
    </row>
    <row r="47" spans="3:10" x14ac:dyDescent="0.3">
      <c r="C47" s="6"/>
      <c r="D47" s="6"/>
      <c r="E47" s="6"/>
      <c r="F47" s="6"/>
      <c r="G47" s="6"/>
      <c r="H47" s="6"/>
      <c r="J47" s="12"/>
    </row>
    <row r="48" spans="3:10" x14ac:dyDescent="0.3">
      <c r="C48" s="6"/>
      <c r="D48" s="6"/>
      <c r="E48" s="6"/>
      <c r="F48" s="6"/>
      <c r="G48" s="6"/>
      <c r="H48" s="6"/>
      <c r="J48" s="12"/>
    </row>
    <row r="49" spans="3:10" x14ac:dyDescent="0.3">
      <c r="C49" s="6"/>
      <c r="D49" s="6"/>
      <c r="E49" s="6"/>
      <c r="F49" s="6"/>
      <c r="G49" s="6"/>
      <c r="H49" s="6"/>
      <c r="J49" s="12"/>
    </row>
    <row r="50" spans="3:10" x14ac:dyDescent="0.3">
      <c r="C50" s="6"/>
      <c r="D50" s="6"/>
      <c r="E50" s="6"/>
      <c r="F50" s="6"/>
      <c r="G50" s="6"/>
      <c r="H50" s="6"/>
      <c r="J50" s="12"/>
    </row>
    <row r="51" spans="3:10" x14ac:dyDescent="0.3">
      <c r="C51" s="6"/>
      <c r="D51" s="6"/>
      <c r="E51" s="6"/>
      <c r="F51" s="6"/>
      <c r="G51" s="6"/>
      <c r="H51" s="6"/>
      <c r="J51" s="12"/>
    </row>
    <row r="52" spans="3:10" x14ac:dyDescent="0.3">
      <c r="C52" s="6"/>
      <c r="D52" s="6"/>
      <c r="E52" s="6"/>
      <c r="F52" s="6"/>
      <c r="G52" s="6"/>
      <c r="H52" s="6"/>
      <c r="J52" s="12"/>
    </row>
    <row r="53" spans="3:10" x14ac:dyDescent="0.3">
      <c r="C53" s="6"/>
      <c r="D53" s="6"/>
      <c r="E53" s="6"/>
      <c r="F53" s="6"/>
      <c r="G53" s="6"/>
      <c r="H53" s="6"/>
      <c r="J53" s="12"/>
    </row>
    <row r="54" spans="3:10" x14ac:dyDescent="0.3">
      <c r="C54" s="6"/>
      <c r="D54" s="6"/>
      <c r="E54" s="6"/>
      <c r="F54" s="6"/>
      <c r="G54" s="6"/>
      <c r="H54" s="6"/>
      <c r="J54" s="12"/>
    </row>
    <row r="55" spans="3:10" x14ac:dyDescent="0.3">
      <c r="C55" s="6"/>
      <c r="D55" s="6"/>
      <c r="E55" s="6"/>
      <c r="F55" s="6"/>
      <c r="G55" s="6"/>
      <c r="H55" s="6"/>
      <c r="J55" s="12"/>
    </row>
    <row r="56" spans="3:10" x14ac:dyDescent="0.3">
      <c r="C56" s="6"/>
      <c r="D56" s="6"/>
      <c r="E56" s="6"/>
      <c r="F56" s="6"/>
      <c r="G56" s="6"/>
      <c r="H56" s="6"/>
      <c r="J56" s="12"/>
    </row>
    <row r="57" spans="3:10" x14ac:dyDescent="0.3">
      <c r="C57" s="6"/>
      <c r="D57" s="6"/>
      <c r="E57" s="6"/>
      <c r="F57" s="6"/>
      <c r="G57" s="6"/>
      <c r="H57" s="6"/>
      <c r="J57" s="12"/>
    </row>
    <row r="58" spans="3:10" x14ac:dyDescent="0.3">
      <c r="C58" s="6"/>
      <c r="D58" s="6"/>
      <c r="E58" s="6"/>
      <c r="F58" s="6"/>
      <c r="G58" s="6"/>
      <c r="H58" s="6"/>
      <c r="J58" s="12"/>
    </row>
    <row r="59" spans="3:10" x14ac:dyDescent="0.3">
      <c r="C59" s="6"/>
      <c r="D59" s="6"/>
      <c r="E59" s="6"/>
      <c r="F59" s="6"/>
      <c r="G59" s="6"/>
      <c r="H59" s="6"/>
      <c r="J59" s="12"/>
    </row>
    <row r="60" spans="3:10" x14ac:dyDescent="0.3">
      <c r="C60" s="6"/>
      <c r="D60" s="6"/>
      <c r="E60" s="6"/>
      <c r="F60" s="6"/>
      <c r="G60" s="6"/>
      <c r="H60" s="6"/>
      <c r="J60" s="12"/>
    </row>
    <row r="61" spans="3:10" x14ac:dyDescent="0.3">
      <c r="C61" s="6"/>
      <c r="D61" s="6"/>
      <c r="E61" s="6"/>
      <c r="F61" s="6"/>
      <c r="G61" s="6"/>
      <c r="H61" s="6"/>
      <c r="J61" s="12"/>
    </row>
    <row r="62" spans="3:10" x14ac:dyDescent="0.3">
      <c r="C62" s="6"/>
      <c r="D62" s="6"/>
      <c r="E62" s="6"/>
      <c r="F62" s="6"/>
      <c r="G62" s="6"/>
      <c r="H62" s="6"/>
      <c r="J62" s="12"/>
    </row>
    <row r="63" spans="3:10" x14ac:dyDescent="0.3">
      <c r="C63" s="6"/>
      <c r="D63" s="6"/>
      <c r="E63" s="6"/>
      <c r="F63" s="6"/>
      <c r="G63" s="6"/>
      <c r="H63" s="6"/>
      <c r="J63" s="12"/>
    </row>
    <row r="64" spans="3:10" x14ac:dyDescent="0.3">
      <c r="C64" s="6"/>
      <c r="D64" s="6"/>
      <c r="E64" s="6"/>
      <c r="F64" s="6"/>
      <c r="G64" s="6"/>
      <c r="H64" s="6"/>
      <c r="J64" s="12"/>
    </row>
    <row r="65" spans="3:10" x14ac:dyDescent="0.3">
      <c r="C65" s="6"/>
      <c r="D65" s="6"/>
      <c r="E65" s="6"/>
      <c r="F65" s="6"/>
      <c r="G65" s="6"/>
      <c r="H65" s="6"/>
      <c r="J65" s="12"/>
    </row>
    <row r="66" spans="3:10" x14ac:dyDescent="0.3">
      <c r="C66" s="6"/>
      <c r="D66" s="6"/>
      <c r="E66" s="6"/>
      <c r="F66" s="6"/>
      <c r="G66" s="6"/>
      <c r="H66" s="6"/>
      <c r="J66" s="12"/>
    </row>
    <row r="67" spans="3:10" x14ac:dyDescent="0.3">
      <c r="C67" s="6"/>
      <c r="D67" s="6"/>
      <c r="E67" s="6"/>
      <c r="F67" s="6"/>
      <c r="G67" s="6"/>
      <c r="H67" s="6"/>
      <c r="J67" s="12"/>
    </row>
    <row r="68" spans="3:10" x14ac:dyDescent="0.3">
      <c r="C68" s="6"/>
      <c r="D68" s="6"/>
      <c r="E68" s="6"/>
      <c r="F68" s="6"/>
      <c r="G68" s="6"/>
      <c r="H68" s="6"/>
      <c r="J68" s="12"/>
    </row>
    <row r="69" spans="3:10" x14ac:dyDescent="0.3">
      <c r="C69" s="6"/>
      <c r="D69" s="6"/>
      <c r="E69" s="6"/>
      <c r="F69" s="6"/>
      <c r="G69" s="6"/>
      <c r="H69" s="6"/>
      <c r="J69" s="12"/>
    </row>
    <row r="70" spans="3:10" x14ac:dyDescent="0.3">
      <c r="C70" s="6"/>
      <c r="D70" s="6"/>
      <c r="E70" s="6"/>
      <c r="F70" s="6"/>
      <c r="G70" s="6"/>
      <c r="H70" s="6"/>
      <c r="J70" s="12"/>
    </row>
    <row r="71" spans="3:10" x14ac:dyDescent="0.3">
      <c r="C71" s="6"/>
      <c r="D71" s="6"/>
      <c r="E71" s="6"/>
      <c r="F71" s="6"/>
      <c r="G71" s="6"/>
      <c r="H71" s="6"/>
      <c r="J71" s="12"/>
    </row>
    <row r="72" spans="3:10" x14ac:dyDescent="0.3">
      <c r="C72" s="6"/>
      <c r="D72" s="6"/>
      <c r="E72" s="6"/>
      <c r="F72" s="6"/>
      <c r="G72" s="6"/>
      <c r="H72" s="6"/>
      <c r="J72" s="12"/>
    </row>
    <row r="73" spans="3:10" x14ac:dyDescent="0.3">
      <c r="C73" s="6"/>
      <c r="D73" s="6"/>
      <c r="E73" s="6"/>
      <c r="F73" s="6"/>
      <c r="G73" s="6"/>
      <c r="H73" s="6"/>
      <c r="J73" s="12"/>
    </row>
    <row r="74" spans="3:10" x14ac:dyDescent="0.3">
      <c r="C74" s="6"/>
      <c r="D74" s="6"/>
      <c r="E74" s="6"/>
      <c r="F74" s="6"/>
      <c r="G74" s="6"/>
      <c r="H74" s="6"/>
      <c r="J74" s="12"/>
    </row>
    <row r="75" spans="3:10" x14ac:dyDescent="0.3">
      <c r="C75" s="6"/>
      <c r="D75" s="6"/>
      <c r="E75" s="6"/>
      <c r="F75" s="6"/>
      <c r="G75" s="6"/>
      <c r="H75" s="6"/>
      <c r="J75" s="12"/>
    </row>
    <row r="76" spans="3:10" x14ac:dyDescent="0.3">
      <c r="C76" s="6"/>
      <c r="D76" s="6"/>
      <c r="E76" s="6"/>
      <c r="F76" s="6"/>
      <c r="G76" s="6"/>
      <c r="H76" s="6"/>
      <c r="J76" s="12"/>
    </row>
    <row r="77" spans="3:10" x14ac:dyDescent="0.3">
      <c r="C77" s="6"/>
      <c r="D77" s="6"/>
      <c r="E77" s="6"/>
      <c r="F77" s="6"/>
      <c r="G77" s="6"/>
      <c r="H77" s="6"/>
      <c r="J77" s="12"/>
    </row>
    <row r="78" spans="3:10" x14ac:dyDescent="0.3">
      <c r="C78" s="6"/>
      <c r="D78" s="6"/>
      <c r="E78" s="6"/>
      <c r="F78" s="6"/>
      <c r="G78" s="6"/>
      <c r="H78" s="6"/>
      <c r="J78" s="12"/>
    </row>
    <row r="79" spans="3:10" x14ac:dyDescent="0.3">
      <c r="C79" s="6"/>
      <c r="D79" s="6"/>
      <c r="E79" s="6"/>
      <c r="F79" s="6"/>
      <c r="G79" s="6"/>
      <c r="H79" s="6"/>
      <c r="J79" s="12"/>
    </row>
    <row r="80" spans="3:10" x14ac:dyDescent="0.3">
      <c r="C80" s="6"/>
      <c r="D80" s="6"/>
      <c r="E80" s="6"/>
      <c r="F80" s="6"/>
      <c r="G80" s="6"/>
      <c r="H80" s="6"/>
      <c r="J80" s="12"/>
    </row>
    <row r="81" spans="3:10" x14ac:dyDescent="0.3">
      <c r="C81" s="6"/>
      <c r="D81" s="6"/>
      <c r="E81" s="6"/>
      <c r="F81" s="6"/>
      <c r="G81" s="6"/>
      <c r="H81" s="6"/>
      <c r="J81" s="12"/>
    </row>
    <row r="82" spans="3:10" x14ac:dyDescent="0.3">
      <c r="C82" s="6"/>
      <c r="D82" s="6"/>
      <c r="E82" s="6"/>
      <c r="F82" s="6"/>
      <c r="G82" s="6"/>
      <c r="H82" s="6"/>
      <c r="J82" s="12"/>
    </row>
    <row r="83" spans="3:10" x14ac:dyDescent="0.3">
      <c r="C83" s="6"/>
      <c r="D83" s="6"/>
      <c r="E83" s="6"/>
      <c r="F83" s="6"/>
      <c r="G83" s="6"/>
      <c r="H83" s="6"/>
      <c r="J83" s="12"/>
    </row>
    <row r="84" spans="3:10" x14ac:dyDescent="0.3">
      <c r="C84" s="6"/>
      <c r="D84" s="6"/>
      <c r="E84" s="6"/>
      <c r="F84" s="6"/>
      <c r="G84" s="6"/>
      <c r="H84" s="6"/>
      <c r="J84" s="12"/>
    </row>
    <row r="85" spans="3:10" x14ac:dyDescent="0.3">
      <c r="C85" s="6"/>
      <c r="D85" s="6"/>
      <c r="E85" s="6"/>
      <c r="F85" s="6"/>
      <c r="G85" s="6"/>
      <c r="H85" s="6"/>
      <c r="J85" s="12"/>
    </row>
    <row r="86" spans="3:10" x14ac:dyDescent="0.3">
      <c r="C86" s="6"/>
      <c r="D86" s="6"/>
      <c r="E86" s="6"/>
      <c r="F86" s="6"/>
      <c r="G86" s="6"/>
      <c r="H86" s="6"/>
      <c r="J86" s="12"/>
    </row>
    <row r="87" spans="3:10" x14ac:dyDescent="0.3">
      <c r="C87" s="6"/>
      <c r="D87" s="6"/>
      <c r="E87" s="6"/>
      <c r="F87" s="6"/>
      <c r="G87" s="6"/>
      <c r="H87" s="6"/>
      <c r="J87" s="12"/>
    </row>
    <row r="88" spans="3:10" x14ac:dyDescent="0.3">
      <c r="C88" s="6"/>
      <c r="D88" s="6"/>
      <c r="E88" s="6"/>
      <c r="F88" s="6"/>
      <c r="G88" s="6"/>
      <c r="H88" s="6"/>
      <c r="J88" s="12"/>
    </row>
    <row r="89" spans="3:10" x14ac:dyDescent="0.3">
      <c r="C89" s="6"/>
      <c r="D89" s="6"/>
      <c r="E89" s="6"/>
      <c r="F89" s="6"/>
      <c r="G89" s="6"/>
      <c r="H89" s="6"/>
      <c r="J89" s="12"/>
    </row>
    <row r="90" spans="3:10" x14ac:dyDescent="0.3">
      <c r="C90" s="6"/>
      <c r="D90" s="6"/>
      <c r="E90" s="6"/>
      <c r="F90" s="6"/>
      <c r="G90" s="6"/>
      <c r="H90" s="6"/>
      <c r="J90" s="12"/>
    </row>
    <row r="91" spans="3:10" x14ac:dyDescent="0.3">
      <c r="C91" s="6"/>
      <c r="D91" s="6"/>
      <c r="E91" s="6"/>
      <c r="F91" s="6"/>
      <c r="G91" s="6"/>
      <c r="H91" s="6"/>
      <c r="J91" s="12"/>
    </row>
    <row r="92" spans="3:10" x14ac:dyDescent="0.3">
      <c r="C92" s="6"/>
      <c r="D92" s="6"/>
      <c r="E92" s="6"/>
      <c r="F92" s="6"/>
      <c r="G92" s="6"/>
      <c r="H92" s="6"/>
      <c r="J92" s="12"/>
    </row>
    <row r="93" spans="3:10" x14ac:dyDescent="0.3">
      <c r="C93" s="6"/>
      <c r="D93" s="6"/>
      <c r="E93" s="6"/>
      <c r="F93" s="6"/>
      <c r="G93" s="6"/>
      <c r="H93" s="6"/>
      <c r="J93" s="12"/>
    </row>
    <row r="94" spans="3:10" x14ac:dyDescent="0.3">
      <c r="C94" s="6"/>
      <c r="D94" s="6"/>
      <c r="E94" s="6"/>
      <c r="F94" s="6"/>
      <c r="G94" s="6"/>
      <c r="H94" s="6"/>
      <c r="J94" s="12"/>
    </row>
    <row r="95" spans="3:10" x14ac:dyDescent="0.3">
      <c r="C95" s="6"/>
      <c r="D95" s="6"/>
      <c r="E95" s="6"/>
      <c r="F95" s="6"/>
      <c r="G95" s="6"/>
      <c r="H95" s="6"/>
      <c r="J95" s="12"/>
    </row>
    <row r="96" spans="3:10" x14ac:dyDescent="0.3">
      <c r="C96" s="6"/>
      <c r="D96" s="6"/>
      <c r="E96" s="6"/>
      <c r="F96" s="6"/>
      <c r="G96" s="6"/>
      <c r="H96" s="6"/>
      <c r="J96" s="12"/>
    </row>
    <row r="97" spans="3:10" x14ac:dyDescent="0.3">
      <c r="C97" s="6"/>
      <c r="D97" s="6"/>
      <c r="E97" s="6"/>
      <c r="F97" s="6"/>
      <c r="G97" s="6"/>
      <c r="H97" s="6"/>
      <c r="J97" s="12"/>
    </row>
    <row r="98" spans="3:10" x14ac:dyDescent="0.3">
      <c r="C98" s="6"/>
      <c r="D98" s="6"/>
      <c r="E98" s="6"/>
      <c r="F98" s="6"/>
      <c r="G98" s="6"/>
      <c r="H98" s="6"/>
      <c r="J98" s="12"/>
    </row>
    <row r="99" spans="3:10" x14ac:dyDescent="0.3">
      <c r="C99" s="6"/>
      <c r="D99" s="6"/>
      <c r="E99" s="6"/>
      <c r="F99" s="6"/>
      <c r="G99" s="6"/>
      <c r="H99" s="6"/>
      <c r="J99" s="12"/>
    </row>
    <row r="100" spans="3:10" x14ac:dyDescent="0.3">
      <c r="C100" s="6"/>
      <c r="D100" s="6"/>
      <c r="E100" s="6"/>
      <c r="F100" s="6"/>
      <c r="G100" s="6"/>
      <c r="H100" s="6"/>
      <c r="J100" s="12"/>
    </row>
  </sheetData>
  <mergeCells count="5">
    <mergeCell ref="AJ2:AO2"/>
    <mergeCell ref="M2:S2"/>
    <mergeCell ref="V2:AB2"/>
    <mergeCell ref="B2:J2"/>
    <mergeCell ref="AE2:AH2"/>
  </mergeCells>
  <dataValidations count="4">
    <dataValidation type="list" allowBlank="1" showInputMessage="1" showErrorMessage="1" sqref="M21" xr:uid="{422FA81D-DE30-41A0-BD82-5C1A83403488}">
      <formula1>"DeathGuard,Space Marines,Drukhari, Daemons, T'Au, Imperial Guard, Sisters of Battle, Thousand Sons"</formula1>
    </dataValidation>
    <dataValidation type="list" allowBlank="1" showInputMessage="1" showErrorMessage="1" sqref="J4:J100" xr:uid="{745BE5ED-D12D-4AD8-94C5-209832691B6F}">
      <formula1>"Ranged,Melee"</formula1>
    </dataValidation>
    <dataValidation type="list" allowBlank="1" showInputMessage="1" showErrorMessage="1" sqref="AF4:AF30 AL4:AL30" xr:uid="{4CB09655-89E7-449D-AC6B-79537B3FD780}">
      <formula1>"Attacker,Target"</formula1>
    </dataValidation>
    <dataValidation type="list" allowBlank="1" showInputMessage="1" showErrorMessage="1" sqref="AG4:AG30 AM4:AM30" xr:uid="{BD537882-5E38-4BB8-A6F7-83BBC808DC1D}">
      <formula1>"Shooting,Fighting,Both"</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9E199-24B2-4C45-AD77-1A668D240891}">
  <sheetPr codeName="Sheet11">
    <tabColor rgb="FFFFC000"/>
  </sheetPr>
  <dimension ref="B2:AO100"/>
  <sheetViews>
    <sheetView zoomScaleNormal="100" workbookViewId="0">
      <selection activeCell="I3" sqref="I3"/>
    </sheetView>
  </sheetViews>
  <sheetFormatPr defaultRowHeight="14.4" x14ac:dyDescent="0.3"/>
  <cols>
    <col min="2" max="2" width="21.6640625" bestFit="1" customWidth="1"/>
    <col min="3" max="7" width="7.44140625" customWidth="1"/>
    <col min="8" max="8" width="13" customWidth="1"/>
    <col min="9" max="9" width="26" bestFit="1" customWidth="1"/>
    <col min="10" max="10" width="4.6640625" customWidth="1"/>
    <col min="11" max="12" width="1.88671875" customWidth="1"/>
    <col min="13" max="13" width="26.33203125" bestFit="1" customWidth="1"/>
    <col min="14" max="14" width="4.44140625" bestFit="1" customWidth="1"/>
    <col min="15" max="15" width="5.44140625" bestFit="1" customWidth="1"/>
    <col min="16" max="16" width="4.33203125" bestFit="1" customWidth="1"/>
    <col min="17" max="17" width="5.5546875" bestFit="1" customWidth="1"/>
    <col min="18" max="18" width="4.5546875" bestFit="1" customWidth="1"/>
    <col min="19" max="19" width="20.44140625" bestFit="1" customWidth="1"/>
    <col min="20" max="21" width="1.88671875" customWidth="1"/>
    <col min="22" max="22" width="11.88671875" bestFit="1" customWidth="1"/>
    <col min="31" max="31" width="27.77734375" customWidth="1"/>
    <col min="32" max="33" width="12" customWidth="1"/>
    <col min="34" max="34" width="37" customWidth="1"/>
    <col min="36" max="36" width="27.77734375" customWidth="1"/>
    <col min="37" max="37" width="6.44140625" customWidth="1"/>
    <col min="38" max="39" width="13" customWidth="1"/>
    <col min="40" max="40" width="31.44140625" customWidth="1"/>
    <col min="41" max="41" width="40.77734375" customWidth="1"/>
  </cols>
  <sheetData>
    <row r="2" spans="2:41" x14ac:dyDescent="0.3">
      <c r="B2" s="8" t="s">
        <v>14</v>
      </c>
      <c r="C2" s="8"/>
      <c r="D2" s="8"/>
      <c r="E2" s="8"/>
      <c r="F2" s="8"/>
      <c r="G2" s="8"/>
      <c r="H2" s="8"/>
      <c r="I2" s="8"/>
      <c r="J2" s="8"/>
      <c r="M2" s="8" t="s">
        <v>33</v>
      </c>
      <c r="N2" s="8"/>
      <c r="O2" s="8"/>
      <c r="P2" s="8"/>
      <c r="Q2" s="8"/>
      <c r="R2" s="8"/>
      <c r="S2" s="8"/>
      <c r="V2" s="8" t="s">
        <v>34</v>
      </c>
      <c r="W2" s="8"/>
      <c r="X2" s="8"/>
      <c r="Y2" s="8"/>
      <c r="Z2" s="8"/>
      <c r="AA2" s="8"/>
      <c r="AB2" s="8"/>
      <c r="AE2" s="65" t="s">
        <v>222</v>
      </c>
      <c r="AF2" s="65"/>
      <c r="AG2" s="65"/>
      <c r="AH2" s="65"/>
      <c r="AJ2" s="67" t="s">
        <v>298</v>
      </c>
      <c r="AK2" s="68"/>
      <c r="AL2" s="68"/>
      <c r="AM2" s="68"/>
      <c r="AN2" s="68"/>
      <c r="AO2" s="68"/>
    </row>
    <row r="3" spans="2:41" x14ac:dyDescent="0.3">
      <c r="B3" t="s">
        <v>21</v>
      </c>
      <c r="C3" t="s">
        <v>15</v>
      </c>
      <c r="D3" t="s">
        <v>16</v>
      </c>
      <c r="E3" t="s">
        <v>449</v>
      </c>
      <c r="F3" t="s">
        <v>450</v>
      </c>
      <c r="G3" t="s">
        <v>19</v>
      </c>
      <c r="H3" t="s">
        <v>17</v>
      </c>
      <c r="I3" t="s">
        <v>2</v>
      </c>
      <c r="J3" s="2" t="s">
        <v>38</v>
      </c>
      <c r="K3" s="2"/>
      <c r="M3" s="3" t="s">
        <v>2</v>
      </c>
      <c r="N3" s="3" t="s">
        <v>3</v>
      </c>
      <c r="O3" s="3" t="s">
        <v>4</v>
      </c>
      <c r="P3" s="3" t="s">
        <v>5</v>
      </c>
      <c r="Q3" s="3" t="s">
        <v>6</v>
      </c>
      <c r="R3" s="3" t="s">
        <v>7</v>
      </c>
      <c r="S3" s="3" t="s">
        <v>8</v>
      </c>
      <c r="T3" s="2"/>
      <c r="V3" s="3" t="s">
        <v>2</v>
      </c>
      <c r="W3" s="3" t="s">
        <v>3</v>
      </c>
      <c r="X3" s="3" t="s">
        <v>4</v>
      </c>
      <c r="Y3" s="3" t="s">
        <v>5</v>
      </c>
      <c r="Z3" s="3" t="s">
        <v>6</v>
      </c>
      <c r="AA3" s="3" t="s">
        <v>7</v>
      </c>
      <c r="AB3" s="3" t="s">
        <v>8</v>
      </c>
      <c r="AE3" s="3" t="s">
        <v>184</v>
      </c>
      <c r="AF3" s="3" t="s">
        <v>46</v>
      </c>
      <c r="AG3" s="3" t="s">
        <v>223</v>
      </c>
      <c r="AH3" s="3" t="s">
        <v>8</v>
      </c>
      <c r="AJ3" s="3" t="s">
        <v>273</v>
      </c>
      <c r="AK3" s="3" t="s">
        <v>274</v>
      </c>
      <c r="AL3" s="3" t="s">
        <v>46</v>
      </c>
      <c r="AM3" s="3" t="s">
        <v>223</v>
      </c>
      <c r="AN3" s="3" t="s">
        <v>8</v>
      </c>
      <c r="AO3" s="3" t="s">
        <v>275</v>
      </c>
    </row>
    <row r="4" spans="2:41" x14ac:dyDescent="0.3">
      <c r="C4" s="6"/>
      <c r="D4" s="6"/>
      <c r="E4" s="6"/>
      <c r="F4" s="6"/>
      <c r="G4" s="6"/>
      <c r="H4" s="6"/>
      <c r="J4" s="12"/>
      <c r="S4" s="2"/>
      <c r="T4" s="2"/>
      <c r="V4" s="3"/>
      <c r="W4" s="2"/>
      <c r="X4" s="2"/>
      <c r="Y4" s="2"/>
      <c r="Z4" s="2"/>
      <c r="AA4" s="2"/>
      <c r="AB4" s="2"/>
      <c r="AF4" s="12"/>
      <c r="AG4" s="12"/>
      <c r="AK4" s="12"/>
      <c r="AL4" s="12"/>
      <c r="AM4" s="12"/>
    </row>
    <row r="5" spans="2:41" x14ac:dyDescent="0.3">
      <c r="B5" s="5"/>
      <c r="C5" s="6"/>
      <c r="D5" s="6"/>
      <c r="E5" s="6"/>
      <c r="F5" s="6"/>
      <c r="G5" s="6"/>
      <c r="H5" s="6"/>
      <c r="I5" s="3"/>
      <c r="J5" s="12"/>
      <c r="K5" s="2"/>
      <c r="M5" s="3"/>
      <c r="N5" s="2"/>
      <c r="O5" s="2"/>
      <c r="P5" s="2"/>
      <c r="Q5" s="2"/>
      <c r="R5" s="2"/>
      <c r="S5" s="2"/>
      <c r="T5" s="2"/>
      <c r="AF5" s="12"/>
      <c r="AG5" s="12"/>
      <c r="AK5" s="12"/>
      <c r="AL5" s="12"/>
      <c r="AM5" s="12"/>
    </row>
    <row r="6" spans="2:41" x14ac:dyDescent="0.3">
      <c r="B6" s="5"/>
      <c r="C6" s="6"/>
      <c r="D6" s="6"/>
      <c r="E6" s="6"/>
      <c r="F6" s="6"/>
      <c r="G6" s="6"/>
      <c r="H6" s="6"/>
      <c r="I6" s="3"/>
      <c r="J6" s="12"/>
      <c r="K6" s="2"/>
      <c r="M6" s="3"/>
      <c r="N6" s="2"/>
      <c r="O6" s="2"/>
      <c r="P6" s="2"/>
      <c r="Q6" s="2"/>
      <c r="R6" s="2"/>
      <c r="S6" s="2"/>
      <c r="T6" s="2"/>
      <c r="AF6" s="12"/>
      <c r="AG6" s="12"/>
      <c r="AK6" s="12"/>
      <c r="AL6" s="12"/>
      <c r="AM6" s="12"/>
    </row>
    <row r="7" spans="2:41" x14ac:dyDescent="0.3">
      <c r="B7" s="5"/>
      <c r="C7" s="6"/>
      <c r="D7" s="6"/>
      <c r="E7" s="6"/>
      <c r="F7" s="6"/>
      <c r="G7" s="6"/>
      <c r="H7" s="6"/>
      <c r="I7" s="3"/>
      <c r="J7" s="12"/>
      <c r="K7" s="2"/>
      <c r="M7" s="3"/>
      <c r="N7" s="2"/>
      <c r="O7" s="2"/>
      <c r="P7" s="2"/>
      <c r="Q7" s="2"/>
      <c r="R7" s="2"/>
      <c r="S7" s="2"/>
      <c r="T7" s="2"/>
      <c r="AF7" s="12"/>
      <c r="AG7" s="12"/>
      <c r="AK7" s="12"/>
      <c r="AL7" s="12"/>
      <c r="AM7" s="12"/>
    </row>
    <row r="8" spans="2:41" x14ac:dyDescent="0.3">
      <c r="B8" s="5"/>
      <c r="C8" s="6"/>
      <c r="D8" s="6"/>
      <c r="E8" s="6"/>
      <c r="F8" s="6"/>
      <c r="G8" s="6"/>
      <c r="H8" s="6"/>
      <c r="I8" s="3"/>
      <c r="J8" s="12"/>
      <c r="M8" s="3"/>
      <c r="O8" s="2"/>
      <c r="P8" s="2"/>
      <c r="Q8" s="2"/>
      <c r="R8" s="2"/>
      <c r="S8" s="2"/>
      <c r="AF8" s="12"/>
      <c r="AG8" s="12"/>
      <c r="AK8" s="12"/>
      <c r="AL8" s="12"/>
      <c r="AM8" s="12"/>
    </row>
    <row r="9" spans="2:41" x14ac:dyDescent="0.3">
      <c r="B9" s="5"/>
      <c r="C9" s="6"/>
      <c r="D9" s="6"/>
      <c r="E9" s="6"/>
      <c r="F9" s="6"/>
      <c r="G9" s="6"/>
      <c r="H9" s="6"/>
      <c r="I9" s="3"/>
      <c r="J9" s="12"/>
      <c r="M9" s="3"/>
      <c r="N9" s="2"/>
      <c r="O9" s="2"/>
      <c r="P9" s="2"/>
      <c r="Q9" s="2"/>
      <c r="R9" s="2"/>
      <c r="S9" s="2"/>
      <c r="AF9" s="12"/>
      <c r="AG9" s="12"/>
      <c r="AK9" s="12"/>
      <c r="AL9" s="12"/>
      <c r="AM9" s="12"/>
    </row>
    <row r="10" spans="2:41" x14ac:dyDescent="0.3">
      <c r="B10" s="5"/>
      <c r="C10" s="6"/>
      <c r="D10" s="6"/>
      <c r="E10" s="6"/>
      <c r="F10" s="6"/>
      <c r="G10" s="6"/>
      <c r="H10" s="6"/>
      <c r="I10" s="3"/>
      <c r="J10" s="12"/>
      <c r="M10" s="3"/>
      <c r="O10" s="4"/>
      <c r="P10" s="2"/>
      <c r="Q10" s="2"/>
      <c r="R10" s="2"/>
      <c r="S10" s="2"/>
      <c r="AF10" s="12"/>
      <c r="AG10" s="12"/>
      <c r="AK10" s="12"/>
      <c r="AL10" s="12"/>
      <c r="AM10" s="12"/>
    </row>
    <row r="11" spans="2:41" x14ac:dyDescent="0.3">
      <c r="B11" s="5"/>
      <c r="C11" s="6"/>
      <c r="D11" s="6"/>
      <c r="E11" s="6"/>
      <c r="F11" s="6"/>
      <c r="G11" s="6"/>
      <c r="H11" s="6"/>
      <c r="I11" s="3"/>
      <c r="J11" s="12"/>
      <c r="M11" s="3"/>
      <c r="N11" s="2"/>
      <c r="O11" s="2"/>
      <c r="P11" s="2"/>
      <c r="Q11" s="2"/>
      <c r="R11" s="2"/>
      <c r="S11" s="2"/>
      <c r="AF11" s="12"/>
      <c r="AG11" s="12"/>
      <c r="AK11" s="12"/>
      <c r="AL11" s="12"/>
      <c r="AM11" s="12"/>
    </row>
    <row r="12" spans="2:41" x14ac:dyDescent="0.3">
      <c r="B12" s="5"/>
      <c r="C12" s="6"/>
      <c r="D12" s="6"/>
      <c r="E12" s="6"/>
      <c r="F12" s="6"/>
      <c r="G12" s="6"/>
      <c r="H12" s="6"/>
      <c r="I12" s="3"/>
      <c r="J12" s="12"/>
      <c r="M12" s="3"/>
      <c r="O12" s="2"/>
      <c r="P12" s="2"/>
      <c r="Q12" s="2"/>
      <c r="R12" s="2"/>
      <c r="S12" s="2"/>
      <c r="AF12" s="12"/>
      <c r="AG12" s="12"/>
      <c r="AK12" s="12"/>
      <c r="AL12" s="12"/>
      <c r="AM12" s="12"/>
    </row>
    <row r="13" spans="2:41" x14ac:dyDescent="0.3">
      <c r="B13" s="5"/>
      <c r="C13" s="6"/>
      <c r="D13" s="6"/>
      <c r="E13" s="6"/>
      <c r="F13" s="6"/>
      <c r="G13" s="6"/>
      <c r="H13" s="6"/>
      <c r="I13" s="3"/>
      <c r="J13" s="12"/>
      <c r="M13" s="3"/>
      <c r="N13" s="2"/>
      <c r="O13" s="2"/>
      <c r="P13" s="2"/>
      <c r="Q13" s="2"/>
      <c r="R13" s="2"/>
      <c r="AF13" s="12"/>
      <c r="AG13" s="12"/>
      <c r="AK13" s="12"/>
      <c r="AL13" s="12"/>
      <c r="AM13" s="12"/>
    </row>
    <row r="14" spans="2:41" x14ac:dyDescent="0.3">
      <c r="B14" s="5"/>
      <c r="C14" s="6"/>
      <c r="D14" s="6"/>
      <c r="E14" s="6"/>
      <c r="F14" s="6"/>
      <c r="G14" s="6"/>
      <c r="H14" s="6"/>
      <c r="I14" s="3"/>
      <c r="J14" s="12"/>
      <c r="M14" s="3"/>
      <c r="O14" s="2"/>
      <c r="P14" s="2"/>
      <c r="Q14" s="2"/>
      <c r="R14" s="2"/>
      <c r="AF14" s="12"/>
      <c r="AG14" s="12"/>
      <c r="AK14" s="12"/>
      <c r="AL14" s="12"/>
      <c r="AM14" s="12"/>
    </row>
    <row r="15" spans="2:41" x14ac:dyDescent="0.3">
      <c r="B15" s="5"/>
      <c r="C15" s="6"/>
      <c r="D15" s="6"/>
      <c r="E15" s="6"/>
      <c r="F15" s="6"/>
      <c r="G15" s="6"/>
      <c r="H15" s="6"/>
      <c r="I15" s="3"/>
      <c r="J15" s="12"/>
      <c r="M15" s="3"/>
      <c r="N15" s="2"/>
      <c r="O15" s="2"/>
      <c r="P15" s="2"/>
      <c r="Q15" s="2"/>
      <c r="R15" s="2"/>
      <c r="AF15" s="12"/>
      <c r="AG15" s="12"/>
      <c r="AK15" s="12"/>
      <c r="AL15" s="12"/>
      <c r="AM15" s="12"/>
    </row>
    <row r="16" spans="2:41" x14ac:dyDescent="0.3">
      <c r="C16" s="6"/>
      <c r="D16" s="6"/>
      <c r="E16" s="6"/>
      <c r="F16" s="6"/>
      <c r="G16" s="6"/>
      <c r="H16" s="6"/>
      <c r="J16" s="12"/>
      <c r="AF16" s="12"/>
      <c r="AG16" s="12"/>
      <c r="AK16" s="12"/>
      <c r="AL16" s="12"/>
      <c r="AM16" s="12"/>
    </row>
    <row r="17" spans="3:39" x14ac:dyDescent="0.3">
      <c r="C17" s="6"/>
      <c r="D17" s="6"/>
      <c r="E17" s="6"/>
      <c r="F17" s="6"/>
      <c r="G17" s="6"/>
      <c r="H17" s="6"/>
      <c r="J17" s="12"/>
      <c r="AF17" s="12"/>
      <c r="AG17" s="12"/>
      <c r="AK17" s="12"/>
      <c r="AL17" s="12"/>
      <c r="AM17" s="12"/>
    </row>
    <row r="18" spans="3:39" x14ac:dyDescent="0.3">
      <c r="C18" s="6"/>
      <c r="D18" s="6"/>
      <c r="E18" s="6"/>
      <c r="F18" s="6"/>
      <c r="G18" s="6"/>
      <c r="H18" s="6"/>
      <c r="J18" s="12"/>
      <c r="AF18" s="12"/>
      <c r="AG18" s="12"/>
      <c r="AK18" s="12"/>
      <c r="AL18" s="12"/>
      <c r="AM18" s="12"/>
    </row>
    <row r="19" spans="3:39" x14ac:dyDescent="0.3">
      <c r="C19" s="6"/>
      <c r="D19" s="6"/>
      <c r="E19" s="6"/>
      <c r="F19" s="6"/>
      <c r="G19" s="6"/>
      <c r="H19" s="6"/>
      <c r="J19" s="12"/>
      <c r="AF19" s="12"/>
      <c r="AG19" s="12"/>
      <c r="AK19" s="12"/>
      <c r="AL19" s="12"/>
      <c r="AM19" s="12"/>
    </row>
    <row r="20" spans="3:39" x14ac:dyDescent="0.3">
      <c r="C20" s="6"/>
      <c r="D20" s="6"/>
      <c r="E20" s="6"/>
      <c r="F20" s="6"/>
      <c r="G20" s="6"/>
      <c r="H20" s="6"/>
      <c r="J20" s="12"/>
      <c r="AF20" s="12"/>
      <c r="AG20" s="12"/>
      <c r="AK20" s="12"/>
      <c r="AL20" s="12"/>
      <c r="AM20" s="12"/>
    </row>
    <row r="21" spans="3:39" x14ac:dyDescent="0.3">
      <c r="C21" s="6"/>
      <c r="D21" s="6"/>
      <c r="E21" s="6"/>
      <c r="F21" s="6"/>
      <c r="G21" s="6"/>
      <c r="H21" s="6"/>
      <c r="J21" s="12"/>
      <c r="AF21" s="12"/>
      <c r="AG21" s="12"/>
      <c r="AK21" s="12"/>
      <c r="AL21" s="12"/>
      <c r="AM21" s="12"/>
    </row>
    <row r="22" spans="3:39" x14ac:dyDescent="0.3">
      <c r="C22" s="6"/>
      <c r="D22" s="6"/>
      <c r="E22" s="6"/>
      <c r="F22" s="6"/>
      <c r="G22" s="6"/>
      <c r="H22" s="6"/>
      <c r="J22" s="12"/>
      <c r="AF22" s="12"/>
      <c r="AG22" s="12"/>
      <c r="AK22" s="12"/>
      <c r="AL22" s="12"/>
      <c r="AM22" s="12"/>
    </row>
    <row r="23" spans="3:39" x14ac:dyDescent="0.3">
      <c r="C23" s="6"/>
      <c r="D23" s="6"/>
      <c r="E23" s="6"/>
      <c r="F23" s="6"/>
      <c r="G23" s="6"/>
      <c r="H23" s="6"/>
      <c r="J23" s="12"/>
      <c r="AF23" s="12"/>
      <c r="AG23" s="12"/>
      <c r="AK23" s="12"/>
      <c r="AL23" s="12"/>
      <c r="AM23" s="12"/>
    </row>
    <row r="24" spans="3:39" x14ac:dyDescent="0.3">
      <c r="C24" s="6"/>
      <c r="D24" s="6"/>
      <c r="E24" s="6"/>
      <c r="F24" s="6"/>
      <c r="G24" s="6"/>
      <c r="H24" s="6"/>
      <c r="J24" s="12"/>
      <c r="AF24" s="12"/>
      <c r="AG24" s="12"/>
      <c r="AK24" s="12"/>
      <c r="AL24" s="12"/>
      <c r="AM24" s="12"/>
    </row>
    <row r="25" spans="3:39" x14ac:dyDescent="0.3">
      <c r="C25" s="6"/>
      <c r="D25" s="6"/>
      <c r="E25" s="6"/>
      <c r="F25" s="6"/>
      <c r="G25" s="6"/>
      <c r="H25" s="6"/>
      <c r="J25" s="12"/>
      <c r="AF25" s="12"/>
      <c r="AG25" s="12"/>
      <c r="AK25" s="12"/>
      <c r="AL25" s="12"/>
      <c r="AM25" s="12"/>
    </row>
    <row r="26" spans="3:39" x14ac:dyDescent="0.3">
      <c r="C26" s="6"/>
      <c r="D26" s="6"/>
      <c r="E26" s="6"/>
      <c r="F26" s="6"/>
      <c r="G26" s="6"/>
      <c r="H26" s="6"/>
      <c r="J26" s="12"/>
      <c r="AF26" s="12"/>
      <c r="AG26" s="12"/>
      <c r="AK26" s="12"/>
      <c r="AL26" s="12"/>
      <c r="AM26" s="12"/>
    </row>
    <row r="27" spans="3:39" x14ac:dyDescent="0.3">
      <c r="C27" s="6"/>
      <c r="D27" s="6"/>
      <c r="E27" s="6"/>
      <c r="F27" s="6"/>
      <c r="G27" s="6"/>
      <c r="H27" s="6"/>
      <c r="J27" s="12"/>
      <c r="AF27" s="12"/>
      <c r="AG27" s="12"/>
      <c r="AK27" s="12"/>
      <c r="AL27" s="12"/>
      <c r="AM27" s="12"/>
    </row>
    <row r="28" spans="3:39" x14ac:dyDescent="0.3">
      <c r="C28" s="6"/>
      <c r="D28" s="6"/>
      <c r="E28" s="6"/>
      <c r="F28" s="6"/>
      <c r="G28" s="6"/>
      <c r="H28" s="6"/>
      <c r="J28" s="12"/>
      <c r="AF28" s="12"/>
      <c r="AG28" s="12"/>
      <c r="AK28" s="12"/>
      <c r="AL28" s="12"/>
      <c r="AM28" s="12"/>
    </row>
    <row r="29" spans="3:39" x14ac:dyDescent="0.3">
      <c r="C29" s="6"/>
      <c r="D29" s="6"/>
      <c r="E29" s="6"/>
      <c r="F29" s="6"/>
      <c r="G29" s="6"/>
      <c r="H29" s="6"/>
      <c r="J29" s="12"/>
      <c r="AF29" s="12"/>
      <c r="AG29" s="12"/>
      <c r="AK29" s="12"/>
      <c r="AL29" s="12"/>
      <c r="AM29" s="12"/>
    </row>
    <row r="30" spans="3:39" x14ac:dyDescent="0.3">
      <c r="C30" s="6"/>
      <c r="D30" s="6"/>
      <c r="E30" s="6"/>
      <c r="F30" s="6"/>
      <c r="G30" s="6"/>
      <c r="H30" s="6"/>
      <c r="J30" s="12"/>
      <c r="AF30" s="12"/>
      <c r="AG30" s="12"/>
      <c r="AK30" s="12"/>
      <c r="AL30" s="12"/>
      <c r="AM30" s="12"/>
    </row>
    <row r="31" spans="3:39" x14ac:dyDescent="0.3">
      <c r="C31" s="6"/>
      <c r="D31" s="6"/>
      <c r="E31" s="6"/>
      <c r="F31" s="6"/>
      <c r="G31" s="6"/>
      <c r="H31" s="6"/>
      <c r="J31" s="12"/>
    </row>
    <row r="32" spans="3:39" x14ac:dyDescent="0.3">
      <c r="C32" s="6"/>
      <c r="D32" s="6"/>
      <c r="E32" s="6"/>
      <c r="F32" s="6"/>
      <c r="G32" s="6"/>
      <c r="H32" s="6"/>
      <c r="J32" s="12"/>
    </row>
    <row r="33" spans="3:10" x14ac:dyDescent="0.3">
      <c r="C33" s="6"/>
      <c r="D33" s="6"/>
      <c r="E33" s="6"/>
      <c r="F33" s="6"/>
      <c r="G33" s="6"/>
      <c r="H33" s="6"/>
      <c r="J33" s="12"/>
    </row>
    <row r="34" spans="3:10" x14ac:dyDescent="0.3">
      <c r="C34" s="6"/>
      <c r="D34" s="6"/>
      <c r="E34" s="6"/>
      <c r="F34" s="6"/>
      <c r="G34" s="6"/>
      <c r="H34" s="6"/>
      <c r="J34" s="12"/>
    </row>
    <row r="35" spans="3:10" x14ac:dyDescent="0.3">
      <c r="C35" s="6"/>
      <c r="D35" s="6"/>
      <c r="E35" s="6"/>
      <c r="F35" s="6"/>
      <c r="G35" s="6"/>
      <c r="H35" s="6"/>
      <c r="J35" s="12"/>
    </row>
    <row r="36" spans="3:10" x14ac:dyDescent="0.3">
      <c r="C36" s="6"/>
      <c r="D36" s="6"/>
      <c r="E36" s="6"/>
      <c r="F36" s="6"/>
      <c r="G36" s="6"/>
      <c r="H36" s="6"/>
      <c r="J36" s="12"/>
    </row>
    <row r="37" spans="3:10" x14ac:dyDescent="0.3">
      <c r="C37" s="6"/>
      <c r="D37" s="6"/>
      <c r="E37" s="6"/>
      <c r="F37" s="6"/>
      <c r="G37" s="6"/>
      <c r="H37" s="6"/>
      <c r="J37" s="12"/>
    </row>
    <row r="38" spans="3:10" x14ac:dyDescent="0.3">
      <c r="C38" s="6"/>
      <c r="D38" s="6"/>
      <c r="E38" s="6"/>
      <c r="F38" s="6"/>
      <c r="G38" s="6"/>
      <c r="H38" s="6"/>
      <c r="J38" s="12"/>
    </row>
    <row r="39" spans="3:10" x14ac:dyDescent="0.3">
      <c r="C39" s="6"/>
      <c r="D39" s="6"/>
      <c r="E39" s="6"/>
      <c r="F39" s="6"/>
      <c r="G39" s="6"/>
      <c r="H39" s="6"/>
      <c r="J39" s="12"/>
    </row>
    <row r="40" spans="3:10" x14ac:dyDescent="0.3">
      <c r="C40" s="6"/>
      <c r="D40" s="6"/>
      <c r="E40" s="6"/>
      <c r="F40" s="6"/>
      <c r="G40" s="6"/>
      <c r="H40" s="6"/>
      <c r="J40" s="12"/>
    </row>
    <row r="41" spans="3:10" x14ac:dyDescent="0.3">
      <c r="C41" s="6"/>
      <c r="D41" s="6"/>
      <c r="E41" s="6"/>
      <c r="F41" s="6"/>
      <c r="G41" s="6"/>
      <c r="H41" s="6"/>
      <c r="J41" s="12"/>
    </row>
    <row r="42" spans="3:10" x14ac:dyDescent="0.3">
      <c r="C42" s="6"/>
      <c r="D42" s="6"/>
      <c r="E42" s="6"/>
      <c r="F42" s="6"/>
      <c r="G42" s="6"/>
      <c r="H42" s="6"/>
      <c r="J42" s="12"/>
    </row>
    <row r="43" spans="3:10" x14ac:dyDescent="0.3">
      <c r="C43" s="6"/>
      <c r="D43" s="6"/>
      <c r="E43" s="6"/>
      <c r="F43" s="6"/>
      <c r="G43" s="6"/>
      <c r="H43" s="6"/>
      <c r="J43" s="12"/>
    </row>
    <row r="44" spans="3:10" x14ac:dyDescent="0.3">
      <c r="C44" s="6"/>
      <c r="D44" s="6"/>
      <c r="E44" s="6"/>
      <c r="F44" s="6"/>
      <c r="G44" s="6"/>
      <c r="H44" s="6"/>
      <c r="J44" s="12"/>
    </row>
    <row r="45" spans="3:10" x14ac:dyDescent="0.3">
      <c r="C45" s="6"/>
      <c r="D45" s="6"/>
      <c r="E45" s="6"/>
      <c r="F45" s="6"/>
      <c r="G45" s="6"/>
      <c r="H45" s="6"/>
      <c r="J45" s="12"/>
    </row>
    <row r="46" spans="3:10" x14ac:dyDescent="0.3">
      <c r="C46" s="6"/>
      <c r="D46" s="6"/>
      <c r="E46" s="6"/>
      <c r="F46" s="6"/>
      <c r="G46" s="6"/>
      <c r="H46" s="6"/>
      <c r="J46" s="12"/>
    </row>
    <row r="47" spans="3:10" x14ac:dyDescent="0.3">
      <c r="C47" s="6"/>
      <c r="D47" s="6"/>
      <c r="E47" s="6"/>
      <c r="F47" s="6"/>
      <c r="G47" s="6"/>
      <c r="H47" s="6"/>
      <c r="J47" s="12"/>
    </row>
    <row r="48" spans="3:10" x14ac:dyDescent="0.3">
      <c r="C48" s="6"/>
      <c r="D48" s="6"/>
      <c r="E48" s="6"/>
      <c r="F48" s="6"/>
      <c r="G48" s="6"/>
      <c r="H48" s="6"/>
      <c r="J48" s="12"/>
    </row>
    <row r="49" spans="3:10" x14ac:dyDescent="0.3">
      <c r="C49" s="6"/>
      <c r="D49" s="6"/>
      <c r="E49" s="6"/>
      <c r="F49" s="6"/>
      <c r="G49" s="6"/>
      <c r="H49" s="6"/>
      <c r="J49" s="12"/>
    </row>
    <row r="50" spans="3:10" x14ac:dyDescent="0.3">
      <c r="C50" s="6"/>
      <c r="D50" s="6"/>
      <c r="E50" s="6"/>
      <c r="F50" s="6"/>
      <c r="G50" s="6"/>
      <c r="H50" s="6"/>
      <c r="J50" s="12"/>
    </row>
    <row r="51" spans="3:10" x14ac:dyDescent="0.3">
      <c r="C51" s="6"/>
      <c r="D51" s="6"/>
      <c r="E51" s="6"/>
      <c r="F51" s="6"/>
      <c r="G51" s="6"/>
      <c r="H51" s="6"/>
      <c r="J51" s="12"/>
    </row>
    <row r="52" spans="3:10" x14ac:dyDescent="0.3">
      <c r="C52" s="6"/>
      <c r="D52" s="6"/>
      <c r="E52" s="6"/>
      <c r="F52" s="6"/>
      <c r="G52" s="6"/>
      <c r="H52" s="6"/>
      <c r="J52" s="12"/>
    </row>
    <row r="53" spans="3:10" x14ac:dyDescent="0.3">
      <c r="C53" s="6"/>
      <c r="D53" s="6"/>
      <c r="E53" s="6"/>
      <c r="F53" s="6"/>
      <c r="G53" s="6"/>
      <c r="H53" s="6"/>
      <c r="J53" s="12"/>
    </row>
    <row r="54" spans="3:10" x14ac:dyDescent="0.3">
      <c r="C54" s="6"/>
      <c r="D54" s="6"/>
      <c r="E54" s="6"/>
      <c r="F54" s="6"/>
      <c r="G54" s="6"/>
      <c r="H54" s="6"/>
      <c r="J54" s="12"/>
    </row>
    <row r="55" spans="3:10" x14ac:dyDescent="0.3">
      <c r="C55" s="6"/>
      <c r="D55" s="6"/>
      <c r="E55" s="6"/>
      <c r="F55" s="6"/>
      <c r="G55" s="6"/>
      <c r="H55" s="6"/>
      <c r="J55" s="12"/>
    </row>
    <row r="56" spans="3:10" x14ac:dyDescent="0.3">
      <c r="C56" s="6"/>
      <c r="D56" s="6"/>
      <c r="E56" s="6"/>
      <c r="F56" s="6"/>
      <c r="G56" s="6"/>
      <c r="H56" s="6"/>
      <c r="J56" s="12"/>
    </row>
    <row r="57" spans="3:10" x14ac:dyDescent="0.3">
      <c r="C57" s="6"/>
      <c r="D57" s="6"/>
      <c r="E57" s="6"/>
      <c r="F57" s="6"/>
      <c r="G57" s="6"/>
      <c r="H57" s="6"/>
      <c r="J57" s="12"/>
    </row>
    <row r="58" spans="3:10" x14ac:dyDescent="0.3">
      <c r="C58" s="6"/>
      <c r="D58" s="6"/>
      <c r="E58" s="6"/>
      <c r="F58" s="6"/>
      <c r="G58" s="6"/>
      <c r="H58" s="6"/>
      <c r="J58" s="12"/>
    </row>
    <row r="59" spans="3:10" x14ac:dyDescent="0.3">
      <c r="C59" s="6"/>
      <c r="D59" s="6"/>
      <c r="E59" s="6"/>
      <c r="F59" s="6"/>
      <c r="G59" s="6"/>
      <c r="H59" s="6"/>
      <c r="J59" s="12"/>
    </row>
    <row r="60" spans="3:10" x14ac:dyDescent="0.3">
      <c r="C60" s="6"/>
      <c r="D60" s="6"/>
      <c r="E60" s="6"/>
      <c r="F60" s="6"/>
      <c r="G60" s="6"/>
      <c r="H60" s="6"/>
      <c r="J60" s="12"/>
    </row>
    <row r="61" spans="3:10" x14ac:dyDescent="0.3">
      <c r="C61" s="6"/>
      <c r="D61" s="6"/>
      <c r="E61" s="6"/>
      <c r="F61" s="6"/>
      <c r="G61" s="6"/>
      <c r="H61" s="6"/>
      <c r="J61" s="12"/>
    </row>
    <row r="62" spans="3:10" x14ac:dyDescent="0.3">
      <c r="C62" s="6"/>
      <c r="D62" s="6"/>
      <c r="E62" s="6"/>
      <c r="F62" s="6"/>
      <c r="G62" s="6"/>
      <c r="H62" s="6"/>
      <c r="J62" s="12"/>
    </row>
    <row r="63" spans="3:10" x14ac:dyDescent="0.3">
      <c r="C63" s="6"/>
      <c r="D63" s="6"/>
      <c r="E63" s="6"/>
      <c r="F63" s="6"/>
      <c r="G63" s="6"/>
      <c r="H63" s="6"/>
      <c r="J63" s="12"/>
    </row>
    <row r="64" spans="3:10" x14ac:dyDescent="0.3">
      <c r="C64" s="6"/>
      <c r="D64" s="6"/>
      <c r="E64" s="6"/>
      <c r="F64" s="6"/>
      <c r="G64" s="6"/>
      <c r="H64" s="6"/>
      <c r="J64" s="12"/>
    </row>
    <row r="65" spans="3:10" x14ac:dyDescent="0.3">
      <c r="C65" s="6"/>
      <c r="D65" s="6"/>
      <c r="E65" s="6"/>
      <c r="F65" s="6"/>
      <c r="G65" s="6"/>
      <c r="H65" s="6"/>
      <c r="J65" s="12"/>
    </row>
    <row r="66" spans="3:10" x14ac:dyDescent="0.3">
      <c r="C66" s="6"/>
      <c r="D66" s="6"/>
      <c r="E66" s="6"/>
      <c r="F66" s="6"/>
      <c r="G66" s="6"/>
      <c r="H66" s="6"/>
      <c r="J66" s="12"/>
    </row>
    <row r="67" spans="3:10" x14ac:dyDescent="0.3">
      <c r="C67" s="6"/>
      <c r="D67" s="6"/>
      <c r="E67" s="6"/>
      <c r="F67" s="6"/>
      <c r="G67" s="6"/>
      <c r="H67" s="6"/>
      <c r="J67" s="12"/>
    </row>
    <row r="68" spans="3:10" x14ac:dyDescent="0.3">
      <c r="C68" s="6"/>
      <c r="D68" s="6"/>
      <c r="E68" s="6"/>
      <c r="F68" s="6"/>
      <c r="G68" s="6"/>
      <c r="H68" s="6"/>
      <c r="J68" s="12"/>
    </row>
    <row r="69" spans="3:10" x14ac:dyDescent="0.3">
      <c r="C69" s="6"/>
      <c r="D69" s="6"/>
      <c r="E69" s="6"/>
      <c r="F69" s="6"/>
      <c r="G69" s="6"/>
      <c r="H69" s="6"/>
      <c r="J69" s="12"/>
    </row>
    <row r="70" spans="3:10" x14ac:dyDescent="0.3">
      <c r="C70" s="6"/>
      <c r="D70" s="6"/>
      <c r="E70" s="6"/>
      <c r="F70" s="6"/>
      <c r="G70" s="6"/>
      <c r="H70" s="6"/>
      <c r="J70" s="12"/>
    </row>
    <row r="71" spans="3:10" x14ac:dyDescent="0.3">
      <c r="C71" s="6"/>
      <c r="D71" s="6"/>
      <c r="E71" s="6"/>
      <c r="F71" s="6"/>
      <c r="G71" s="6"/>
      <c r="H71" s="6"/>
      <c r="J71" s="12"/>
    </row>
    <row r="72" spans="3:10" x14ac:dyDescent="0.3">
      <c r="C72" s="6"/>
      <c r="D72" s="6"/>
      <c r="E72" s="6"/>
      <c r="F72" s="6"/>
      <c r="G72" s="6"/>
      <c r="H72" s="6"/>
      <c r="J72" s="12"/>
    </row>
    <row r="73" spans="3:10" x14ac:dyDescent="0.3">
      <c r="C73" s="6"/>
      <c r="D73" s="6"/>
      <c r="E73" s="6"/>
      <c r="F73" s="6"/>
      <c r="G73" s="6"/>
      <c r="H73" s="6"/>
      <c r="J73" s="12"/>
    </row>
    <row r="74" spans="3:10" x14ac:dyDescent="0.3">
      <c r="C74" s="6"/>
      <c r="D74" s="6"/>
      <c r="E74" s="6"/>
      <c r="F74" s="6"/>
      <c r="G74" s="6"/>
      <c r="H74" s="6"/>
      <c r="J74" s="12"/>
    </row>
    <row r="75" spans="3:10" x14ac:dyDescent="0.3">
      <c r="C75" s="6"/>
      <c r="D75" s="6"/>
      <c r="E75" s="6"/>
      <c r="F75" s="6"/>
      <c r="G75" s="6"/>
      <c r="H75" s="6"/>
      <c r="J75" s="12"/>
    </row>
    <row r="76" spans="3:10" x14ac:dyDescent="0.3">
      <c r="C76" s="6"/>
      <c r="D76" s="6"/>
      <c r="E76" s="6"/>
      <c r="F76" s="6"/>
      <c r="G76" s="6"/>
      <c r="H76" s="6"/>
      <c r="J76" s="12"/>
    </row>
    <row r="77" spans="3:10" x14ac:dyDescent="0.3">
      <c r="C77" s="6"/>
      <c r="D77" s="6"/>
      <c r="E77" s="6"/>
      <c r="F77" s="6"/>
      <c r="G77" s="6"/>
      <c r="H77" s="6"/>
      <c r="J77" s="12"/>
    </row>
    <row r="78" spans="3:10" x14ac:dyDescent="0.3">
      <c r="C78" s="6"/>
      <c r="D78" s="6"/>
      <c r="E78" s="6"/>
      <c r="F78" s="6"/>
      <c r="G78" s="6"/>
      <c r="H78" s="6"/>
      <c r="J78" s="12"/>
    </row>
    <row r="79" spans="3:10" x14ac:dyDescent="0.3">
      <c r="C79" s="6"/>
      <c r="D79" s="6"/>
      <c r="E79" s="6"/>
      <c r="F79" s="6"/>
      <c r="G79" s="6"/>
      <c r="H79" s="6"/>
      <c r="J79" s="12"/>
    </row>
    <row r="80" spans="3:10" x14ac:dyDescent="0.3">
      <c r="C80" s="6"/>
      <c r="D80" s="6"/>
      <c r="E80" s="6"/>
      <c r="F80" s="6"/>
      <c r="G80" s="6"/>
      <c r="H80" s="6"/>
      <c r="J80" s="12"/>
    </row>
    <row r="81" spans="3:10" x14ac:dyDescent="0.3">
      <c r="C81" s="6"/>
      <c r="D81" s="6"/>
      <c r="E81" s="6"/>
      <c r="F81" s="6"/>
      <c r="G81" s="6"/>
      <c r="H81" s="6"/>
      <c r="J81" s="12"/>
    </row>
    <row r="82" spans="3:10" x14ac:dyDescent="0.3">
      <c r="C82" s="6"/>
      <c r="D82" s="6"/>
      <c r="E82" s="6"/>
      <c r="F82" s="6"/>
      <c r="G82" s="6"/>
      <c r="H82" s="6"/>
      <c r="J82" s="12"/>
    </row>
    <row r="83" spans="3:10" x14ac:dyDescent="0.3">
      <c r="C83" s="6"/>
      <c r="D83" s="6"/>
      <c r="E83" s="6"/>
      <c r="F83" s="6"/>
      <c r="G83" s="6"/>
      <c r="H83" s="6"/>
      <c r="J83" s="12"/>
    </row>
    <row r="84" spans="3:10" x14ac:dyDescent="0.3">
      <c r="C84" s="6"/>
      <c r="D84" s="6"/>
      <c r="E84" s="6"/>
      <c r="F84" s="6"/>
      <c r="G84" s="6"/>
      <c r="H84" s="6"/>
      <c r="J84" s="12"/>
    </row>
    <row r="85" spans="3:10" x14ac:dyDescent="0.3">
      <c r="C85" s="6"/>
      <c r="D85" s="6"/>
      <c r="E85" s="6"/>
      <c r="F85" s="6"/>
      <c r="G85" s="6"/>
      <c r="H85" s="6"/>
      <c r="J85" s="12"/>
    </row>
    <row r="86" spans="3:10" x14ac:dyDescent="0.3">
      <c r="C86" s="6"/>
      <c r="D86" s="6"/>
      <c r="E86" s="6"/>
      <c r="F86" s="6"/>
      <c r="G86" s="6"/>
      <c r="H86" s="6"/>
      <c r="J86" s="12"/>
    </row>
    <row r="87" spans="3:10" x14ac:dyDescent="0.3">
      <c r="C87" s="6"/>
      <c r="D87" s="6"/>
      <c r="E87" s="6"/>
      <c r="F87" s="6"/>
      <c r="G87" s="6"/>
      <c r="H87" s="6"/>
      <c r="J87" s="12"/>
    </row>
    <row r="88" spans="3:10" x14ac:dyDescent="0.3">
      <c r="C88" s="6"/>
      <c r="D88" s="6"/>
      <c r="E88" s="6"/>
      <c r="F88" s="6"/>
      <c r="G88" s="6"/>
      <c r="H88" s="6"/>
      <c r="J88" s="12"/>
    </row>
    <row r="89" spans="3:10" x14ac:dyDescent="0.3">
      <c r="C89" s="6"/>
      <c r="D89" s="6"/>
      <c r="E89" s="6"/>
      <c r="F89" s="6"/>
      <c r="G89" s="6"/>
      <c r="H89" s="6"/>
      <c r="J89" s="12"/>
    </row>
    <row r="90" spans="3:10" x14ac:dyDescent="0.3">
      <c r="C90" s="6"/>
      <c r="D90" s="6"/>
      <c r="E90" s="6"/>
      <c r="F90" s="6"/>
      <c r="G90" s="6"/>
      <c r="H90" s="6"/>
      <c r="J90" s="12"/>
    </row>
    <row r="91" spans="3:10" x14ac:dyDescent="0.3">
      <c r="C91" s="6"/>
      <c r="D91" s="6"/>
      <c r="E91" s="6"/>
      <c r="F91" s="6"/>
      <c r="G91" s="6"/>
      <c r="H91" s="6"/>
      <c r="J91" s="12"/>
    </row>
    <row r="92" spans="3:10" x14ac:dyDescent="0.3">
      <c r="C92" s="6"/>
      <c r="D92" s="6"/>
      <c r="E92" s="6"/>
      <c r="F92" s="6"/>
      <c r="G92" s="6"/>
      <c r="H92" s="6"/>
      <c r="J92" s="12"/>
    </row>
    <row r="93" spans="3:10" x14ac:dyDescent="0.3">
      <c r="C93" s="6"/>
      <c r="D93" s="6"/>
      <c r="E93" s="6"/>
      <c r="F93" s="6"/>
      <c r="G93" s="6"/>
      <c r="H93" s="6"/>
      <c r="J93" s="12"/>
    </row>
    <row r="94" spans="3:10" x14ac:dyDescent="0.3">
      <c r="C94" s="6"/>
      <c r="D94" s="6"/>
      <c r="E94" s="6"/>
      <c r="F94" s="6"/>
      <c r="G94" s="6"/>
      <c r="H94" s="6"/>
      <c r="J94" s="12"/>
    </row>
    <row r="95" spans="3:10" x14ac:dyDescent="0.3">
      <c r="C95" s="6"/>
      <c r="D95" s="6"/>
      <c r="E95" s="6"/>
      <c r="F95" s="6"/>
      <c r="G95" s="6"/>
      <c r="H95" s="6"/>
      <c r="J95" s="12"/>
    </row>
    <row r="96" spans="3:10" x14ac:dyDescent="0.3">
      <c r="C96" s="6"/>
      <c r="D96" s="6"/>
      <c r="E96" s="6"/>
      <c r="F96" s="6"/>
      <c r="G96" s="6"/>
      <c r="H96" s="6"/>
      <c r="J96" s="12"/>
    </row>
    <row r="97" spans="3:10" x14ac:dyDescent="0.3">
      <c r="C97" s="6"/>
      <c r="D97" s="6"/>
      <c r="E97" s="6"/>
      <c r="F97" s="6"/>
      <c r="G97" s="6"/>
      <c r="H97" s="6"/>
      <c r="J97" s="12"/>
    </row>
    <row r="98" spans="3:10" x14ac:dyDescent="0.3">
      <c r="C98" s="6"/>
      <c r="D98" s="6"/>
      <c r="E98" s="6"/>
      <c r="F98" s="6"/>
      <c r="G98" s="6"/>
      <c r="H98" s="6"/>
      <c r="J98" s="12"/>
    </row>
    <row r="99" spans="3:10" x14ac:dyDescent="0.3">
      <c r="C99" s="6"/>
      <c r="D99" s="6"/>
      <c r="E99" s="6"/>
      <c r="F99" s="6"/>
      <c r="G99" s="6"/>
      <c r="H99" s="6"/>
      <c r="J99" s="12"/>
    </row>
    <row r="100" spans="3:10" x14ac:dyDescent="0.3">
      <c r="C100" s="6"/>
      <c r="D100" s="6"/>
      <c r="E100" s="6"/>
      <c r="F100" s="6"/>
      <c r="G100" s="6"/>
      <c r="H100" s="6"/>
      <c r="J100" s="12"/>
    </row>
  </sheetData>
  <mergeCells count="5">
    <mergeCell ref="AJ2:AO2"/>
    <mergeCell ref="M2:S2"/>
    <mergeCell ref="V2:AB2"/>
    <mergeCell ref="B2:J2"/>
    <mergeCell ref="AE2:AH2"/>
  </mergeCells>
  <dataValidations count="4">
    <dataValidation type="list" allowBlank="1" showInputMessage="1" showErrorMessage="1" sqref="M21" xr:uid="{F8A54709-A6AF-4BE5-8A83-74AFB10B15EF}">
      <formula1>"DeathGuard,Space Marines,Drukhari, Daemons, T'Au, Imperial Guard, Sisters of Battle, Thousand Sons"</formula1>
    </dataValidation>
    <dataValidation type="list" allowBlank="1" showInputMessage="1" showErrorMessage="1" sqref="J4:J100" xr:uid="{7339B0DA-D506-470F-BE06-2731DDC0EEC9}">
      <formula1>"Ranged,Melee"</formula1>
    </dataValidation>
    <dataValidation type="list" allowBlank="1" showInputMessage="1" showErrorMessage="1" sqref="AF4:AF30 AL4:AL30" xr:uid="{6BFC604B-D0D4-4840-9123-D9C3D17BE3D6}">
      <formula1>"Attacker,Target"</formula1>
    </dataValidation>
    <dataValidation type="list" allowBlank="1" showInputMessage="1" showErrorMessage="1" sqref="AG4:AG30 AM4:AM30" xr:uid="{FDBC4F0D-9B30-47F5-BFE1-346792510976}">
      <formula1>"Shooting,Fighting,Both"</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620F9-EAE7-4A5C-ADCD-A5853B1BB364}">
  <dimension ref="B2:N73"/>
  <sheetViews>
    <sheetView workbookViewId="0">
      <pane ySplit="2" topLeftCell="A19" activePane="bottomLeft" state="frozen"/>
      <selection pane="bottomLeft" activeCell="BD19" sqref="BD1:BD1048576"/>
    </sheetView>
  </sheetViews>
  <sheetFormatPr defaultRowHeight="14.4" x14ac:dyDescent="0.3"/>
  <cols>
    <col min="2" max="2" width="20.33203125" customWidth="1"/>
    <col min="3" max="3" width="11.109375" customWidth="1"/>
    <col min="4" max="4" width="11.44140625" customWidth="1"/>
    <col min="5" max="5" width="24.109375" customWidth="1"/>
    <col min="6" max="6" width="70.33203125" customWidth="1"/>
    <col min="7" max="7" width="15.77734375" customWidth="1"/>
    <col min="8" max="8" width="17.109375" customWidth="1"/>
    <col min="9" max="9" width="10.21875" customWidth="1"/>
    <col min="10" max="10" width="3.6640625" customWidth="1"/>
    <col min="11" max="11" width="70.33203125" customWidth="1"/>
    <col min="12" max="12" width="38.88671875" customWidth="1"/>
    <col min="14" max="14" width="22.21875" customWidth="1"/>
  </cols>
  <sheetData>
    <row r="2" spans="2:14" x14ac:dyDescent="0.3">
      <c r="B2" s="15" t="s">
        <v>44</v>
      </c>
      <c r="C2" s="15" t="s">
        <v>45</v>
      </c>
      <c r="D2" s="15" t="s">
        <v>46</v>
      </c>
      <c r="E2" s="15" t="s">
        <v>47</v>
      </c>
      <c r="F2" s="15" t="s">
        <v>48</v>
      </c>
      <c r="G2" s="15" t="s">
        <v>49</v>
      </c>
      <c r="H2" s="15" t="s">
        <v>50</v>
      </c>
      <c r="I2" s="15" t="s">
        <v>51</v>
      </c>
      <c r="K2" s="18" t="s">
        <v>183</v>
      </c>
      <c r="L2" s="18"/>
      <c r="N2" s="14" t="s">
        <v>36</v>
      </c>
    </row>
    <row r="3" spans="2:14" x14ac:dyDescent="0.3">
      <c r="B3" s="5" t="s">
        <v>52</v>
      </c>
      <c r="C3" s="6" t="s">
        <v>2</v>
      </c>
      <c r="D3" s="6" t="s">
        <v>53</v>
      </c>
      <c r="E3" s="5" t="s">
        <v>54</v>
      </c>
      <c r="F3" s="16" t="s">
        <v>55</v>
      </c>
      <c r="G3" s="6" t="s">
        <v>56</v>
      </c>
      <c r="H3" s="6" t="s">
        <v>57</v>
      </c>
      <c r="I3" s="17" t="s">
        <v>143</v>
      </c>
      <c r="K3" s="19" t="s">
        <v>184</v>
      </c>
      <c r="L3" s="19" t="s">
        <v>185</v>
      </c>
      <c r="N3" t="s">
        <v>37</v>
      </c>
    </row>
    <row r="4" spans="2:14" x14ac:dyDescent="0.3">
      <c r="B4" s="5" t="s">
        <v>58</v>
      </c>
      <c r="C4" s="6" t="s">
        <v>2</v>
      </c>
      <c r="D4" s="6" t="s">
        <v>40</v>
      </c>
      <c r="E4" s="5" t="s">
        <v>58</v>
      </c>
      <c r="F4" s="16" t="s">
        <v>59</v>
      </c>
      <c r="G4" s="6" t="s">
        <v>60</v>
      </c>
      <c r="H4" s="6" t="s">
        <v>61</v>
      </c>
      <c r="I4" s="17" t="s">
        <v>144</v>
      </c>
      <c r="K4" t="s">
        <v>186</v>
      </c>
      <c r="L4" t="s">
        <v>187</v>
      </c>
      <c r="N4" t="s">
        <v>41</v>
      </c>
    </row>
    <row r="5" spans="2:14" x14ac:dyDescent="0.3">
      <c r="B5" s="5" t="s">
        <v>11</v>
      </c>
      <c r="C5" s="6" t="s">
        <v>2</v>
      </c>
      <c r="D5" s="6" t="s">
        <v>40</v>
      </c>
      <c r="E5" s="5" t="s">
        <v>62</v>
      </c>
      <c r="F5" s="16" t="s">
        <v>63</v>
      </c>
      <c r="G5" s="6" t="s">
        <v>64</v>
      </c>
      <c r="H5" s="6" t="s">
        <v>57</v>
      </c>
      <c r="I5" s="17" t="s">
        <v>145</v>
      </c>
      <c r="K5" t="s">
        <v>188</v>
      </c>
      <c r="L5" t="s">
        <v>180</v>
      </c>
      <c r="N5" t="s">
        <v>441</v>
      </c>
    </row>
    <row r="6" spans="2:14" x14ac:dyDescent="0.3">
      <c r="B6" s="5" t="s">
        <v>65</v>
      </c>
      <c r="C6" s="6" t="s">
        <v>2</v>
      </c>
      <c r="D6" s="6" t="s">
        <v>66</v>
      </c>
      <c r="E6" s="5" t="s">
        <v>67</v>
      </c>
      <c r="F6" s="16" t="s">
        <v>68</v>
      </c>
      <c r="G6" s="6" t="s">
        <v>64</v>
      </c>
      <c r="H6" s="6" t="s">
        <v>57</v>
      </c>
      <c r="I6" s="17" t="s">
        <v>146</v>
      </c>
      <c r="K6" t="s">
        <v>189</v>
      </c>
      <c r="L6" t="s">
        <v>190</v>
      </c>
      <c r="N6" t="s">
        <v>442</v>
      </c>
    </row>
    <row r="7" spans="2:14" ht="28.8" x14ac:dyDescent="0.3">
      <c r="B7" s="5" t="s">
        <v>69</v>
      </c>
      <c r="C7" s="6" t="s">
        <v>2</v>
      </c>
      <c r="D7" s="6" t="s">
        <v>40</v>
      </c>
      <c r="E7" s="5" t="s">
        <v>69</v>
      </c>
      <c r="F7" s="16" t="s">
        <v>70</v>
      </c>
      <c r="G7" s="6" t="s">
        <v>60</v>
      </c>
      <c r="H7" s="6" t="s">
        <v>61</v>
      </c>
      <c r="I7" s="17" t="s">
        <v>147</v>
      </c>
      <c r="K7" t="s">
        <v>191</v>
      </c>
      <c r="L7" t="s">
        <v>192</v>
      </c>
      <c r="N7" t="s">
        <v>443</v>
      </c>
    </row>
    <row r="8" spans="2:14" ht="28.8" x14ac:dyDescent="0.3">
      <c r="B8" s="5" t="s">
        <v>71</v>
      </c>
      <c r="C8" s="6" t="s">
        <v>2</v>
      </c>
      <c r="D8" s="6" t="s">
        <v>53</v>
      </c>
      <c r="E8" s="5" t="s">
        <v>71</v>
      </c>
      <c r="F8" s="16" t="s">
        <v>72</v>
      </c>
      <c r="G8" s="6" t="s">
        <v>73</v>
      </c>
      <c r="H8" s="6" t="s">
        <v>57</v>
      </c>
      <c r="I8" s="17" t="s">
        <v>148</v>
      </c>
      <c r="K8" t="s">
        <v>193</v>
      </c>
      <c r="L8" t="s">
        <v>194</v>
      </c>
      <c r="N8" t="s">
        <v>444</v>
      </c>
    </row>
    <row r="9" spans="2:14" x14ac:dyDescent="0.3">
      <c r="B9" s="5" t="s">
        <v>74</v>
      </c>
      <c r="C9" s="6" t="s">
        <v>2</v>
      </c>
      <c r="D9" s="6" t="s">
        <v>66</v>
      </c>
      <c r="E9" s="5" t="s">
        <v>74</v>
      </c>
      <c r="F9" s="16" t="s">
        <v>75</v>
      </c>
      <c r="G9" s="6" t="s">
        <v>60</v>
      </c>
      <c r="H9" s="6" t="s">
        <v>61</v>
      </c>
      <c r="I9" s="17" t="s">
        <v>149</v>
      </c>
      <c r="K9" t="s">
        <v>195</v>
      </c>
      <c r="L9" t="s">
        <v>196</v>
      </c>
      <c r="N9" t="s">
        <v>445</v>
      </c>
    </row>
    <row r="10" spans="2:14" x14ac:dyDescent="0.3">
      <c r="B10" s="5" t="s">
        <v>76</v>
      </c>
      <c r="C10" s="6" t="s">
        <v>2</v>
      </c>
      <c r="D10" s="6" t="s">
        <v>53</v>
      </c>
      <c r="E10" s="5" t="s">
        <v>76</v>
      </c>
      <c r="F10" s="16" t="s">
        <v>77</v>
      </c>
      <c r="G10" s="6" t="s">
        <v>60</v>
      </c>
      <c r="H10" s="6" t="s">
        <v>61</v>
      </c>
      <c r="I10" s="17" t="s">
        <v>150</v>
      </c>
      <c r="K10" t="s">
        <v>252</v>
      </c>
      <c r="L10" t="s">
        <v>253</v>
      </c>
      <c r="N10" t="s">
        <v>446</v>
      </c>
    </row>
    <row r="11" spans="2:14" ht="15" customHeight="1" x14ac:dyDescent="0.3">
      <c r="B11" s="5" t="s">
        <v>78</v>
      </c>
      <c r="C11" s="6" t="s">
        <v>2</v>
      </c>
      <c r="D11" s="6" t="s">
        <v>40</v>
      </c>
      <c r="E11" s="5" t="s">
        <v>78</v>
      </c>
      <c r="F11" s="16" t="s">
        <v>79</v>
      </c>
      <c r="G11" s="6" t="s">
        <v>80</v>
      </c>
      <c r="H11" s="6" t="s">
        <v>57</v>
      </c>
      <c r="I11" s="17" t="s">
        <v>151</v>
      </c>
      <c r="K11" t="s">
        <v>254</v>
      </c>
      <c r="L11" t="s">
        <v>255</v>
      </c>
    </row>
    <row r="12" spans="2:14" ht="28.8" x14ac:dyDescent="0.3">
      <c r="B12" s="5" t="s">
        <v>81</v>
      </c>
      <c r="C12" s="6" t="s">
        <v>2</v>
      </c>
      <c r="D12" s="6" t="s">
        <v>40</v>
      </c>
      <c r="E12" s="5" t="s">
        <v>81</v>
      </c>
      <c r="F12" s="16" t="s">
        <v>366</v>
      </c>
      <c r="G12" s="6" t="s">
        <v>80</v>
      </c>
      <c r="H12" s="6" t="s">
        <v>57</v>
      </c>
      <c r="I12" s="17" t="s">
        <v>152</v>
      </c>
      <c r="K12" s="31" t="s">
        <v>398</v>
      </c>
      <c r="L12" s="31" t="s">
        <v>399</v>
      </c>
    </row>
    <row r="13" spans="2:14" x14ac:dyDescent="0.3">
      <c r="B13" s="5" t="s">
        <v>82</v>
      </c>
      <c r="C13" s="6" t="s">
        <v>2</v>
      </c>
      <c r="D13" s="6" t="s">
        <v>40</v>
      </c>
      <c r="E13" s="5" t="s">
        <v>82</v>
      </c>
      <c r="F13" s="16" t="s">
        <v>83</v>
      </c>
      <c r="G13" s="6" t="s">
        <v>60</v>
      </c>
      <c r="H13" s="6" t="s">
        <v>61</v>
      </c>
      <c r="I13" s="17" t="s">
        <v>153</v>
      </c>
      <c r="K13" s="31" t="s">
        <v>400</v>
      </c>
      <c r="L13" s="31" t="s">
        <v>401</v>
      </c>
    </row>
    <row r="14" spans="2:14" ht="28.8" x14ac:dyDescent="0.3">
      <c r="B14" s="5" t="s">
        <v>84</v>
      </c>
      <c r="C14" s="6" t="s">
        <v>2</v>
      </c>
      <c r="D14" s="6" t="s">
        <v>53</v>
      </c>
      <c r="E14" s="5" t="s">
        <v>84</v>
      </c>
      <c r="F14" s="16" t="s">
        <v>85</v>
      </c>
      <c r="G14" s="6" t="s">
        <v>56</v>
      </c>
      <c r="H14" s="6" t="s">
        <v>57</v>
      </c>
      <c r="I14" s="17" t="s">
        <v>154</v>
      </c>
      <c r="K14" s="31" t="s">
        <v>402</v>
      </c>
      <c r="L14" s="31" t="s">
        <v>403</v>
      </c>
    </row>
    <row r="15" spans="2:14" x14ac:dyDescent="0.3">
      <c r="B15" s="5" t="s">
        <v>86</v>
      </c>
      <c r="C15" s="6" t="s">
        <v>2</v>
      </c>
      <c r="D15" s="6" t="s">
        <v>53</v>
      </c>
      <c r="E15" s="5" t="s">
        <v>86</v>
      </c>
      <c r="F15" s="16" t="s">
        <v>87</v>
      </c>
      <c r="G15" s="6" t="s">
        <v>80</v>
      </c>
      <c r="H15" s="6" t="s">
        <v>57</v>
      </c>
      <c r="I15" s="17" t="s">
        <v>155</v>
      </c>
    </row>
    <row r="16" spans="2:14" x14ac:dyDescent="0.3">
      <c r="B16" s="5" t="s">
        <v>88</v>
      </c>
      <c r="C16" s="6" t="s">
        <v>2</v>
      </c>
      <c r="D16" s="6" t="s">
        <v>40</v>
      </c>
      <c r="E16" s="5" t="s">
        <v>89</v>
      </c>
      <c r="F16" s="16" t="s">
        <v>90</v>
      </c>
      <c r="G16" s="6" t="s">
        <v>91</v>
      </c>
      <c r="H16" s="6" t="s">
        <v>57</v>
      </c>
      <c r="I16" s="17" t="s">
        <v>156</v>
      </c>
    </row>
    <row r="17" spans="2:9" x14ac:dyDescent="0.3">
      <c r="B17" s="5" t="s">
        <v>92</v>
      </c>
      <c r="C17" s="6" t="s">
        <v>2</v>
      </c>
      <c r="D17" s="6" t="s">
        <v>53</v>
      </c>
      <c r="E17" s="5" t="s">
        <v>92</v>
      </c>
      <c r="F17" s="16" t="s">
        <v>93</v>
      </c>
      <c r="G17" s="6" t="s">
        <v>60</v>
      </c>
      <c r="H17" s="6" t="s">
        <v>61</v>
      </c>
      <c r="I17" s="17" t="s">
        <v>157</v>
      </c>
    </row>
    <row r="18" spans="2:9" x14ac:dyDescent="0.3">
      <c r="B18" s="5" t="s">
        <v>94</v>
      </c>
      <c r="C18" s="6" t="s">
        <v>2</v>
      </c>
      <c r="D18" s="6" t="s">
        <v>40</v>
      </c>
      <c r="E18" s="5" t="s">
        <v>94</v>
      </c>
      <c r="F18" s="16" t="s">
        <v>95</v>
      </c>
      <c r="G18" s="6" t="s">
        <v>60</v>
      </c>
      <c r="H18" s="6" t="s">
        <v>61</v>
      </c>
      <c r="I18" s="17" t="s">
        <v>158</v>
      </c>
    </row>
    <row r="19" spans="2:9" x14ac:dyDescent="0.3">
      <c r="B19" s="5" t="s">
        <v>96</v>
      </c>
      <c r="C19" s="6" t="s">
        <v>2</v>
      </c>
      <c r="D19" s="6" t="s">
        <v>53</v>
      </c>
      <c r="E19" s="5" t="s">
        <v>96</v>
      </c>
      <c r="F19" s="16" t="s">
        <v>97</v>
      </c>
      <c r="G19" s="6" t="s">
        <v>60</v>
      </c>
      <c r="H19" s="6" t="s">
        <v>61</v>
      </c>
      <c r="I19" s="17" t="s">
        <v>159</v>
      </c>
    </row>
    <row r="20" spans="2:9" ht="28.8" x14ac:dyDescent="0.3">
      <c r="B20" s="5" t="s">
        <v>98</v>
      </c>
      <c r="C20" s="6" t="s">
        <v>2</v>
      </c>
      <c r="D20" s="6" t="s">
        <v>53</v>
      </c>
      <c r="E20" s="5" t="s">
        <v>98</v>
      </c>
      <c r="F20" s="16" t="s">
        <v>369</v>
      </c>
      <c r="G20" s="6" t="s">
        <v>80</v>
      </c>
      <c r="H20" s="6" t="s">
        <v>57</v>
      </c>
      <c r="I20" s="17" t="s">
        <v>160</v>
      </c>
    </row>
    <row r="21" spans="2:9" x14ac:dyDescent="0.3">
      <c r="B21" s="5" t="s">
        <v>99</v>
      </c>
      <c r="C21" s="6" t="s">
        <v>2</v>
      </c>
      <c r="D21" s="6" t="s">
        <v>40</v>
      </c>
      <c r="E21" s="5" t="s">
        <v>100</v>
      </c>
      <c r="F21" s="16" t="s">
        <v>101</v>
      </c>
      <c r="G21" s="6" t="s">
        <v>64</v>
      </c>
      <c r="H21" s="6" t="s">
        <v>57</v>
      </c>
      <c r="I21" s="17" t="s">
        <v>161</v>
      </c>
    </row>
    <row r="22" spans="2:9" x14ac:dyDescent="0.3">
      <c r="B22" s="5" t="s">
        <v>102</v>
      </c>
      <c r="C22" s="6" t="s">
        <v>2</v>
      </c>
      <c r="D22" s="6" t="s">
        <v>53</v>
      </c>
      <c r="E22" s="5" t="s">
        <v>103</v>
      </c>
      <c r="F22" s="16" t="s">
        <v>104</v>
      </c>
      <c r="G22" s="6" t="s">
        <v>80</v>
      </c>
      <c r="H22" s="6" t="s">
        <v>57</v>
      </c>
      <c r="I22" s="17" t="s">
        <v>162</v>
      </c>
    </row>
    <row r="23" spans="2:9" x14ac:dyDescent="0.3">
      <c r="B23" s="5" t="s">
        <v>105</v>
      </c>
      <c r="C23" s="6" t="s">
        <v>2</v>
      </c>
      <c r="D23" s="6" t="s">
        <v>40</v>
      </c>
      <c r="E23" s="5" t="s">
        <v>105</v>
      </c>
      <c r="F23" s="16" t="s">
        <v>106</v>
      </c>
      <c r="G23" s="6" t="s">
        <v>80</v>
      </c>
      <c r="H23" s="6" t="s">
        <v>57</v>
      </c>
      <c r="I23" s="17" t="s">
        <v>163</v>
      </c>
    </row>
    <row r="24" spans="2:9" x14ac:dyDescent="0.3">
      <c r="B24" s="5" t="s">
        <v>107</v>
      </c>
      <c r="C24" s="6" t="s">
        <v>2</v>
      </c>
      <c r="D24" s="6" t="s">
        <v>53</v>
      </c>
      <c r="E24" s="5" t="s">
        <v>107</v>
      </c>
      <c r="F24" s="16" t="s">
        <v>108</v>
      </c>
      <c r="G24" s="6" t="s">
        <v>56</v>
      </c>
      <c r="H24" s="6" t="s">
        <v>57</v>
      </c>
      <c r="I24" s="17" t="s">
        <v>164</v>
      </c>
    </row>
    <row r="25" spans="2:9" x14ac:dyDescent="0.3">
      <c r="B25" s="5" t="s">
        <v>109</v>
      </c>
      <c r="C25" s="6" t="s">
        <v>110</v>
      </c>
      <c r="D25" s="6" t="s">
        <v>14</v>
      </c>
      <c r="E25" s="5" t="s">
        <v>111</v>
      </c>
      <c r="F25" s="16" t="s">
        <v>112</v>
      </c>
      <c r="G25" s="6" t="s">
        <v>80</v>
      </c>
      <c r="H25" s="6" t="s">
        <v>57</v>
      </c>
      <c r="I25" s="17" t="s">
        <v>165</v>
      </c>
    </row>
    <row r="26" spans="2:9" x14ac:dyDescent="0.3">
      <c r="B26" s="5" t="s">
        <v>113</v>
      </c>
      <c r="C26" s="6" t="s">
        <v>110</v>
      </c>
      <c r="D26" s="6" t="s">
        <v>14</v>
      </c>
      <c r="E26" s="5" t="s">
        <v>114</v>
      </c>
      <c r="F26" s="16" t="s">
        <v>115</v>
      </c>
      <c r="G26" s="6" t="s">
        <v>60</v>
      </c>
      <c r="H26" s="6" t="s">
        <v>61</v>
      </c>
      <c r="I26" s="17" t="s">
        <v>166</v>
      </c>
    </row>
    <row r="27" spans="2:9" x14ac:dyDescent="0.3">
      <c r="B27" s="5" t="s">
        <v>116</v>
      </c>
      <c r="C27" s="6" t="s">
        <v>110</v>
      </c>
      <c r="D27" s="6" t="s">
        <v>14</v>
      </c>
      <c r="E27" s="5" t="s">
        <v>116</v>
      </c>
      <c r="F27" s="16" t="s">
        <v>117</v>
      </c>
      <c r="G27" s="6" t="s">
        <v>60</v>
      </c>
      <c r="H27" s="6" t="s">
        <v>61</v>
      </c>
      <c r="I27" s="17" t="s">
        <v>167</v>
      </c>
    </row>
    <row r="28" spans="2:9" x14ac:dyDescent="0.3">
      <c r="B28" s="5" t="s">
        <v>118</v>
      </c>
      <c r="C28" s="6" t="s">
        <v>110</v>
      </c>
      <c r="D28" s="6" t="s">
        <v>14</v>
      </c>
      <c r="E28" s="5" t="s">
        <v>119</v>
      </c>
      <c r="F28" s="16" t="s">
        <v>120</v>
      </c>
      <c r="G28" s="6" t="s">
        <v>91</v>
      </c>
      <c r="H28" s="6" t="s">
        <v>57</v>
      </c>
      <c r="I28" s="17" t="s">
        <v>168</v>
      </c>
    </row>
    <row r="29" spans="2:9" x14ac:dyDescent="0.3">
      <c r="B29" s="5" t="s">
        <v>121</v>
      </c>
      <c r="C29" s="6" t="s">
        <v>110</v>
      </c>
      <c r="D29" s="6" t="s">
        <v>14</v>
      </c>
      <c r="E29" s="5" t="s">
        <v>121</v>
      </c>
      <c r="F29" s="16" t="s">
        <v>122</v>
      </c>
      <c r="G29" s="6" t="s">
        <v>60</v>
      </c>
      <c r="H29" s="6" t="s">
        <v>61</v>
      </c>
      <c r="I29" s="17" t="s">
        <v>169</v>
      </c>
    </row>
    <row r="30" spans="2:9" x14ac:dyDescent="0.3">
      <c r="B30" s="5" t="s">
        <v>123</v>
      </c>
      <c r="C30" s="6" t="s">
        <v>110</v>
      </c>
      <c r="D30" s="6" t="s">
        <v>14</v>
      </c>
      <c r="E30" s="5" t="s">
        <v>124</v>
      </c>
      <c r="F30" s="16" t="s">
        <v>125</v>
      </c>
      <c r="G30" s="6" t="s">
        <v>60</v>
      </c>
      <c r="H30" s="6" t="s">
        <v>61</v>
      </c>
      <c r="I30" s="17" t="s">
        <v>170</v>
      </c>
    </row>
    <row r="31" spans="2:9" x14ac:dyDescent="0.3">
      <c r="B31" s="5" t="s">
        <v>126</v>
      </c>
      <c r="C31" s="6" t="s">
        <v>110</v>
      </c>
      <c r="D31" s="6" t="s">
        <v>14</v>
      </c>
      <c r="E31" s="5" t="s">
        <v>126</v>
      </c>
      <c r="F31" s="16" t="s">
        <v>127</v>
      </c>
      <c r="G31" s="6" t="s">
        <v>60</v>
      </c>
      <c r="H31" s="6" t="s">
        <v>61</v>
      </c>
      <c r="I31" s="17" t="s">
        <v>171</v>
      </c>
    </row>
    <row r="32" spans="2:9" x14ac:dyDescent="0.3">
      <c r="B32" s="5" t="s">
        <v>128</v>
      </c>
      <c r="C32" s="6" t="s">
        <v>110</v>
      </c>
      <c r="D32" s="6" t="s">
        <v>14</v>
      </c>
      <c r="E32" s="5" t="s">
        <v>128</v>
      </c>
      <c r="F32" s="16" t="s">
        <v>129</v>
      </c>
      <c r="G32" s="6" t="s">
        <v>60</v>
      </c>
      <c r="H32" s="6" t="s">
        <v>61</v>
      </c>
      <c r="I32" s="17" t="s">
        <v>172</v>
      </c>
    </row>
    <row r="33" spans="2:9" x14ac:dyDescent="0.3">
      <c r="B33" s="5" t="s">
        <v>130</v>
      </c>
      <c r="C33" s="6" t="s">
        <v>110</v>
      </c>
      <c r="D33" s="6" t="s">
        <v>14</v>
      </c>
      <c r="E33" s="5" t="s">
        <v>130</v>
      </c>
      <c r="F33" s="16" t="s">
        <v>131</v>
      </c>
      <c r="G33" s="6" t="s">
        <v>60</v>
      </c>
      <c r="H33" s="6" t="s">
        <v>61</v>
      </c>
      <c r="I33" s="17" t="s">
        <v>173</v>
      </c>
    </row>
    <row r="34" spans="2:9" x14ac:dyDescent="0.3">
      <c r="B34" s="5" t="s">
        <v>132</v>
      </c>
      <c r="C34" s="6" t="s">
        <v>110</v>
      </c>
      <c r="D34" s="6" t="s">
        <v>14</v>
      </c>
      <c r="E34" s="5" t="s">
        <v>133</v>
      </c>
      <c r="F34" s="16" t="s">
        <v>134</v>
      </c>
      <c r="G34" s="6" t="s">
        <v>60</v>
      </c>
      <c r="H34" s="6" t="s">
        <v>61</v>
      </c>
      <c r="I34" s="17" t="s">
        <v>174</v>
      </c>
    </row>
    <row r="35" spans="2:9" x14ac:dyDescent="0.3">
      <c r="B35" s="5" t="s">
        <v>135</v>
      </c>
      <c r="C35" s="6" t="s">
        <v>110</v>
      </c>
      <c r="D35" s="6" t="s">
        <v>14</v>
      </c>
      <c r="E35" s="5" t="s">
        <v>136</v>
      </c>
      <c r="F35" s="16" t="s">
        <v>137</v>
      </c>
      <c r="G35" s="6" t="s">
        <v>60</v>
      </c>
      <c r="H35" s="6" t="s">
        <v>61</v>
      </c>
      <c r="I35" s="17" t="s">
        <v>175</v>
      </c>
    </row>
    <row r="36" spans="2:9" ht="28.8" x14ac:dyDescent="0.3">
      <c r="B36" s="5" t="s">
        <v>138</v>
      </c>
      <c r="C36" s="6" t="s">
        <v>110</v>
      </c>
      <c r="D36" s="6" t="s">
        <v>14</v>
      </c>
      <c r="E36" s="5" t="s">
        <v>138</v>
      </c>
      <c r="F36" s="16" t="s">
        <v>365</v>
      </c>
      <c r="G36" s="6" t="s">
        <v>80</v>
      </c>
      <c r="H36" s="6" t="s">
        <v>57</v>
      </c>
      <c r="I36" s="17" t="s">
        <v>176</v>
      </c>
    </row>
    <row r="37" spans="2:9" x14ac:dyDescent="0.3">
      <c r="B37" s="5" t="s">
        <v>139</v>
      </c>
      <c r="C37" s="6" t="s">
        <v>110</v>
      </c>
      <c r="D37" s="6" t="s">
        <v>14</v>
      </c>
      <c r="E37" s="5" t="s">
        <v>139</v>
      </c>
      <c r="F37" s="16" t="s">
        <v>140</v>
      </c>
      <c r="G37" s="6" t="s">
        <v>60</v>
      </c>
      <c r="H37" s="6" t="s">
        <v>61</v>
      </c>
      <c r="I37" s="17" t="s">
        <v>177</v>
      </c>
    </row>
    <row r="38" spans="2:9" x14ac:dyDescent="0.3">
      <c r="B38" s="5" t="s">
        <v>141</v>
      </c>
      <c r="C38" s="6" t="s">
        <v>110</v>
      </c>
      <c r="D38" s="6" t="s">
        <v>14</v>
      </c>
      <c r="E38" s="5" t="s">
        <v>141</v>
      </c>
      <c r="F38" s="16" t="s">
        <v>142</v>
      </c>
      <c r="G38" s="6" t="s">
        <v>60</v>
      </c>
      <c r="H38" s="6" t="s">
        <v>61</v>
      </c>
      <c r="I38" s="17" t="s">
        <v>178</v>
      </c>
    </row>
    <row r="39" spans="2:9" x14ac:dyDescent="0.3">
      <c r="B39" s="5" t="s">
        <v>227</v>
      </c>
      <c r="C39" s="6" t="s">
        <v>228</v>
      </c>
      <c r="D39" s="6" t="s">
        <v>53</v>
      </c>
      <c r="E39" s="5" t="s">
        <v>229</v>
      </c>
      <c r="F39" s="16" t="s">
        <v>230</v>
      </c>
      <c r="G39" s="6" t="s">
        <v>80</v>
      </c>
      <c r="H39" s="6" t="s">
        <v>57</v>
      </c>
      <c r="I39" s="17" t="s">
        <v>231</v>
      </c>
    </row>
    <row r="40" spans="2:9" x14ac:dyDescent="0.3">
      <c r="B40" s="5" t="s">
        <v>232</v>
      </c>
      <c r="C40" s="6" t="s">
        <v>228</v>
      </c>
      <c r="D40" s="6" t="s">
        <v>53</v>
      </c>
      <c r="E40" s="5" t="s">
        <v>233</v>
      </c>
      <c r="F40" s="16" t="s">
        <v>234</v>
      </c>
      <c r="G40" s="6" t="s">
        <v>56</v>
      </c>
      <c r="H40" s="6" t="s">
        <v>57</v>
      </c>
      <c r="I40" s="17" t="s">
        <v>231</v>
      </c>
    </row>
    <row r="41" spans="2:9" x14ac:dyDescent="0.3">
      <c r="B41" s="5" t="s">
        <v>235</v>
      </c>
      <c r="C41" s="6" t="s">
        <v>228</v>
      </c>
      <c r="D41" s="6" t="s">
        <v>53</v>
      </c>
      <c r="E41" s="5" t="s">
        <v>236</v>
      </c>
      <c r="F41" s="16" t="s">
        <v>237</v>
      </c>
      <c r="G41" s="6" t="s">
        <v>73</v>
      </c>
      <c r="H41" s="6" t="s">
        <v>57</v>
      </c>
      <c r="I41" s="17" t="s">
        <v>231</v>
      </c>
    </row>
    <row r="42" spans="2:9" ht="28.8" x14ac:dyDescent="0.3">
      <c r="B42" s="5" t="s">
        <v>238</v>
      </c>
      <c r="C42" s="6" t="s">
        <v>228</v>
      </c>
      <c r="D42" s="6" t="s">
        <v>53</v>
      </c>
      <c r="E42" s="5" t="s">
        <v>239</v>
      </c>
      <c r="F42" s="16" t="s">
        <v>240</v>
      </c>
      <c r="G42" s="6" t="s">
        <v>91</v>
      </c>
      <c r="H42" s="6" t="s">
        <v>57</v>
      </c>
      <c r="I42" s="17" t="s">
        <v>231</v>
      </c>
    </row>
    <row r="43" spans="2:9" x14ac:dyDescent="0.3">
      <c r="B43" s="5" t="s">
        <v>241</v>
      </c>
      <c r="C43" s="6" t="s">
        <v>228</v>
      </c>
      <c r="D43" s="6" t="s">
        <v>14</v>
      </c>
      <c r="E43" s="5" t="s">
        <v>242</v>
      </c>
      <c r="F43" s="16" t="s">
        <v>243</v>
      </c>
      <c r="G43" s="6" t="s">
        <v>56</v>
      </c>
      <c r="H43" s="6" t="s">
        <v>57</v>
      </c>
      <c r="I43" s="17" t="s">
        <v>231</v>
      </c>
    </row>
    <row r="44" spans="2:9" ht="28.8" x14ac:dyDescent="0.3">
      <c r="B44" s="5" t="s">
        <v>244</v>
      </c>
      <c r="C44" s="6" t="s">
        <v>228</v>
      </c>
      <c r="D44" s="6" t="s">
        <v>14</v>
      </c>
      <c r="E44" s="5" t="s">
        <v>245</v>
      </c>
      <c r="F44" s="16" t="s">
        <v>397</v>
      </c>
      <c r="G44" s="6" t="s">
        <v>73</v>
      </c>
      <c r="H44" s="6" t="s">
        <v>57</v>
      </c>
      <c r="I44" s="17" t="s">
        <v>231</v>
      </c>
    </row>
    <row r="45" spans="2:9" x14ac:dyDescent="0.3">
      <c r="B45" s="5" t="s">
        <v>246</v>
      </c>
      <c r="C45" s="6" t="s">
        <v>228</v>
      </c>
      <c r="D45" s="6" t="s">
        <v>53</v>
      </c>
      <c r="E45" s="5" t="s">
        <v>247</v>
      </c>
      <c r="F45" s="16" t="s">
        <v>248</v>
      </c>
      <c r="G45" s="6" t="s">
        <v>80</v>
      </c>
      <c r="H45" s="6" t="s">
        <v>57</v>
      </c>
      <c r="I45" s="17" t="s">
        <v>231</v>
      </c>
    </row>
    <row r="46" spans="2:9" x14ac:dyDescent="0.3">
      <c r="B46" s="5" t="s">
        <v>249</v>
      </c>
      <c r="C46" s="6" t="s">
        <v>228</v>
      </c>
      <c r="D46" s="6" t="s">
        <v>53</v>
      </c>
      <c r="E46" s="5" t="s">
        <v>250</v>
      </c>
      <c r="F46" s="16" t="s">
        <v>251</v>
      </c>
      <c r="G46" s="6" t="s">
        <v>56</v>
      </c>
      <c r="H46" s="6" t="s">
        <v>57</v>
      </c>
      <c r="I46" s="17" t="s">
        <v>231</v>
      </c>
    </row>
    <row r="47" spans="2:9" ht="28.8" x14ac:dyDescent="0.3">
      <c r="B47" s="5" t="s">
        <v>270</v>
      </c>
      <c r="C47" s="6" t="s">
        <v>228</v>
      </c>
      <c r="D47" s="6" t="s">
        <v>40</v>
      </c>
      <c r="E47" s="5" t="s">
        <v>270</v>
      </c>
      <c r="F47" s="16" t="s">
        <v>367</v>
      </c>
      <c r="G47" s="6" t="s">
        <v>80</v>
      </c>
      <c r="H47" s="6" t="s">
        <v>57</v>
      </c>
      <c r="I47" s="17" t="s">
        <v>271</v>
      </c>
    </row>
    <row r="48" spans="2:9" x14ac:dyDescent="0.3">
      <c r="B48" s="5" t="s">
        <v>376</v>
      </c>
      <c r="C48" s="6" t="s">
        <v>228</v>
      </c>
      <c r="D48" s="6" t="s">
        <v>53</v>
      </c>
      <c r="E48" s="5" t="s">
        <v>377</v>
      </c>
      <c r="F48" s="16" t="s">
        <v>378</v>
      </c>
      <c r="G48" s="6" t="s">
        <v>64</v>
      </c>
      <c r="H48" s="6" t="s">
        <v>57</v>
      </c>
      <c r="I48" s="17" t="s">
        <v>379</v>
      </c>
    </row>
    <row r="49" spans="2:9" x14ac:dyDescent="0.3">
      <c r="B49" s="5" t="s">
        <v>380</v>
      </c>
      <c r="C49" s="6" t="s">
        <v>228</v>
      </c>
      <c r="D49" s="6" t="s">
        <v>53</v>
      </c>
      <c r="E49" s="5" t="s">
        <v>381</v>
      </c>
      <c r="F49" s="16" t="s">
        <v>382</v>
      </c>
      <c r="G49" s="6" t="s">
        <v>56</v>
      </c>
      <c r="H49" s="6" t="s">
        <v>57</v>
      </c>
      <c r="I49" s="17" t="s">
        <v>379</v>
      </c>
    </row>
    <row r="50" spans="2:9" ht="28.8" x14ac:dyDescent="0.3">
      <c r="B50" s="5" t="s">
        <v>383</v>
      </c>
      <c r="C50" s="6" t="s">
        <v>228</v>
      </c>
      <c r="D50" s="6" t="s">
        <v>40</v>
      </c>
      <c r="E50" s="5" t="s">
        <v>384</v>
      </c>
      <c r="F50" s="16" t="s">
        <v>385</v>
      </c>
      <c r="G50" s="6" t="s">
        <v>80</v>
      </c>
      <c r="H50" s="6" t="s">
        <v>57</v>
      </c>
      <c r="I50" s="17" t="s">
        <v>379</v>
      </c>
    </row>
    <row r="51" spans="2:9" ht="28.8" x14ac:dyDescent="0.3">
      <c r="B51" s="5" t="s">
        <v>386</v>
      </c>
      <c r="C51" s="6" t="s">
        <v>228</v>
      </c>
      <c r="D51" s="6" t="s">
        <v>66</v>
      </c>
      <c r="E51" s="5" t="s">
        <v>387</v>
      </c>
      <c r="F51" s="16" t="s">
        <v>388</v>
      </c>
      <c r="G51" s="6" t="s">
        <v>80</v>
      </c>
      <c r="H51" s="6" t="s">
        <v>57</v>
      </c>
      <c r="I51" s="17" t="s">
        <v>379</v>
      </c>
    </row>
    <row r="52" spans="2:9" ht="28.8" x14ac:dyDescent="0.3">
      <c r="B52" s="5" t="s">
        <v>389</v>
      </c>
      <c r="C52" s="6" t="s">
        <v>228</v>
      </c>
      <c r="D52" s="6" t="s">
        <v>53</v>
      </c>
      <c r="E52" s="5" t="s">
        <v>390</v>
      </c>
      <c r="F52" s="16" t="s">
        <v>391</v>
      </c>
      <c r="G52" s="6" t="s">
        <v>80</v>
      </c>
      <c r="H52" s="6" t="s">
        <v>57</v>
      </c>
      <c r="I52" s="17" t="s">
        <v>392</v>
      </c>
    </row>
    <row r="53" spans="2:9" ht="28.8" x14ac:dyDescent="0.3">
      <c r="B53" s="5" t="s">
        <v>393</v>
      </c>
      <c r="C53" s="6" t="s">
        <v>228</v>
      </c>
      <c r="D53" s="6" t="s">
        <v>53</v>
      </c>
      <c r="E53" s="5" t="s">
        <v>394</v>
      </c>
      <c r="F53" s="16" t="s">
        <v>395</v>
      </c>
      <c r="G53" s="6" t="s">
        <v>56</v>
      </c>
      <c r="H53" s="6" t="s">
        <v>57</v>
      </c>
      <c r="I53" s="17" t="s">
        <v>396</v>
      </c>
    </row>
    <row r="54" spans="2:9" x14ac:dyDescent="0.3">
      <c r="B54" s="5"/>
      <c r="C54" s="6"/>
      <c r="D54" s="6"/>
      <c r="E54" s="5"/>
      <c r="F54" s="16"/>
      <c r="G54" s="6"/>
      <c r="H54" s="6"/>
      <c r="I54" s="17"/>
    </row>
    <row r="55" spans="2:9" x14ac:dyDescent="0.3">
      <c r="B55" s="5"/>
      <c r="C55" s="6"/>
      <c r="D55" s="6"/>
      <c r="E55" s="5"/>
      <c r="F55" s="16"/>
      <c r="G55" s="6"/>
      <c r="H55" s="6"/>
      <c r="I55" s="17"/>
    </row>
    <row r="56" spans="2:9" x14ac:dyDescent="0.3">
      <c r="B56" s="5"/>
      <c r="C56" s="6"/>
      <c r="D56" s="6"/>
      <c r="E56" s="5"/>
      <c r="F56" s="16"/>
      <c r="G56" s="6"/>
      <c r="H56" s="6"/>
      <c r="I56" s="17"/>
    </row>
    <row r="57" spans="2:9" x14ac:dyDescent="0.3">
      <c r="B57" s="5"/>
      <c r="C57" s="6"/>
      <c r="D57" s="6"/>
      <c r="E57" s="5"/>
      <c r="F57" s="16"/>
      <c r="G57" s="6"/>
      <c r="H57" s="6"/>
      <c r="I57" s="17"/>
    </row>
    <row r="58" spans="2:9" x14ac:dyDescent="0.3">
      <c r="B58" s="5"/>
      <c r="C58" s="6"/>
      <c r="D58" s="6"/>
      <c r="E58" s="5"/>
      <c r="F58" s="16"/>
      <c r="G58" s="6"/>
      <c r="H58" s="6"/>
      <c r="I58" s="17"/>
    </row>
    <row r="59" spans="2:9" x14ac:dyDescent="0.3">
      <c r="B59" s="5"/>
      <c r="C59" s="6"/>
      <c r="D59" s="6"/>
      <c r="E59" s="5"/>
      <c r="F59" s="16"/>
      <c r="G59" s="6"/>
      <c r="H59" s="6"/>
      <c r="I59" s="17"/>
    </row>
    <row r="62" spans="2:9" ht="15.6" x14ac:dyDescent="0.3">
      <c r="B62" s="66" t="s">
        <v>272</v>
      </c>
    </row>
    <row r="63" spans="2:9" x14ac:dyDescent="0.3">
      <c r="B63" s="15" t="s">
        <v>273</v>
      </c>
      <c r="C63" s="15" t="s">
        <v>274</v>
      </c>
      <c r="D63" s="15" t="s">
        <v>46</v>
      </c>
      <c r="E63" s="15" t="s">
        <v>223</v>
      </c>
      <c r="F63" s="15" t="s">
        <v>8</v>
      </c>
      <c r="G63" s="15" t="s">
        <v>275</v>
      </c>
    </row>
    <row r="64" spans="2:9" ht="86.4" x14ac:dyDescent="0.3">
      <c r="B64" t="s">
        <v>276</v>
      </c>
      <c r="C64" s="12">
        <v>1</v>
      </c>
      <c r="D64" s="12" t="s">
        <v>225</v>
      </c>
      <c r="E64" s="12" t="s">
        <v>53</v>
      </c>
      <c r="G64" s="31" t="s">
        <v>277</v>
      </c>
    </row>
    <row r="65" spans="2:7" ht="72" x14ac:dyDescent="0.3">
      <c r="B65" t="s">
        <v>278</v>
      </c>
      <c r="C65" s="12">
        <v>1</v>
      </c>
      <c r="D65" s="12" t="s">
        <v>225</v>
      </c>
      <c r="E65" s="12" t="s">
        <v>279</v>
      </c>
      <c r="F65" t="s">
        <v>96</v>
      </c>
      <c r="G65" s="31" t="s">
        <v>280</v>
      </c>
    </row>
    <row r="66" spans="2:7" ht="43.2" x14ac:dyDescent="0.3">
      <c r="B66" t="s">
        <v>281</v>
      </c>
      <c r="C66" s="12">
        <v>1</v>
      </c>
      <c r="D66" s="12" t="s">
        <v>225</v>
      </c>
      <c r="E66" s="12" t="s">
        <v>282</v>
      </c>
      <c r="G66" s="31" t="s">
        <v>283</v>
      </c>
    </row>
    <row r="67" spans="2:7" ht="100.8" x14ac:dyDescent="0.3">
      <c r="B67" t="s">
        <v>284</v>
      </c>
      <c r="C67" s="12">
        <v>1</v>
      </c>
      <c r="D67" s="12" t="s">
        <v>225</v>
      </c>
      <c r="E67" s="12" t="s">
        <v>282</v>
      </c>
      <c r="F67" t="s">
        <v>270</v>
      </c>
      <c r="G67" s="31" t="s">
        <v>368</v>
      </c>
    </row>
    <row r="68" spans="2:7" ht="43.2" x14ac:dyDescent="0.3">
      <c r="B68" t="s">
        <v>285</v>
      </c>
      <c r="C68" s="12">
        <v>2</v>
      </c>
      <c r="D68" s="12" t="s">
        <v>225</v>
      </c>
      <c r="E68" s="12" t="s">
        <v>279</v>
      </c>
      <c r="G68" s="31" t="s">
        <v>286</v>
      </c>
    </row>
    <row r="69" spans="2:7" ht="57.6" x14ac:dyDescent="0.3">
      <c r="B69" t="s">
        <v>287</v>
      </c>
      <c r="C69" s="12">
        <v>1</v>
      </c>
      <c r="D69" s="12" t="s">
        <v>269</v>
      </c>
      <c r="E69" s="12" t="s">
        <v>282</v>
      </c>
      <c r="F69" t="s">
        <v>138</v>
      </c>
      <c r="G69" s="31" t="s">
        <v>288</v>
      </c>
    </row>
    <row r="70" spans="2:7" ht="28.8" x14ac:dyDescent="0.3">
      <c r="B70" t="s">
        <v>289</v>
      </c>
      <c r="C70" s="12">
        <v>1</v>
      </c>
      <c r="D70" s="12" t="s">
        <v>225</v>
      </c>
      <c r="E70" s="12" t="s">
        <v>290</v>
      </c>
      <c r="G70" s="31" t="s">
        <v>291</v>
      </c>
    </row>
    <row r="71" spans="2:7" ht="72" x14ac:dyDescent="0.3">
      <c r="B71" t="s">
        <v>292</v>
      </c>
      <c r="C71" s="12">
        <v>1</v>
      </c>
      <c r="D71" s="12" t="s">
        <v>225</v>
      </c>
      <c r="E71" s="12" t="s">
        <v>290</v>
      </c>
      <c r="G71" s="31" t="s">
        <v>293</v>
      </c>
    </row>
    <row r="72" spans="2:7" ht="43.2" x14ac:dyDescent="0.3">
      <c r="B72" t="s">
        <v>294</v>
      </c>
      <c r="C72" s="12">
        <v>1</v>
      </c>
      <c r="D72" s="12" t="s">
        <v>225</v>
      </c>
      <c r="E72" s="12" t="s">
        <v>290</v>
      </c>
      <c r="G72" s="31" t="s">
        <v>295</v>
      </c>
    </row>
    <row r="73" spans="2:7" ht="43.2" x14ac:dyDescent="0.3">
      <c r="B73" t="s">
        <v>296</v>
      </c>
      <c r="C73" s="12">
        <v>1</v>
      </c>
      <c r="D73" s="12" t="s">
        <v>225</v>
      </c>
      <c r="E73" s="12" t="s">
        <v>290</v>
      </c>
      <c r="G73" s="31" t="s">
        <v>297</v>
      </c>
    </row>
  </sheetData>
  <mergeCells count="1">
    <mergeCell ref="K2:L2"/>
  </mergeCells>
  <dataValidations count="2">
    <dataValidation type="list" allowBlank="1" showInputMessage="1" showErrorMessage="1" sqref="D64:D92" xr:uid="{50510017-6983-475C-BFAA-35C76015E12D}">
      <formula1>"Attacker,Target"</formula1>
    </dataValidation>
    <dataValidation type="list" allowBlank="1" showInputMessage="1" showErrorMessage="1" sqref="E64:E92" xr:uid="{738B6002-2E57-4AA6-A2B6-980C4593892B}">
      <formula1>"Shooting,Fighting,Both,Other"</formula1>
    </dataValidation>
  </dataValidations>
  <pageMargins left="0.7" right="0.7" top="0.75" bottom="0.75" header="0.3" footer="0.3"/>
  <legacyDrawing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How To Use</vt:lpstr>
      <vt:lpstr>Sim-Shooting</vt:lpstr>
      <vt:lpstr>Sim-Fighting</vt:lpstr>
      <vt:lpstr>DeathGuard</vt:lpstr>
      <vt:lpstr>Space Marines</vt:lpstr>
      <vt:lpstr>Drukhari</vt:lpstr>
      <vt:lpstr>Daemons</vt:lpstr>
      <vt:lpstr>T'Au</vt:lpstr>
      <vt:lpstr>Imperial Guard</vt:lpstr>
      <vt:lpstr>Sisters of Battle</vt:lpstr>
      <vt:lpstr>Thousand Sons</vt:lpstr>
      <vt:lpstr>Keywords</vt:lpstr>
      <vt:lpstr>FactionList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Leech</dc:creator>
  <cp:lastModifiedBy>Michael Leech</cp:lastModifiedBy>
  <dcterms:created xsi:type="dcterms:W3CDTF">2026-10-05T07:13:18Z</dcterms:created>
  <dcterms:modified xsi:type="dcterms:W3CDTF">2026-10-05T19:37:06Z</dcterms:modified>
</cp:coreProperties>
</file>