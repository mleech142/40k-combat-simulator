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C:\Users\MichaelLeech\OneDrive - LRWEA\Desktop\Shot converter\40k-combat-simulator\"/>
    </mc:Choice>
  </mc:AlternateContent>
  <xr:revisionPtr revIDLastSave="0" documentId="13_ncr:1_{5DFF63EA-A203-4E92-B28F-2283B385EB3C}" xr6:coauthVersionLast="47" xr6:coauthVersionMax="47" xr10:uidLastSave="{00000000-0000-0000-0000-000000000000}"/>
  <bookViews>
    <workbookView xWindow="-120" yWindow="-120" windowWidth="29040" windowHeight="15720" tabRatio="816" activeTab="4" xr2:uid="{E206C2F3-1A6A-4CFB-96BF-FF438DAD64ED}"/>
  </bookViews>
  <sheets>
    <sheet name="How To Use" sheetId="16" r:id="rId1"/>
    <sheet name="Keywords" sheetId="9" r:id="rId2"/>
    <sheet name="Sim-Shooting" sheetId="1" r:id="rId3"/>
    <sheet name="Sim-Fighting" sheetId="6" r:id="rId4"/>
    <sheet name="Roster" sheetId="19" r:id="rId5"/>
    <sheet name="Results" sheetId="20" r:id="rId6"/>
    <sheet name="DeathGuard" sheetId="4" r:id="rId7"/>
    <sheet name="Space Marines" sheetId="8" r:id="rId8"/>
    <sheet name="Drukhari" sheetId="10" r:id="rId9"/>
    <sheet name="Daemons" sheetId="11" r:id="rId10"/>
    <sheet name="T'Au" sheetId="12" r:id="rId11"/>
    <sheet name="Imperial Guard" sheetId="13" r:id="rId12"/>
    <sheet name="Sisters of Battle" sheetId="14" r:id="rId13"/>
    <sheet name="Thousand Sons" sheetId="15" r:id="rId14"/>
  </sheets>
  <definedNames>
    <definedName name="_xlnm._FilterDatabase" localSheetId="9" hidden="1">Daemons!$U$3:$AA$3</definedName>
    <definedName name="_xlnm._FilterDatabase" localSheetId="6" hidden="1">DeathGuard!$U$3:$AA$3</definedName>
    <definedName name="_xlnm._FilterDatabase" localSheetId="8" hidden="1">Drukhari!$U$3:$AA$3</definedName>
    <definedName name="_xlnm._FilterDatabase" localSheetId="11" hidden="1">'Imperial Guard'!$U$3:$AA$3</definedName>
    <definedName name="_xlnm._FilterDatabase" localSheetId="12" hidden="1">'Sisters of Battle'!$U$3:$AA$3</definedName>
    <definedName name="_xlnm._FilterDatabase" localSheetId="7" hidden="1">'Space Marines'!$U$3:$AA$3</definedName>
    <definedName name="_xlnm._FilterDatabase" localSheetId="10" hidden="1">'T''Au'!$U$3:$AA$3</definedName>
    <definedName name="_xlnm._FilterDatabase" localSheetId="13" hidden="1">'Thousand Sons'!$U$3:$AA$3</definedName>
    <definedName name="AllTargets" comment="Target stats: unit table (Name + stats) on every faction sheet">_xlfn.DROP(_xlfn.REDUCE("",_xlfn.SEQUENCE(ROWS(Factions[Faction])),_xlfn.LAMBDA(_xlpm.acc,_xlpm.k,_xlfn.VSTACK(_xlpm.acc,_xlfn.LET(_xlpm.blk,FACTIONBLOCK(_xlpm.k),_xlpm.b,_xlfn.CHOOSECOLS(_xlpm.blk,_xlfn.SEQUENCE(1,7)),_xlpm.n,_xlfn.CHOOSECOLS(_xlpm.b,1),_xlpm.kw,_xlfn.CHOOSECOLS(_xlpm.blk,13),_xlpm.md,_xlfn.CHOOSECOLS(_xlpm.blk,7),_xlfn.HSTACK(IF(_xlpm.n="","",_xlpm.n&amp;" ("&amp;INDEX(Factions[Faction],_xlpm.k)&amp;")"),_xlfn.CHOOSECOLS(_xlpm.b,_xlfn.SEQUENCE(1,5,2)),IF(ISTEXT(_xlpm.md),_xlpm.md,"")&amp;IF(ISTEXT(_xlpm.kw),", "&amp;_xlpm.kw,""),_xlfn.CHOOSECOLS(_xlpm.blk,12),_xlfn.CHOOSECOLS(_xlpm.blk,11)))))),1)</definedName>
    <definedName name="DICEAVG" comment="Average of a dice expression: NDX+Y / NDX-Y / DX / plain number">_xlfn.LAMBDA(_xlpm.x,IF(ISNUMBER(_xlpm.x),_xlpm.x,_xlfn.LET(_xlpm.t,UPPER(SUBSTITUTE(TRIM(_xlpm.x&amp;"")," ","")),IF(ISNUMBER(--_xlpm.t),--_xlpm.t,_xlfn.LET(_xlpm.dp,FIND("D",_xlpm.t),_xlpm.n,IF(_xlpm.dp=1,1,VALUE(LEFT(_xlpm.t,_xlpm.dp-1))),_xlpm.aft,MID(_xlpm.t,_xlpm.dp+1,99),_xlpm.sp,MIN(IFERROR(FIND({"+","-"},_xlpm.aft),99)),_xlpm.sides,VALUE(LEFT(_xlpm.aft,_xlpm.sp-1)),_xlpm.md,IF(_xlpm.sp&gt;LEN(_xlpm.aft),0,VALUE(MID(_xlpm.aft,_xlpm.sp,99))),_xlpm.n*(_xlpm.sides+1)/2+_xlpm.md)))))</definedName>
    <definedName name="FACTIONBLOCK" comment="Returns columns B:AO, rows 4-100 of the k-th faction tab (order = Factions table). Add a new faction tab's range here when adding a faction.">_xlfn.LAMBDA(_xlpm.k,CHOOSE(_xlpm.k,DeathGuard!$B$4:$AW$100,'Space Marines'!$B$4:$AW$100,Drukhari!$B$4:$AW$100,Daemons!$B$4:$AW$100,'T''Au'!$B$4:$AW$100,'Imperial Guard'!$B$4:$AW$100,'Sisters of Battle'!$B$4:$AW$100,'Thousand Sons'!$B$4:$AW$100))</definedName>
    <definedName name="FactionList" comment="Faction names for dropdowns">Factions[Faction]</definedName>
    <definedName name="KW" comment="Reads a keyword from a Modifier string. Returns its number, TRUE if it has no number, or FALSE if absent. e.g. KW(&quot;Melta 2, Lethal Hits&quot;,&quot;Melta&quot;) = 2">_xlfn.LAMBDA(_xlpm.txt,_xlpm.key,IF(TRIM(_xlpm.txt&amp;"")="",FALSE,_xlfn.LET(_xlpm.parts,TRIM(_xlfn.TEXTSPLIT(_xlpm.txt&amp;"",",")),_xlpm.hit,_xlfn._xlws.FILTER(_xlpm.parts,LEFT(_xlpm.parts,LEN(_xlpm.key))=_xlpm.key,""),IF(INDEX(_xlpm.hit,1)="",FALSE,_xlfn.LET(_xlpm.rest,TRIM(MID(_xlpm.hit,LEN(_xlpm.key)+1,99)),_xlpm.num,_xlfn.MAP(_xlpm.rest,_xlfn.LAMBDA(_xlpm.r,IFERROR(VALUE(SUBSTITUTE(_xlpm.r,"+","")),IFERROR(DICEAVG(_xlpm.r),"")))),_xlpm.nums,_xlfn._xlws.FILTER(_xlpm.num,ISNUMBER(_xlpm.num),""),IF(ISNUMBER(INDEX(_xlpm.nums,1)),MAX(_xlpm.nums),IF(SUM(--(_xlpm.rest=""))&gt;0,TRUE,INDEX(_xlpm.rest,1))))))))</definedName>
    <definedName name="KWANTI" comment="Returns the unmodified wound roll that scores a Critical Wound: the best Anti-X Y+ value whose keyword X is in the target's Modifiers, otherwise 6.">_xlfn.LAMBDA(_xlpm.txt,_xlpm.target,IF(TRIM(_xlpm.txt&amp;"")="",6,_xlfn.LET(_xlpm.parts,TRIM(_xlfn.TEXTSPLIT(_xlpm.txt&amp;"",",")),_xlpm.anti,_xlfn._xlws.FILTER(_xlpm.parts,LEFT(_xlpm.parts,5)="Anti-",""),IF(INDEX(_xlpm.anti,1)="",6,_xlfn.LET(_xlpm.body,MID(_xlpm.anti,6,99),_xlpm.antiKey,_xlfn.TEXTBEFORE(_xlpm.body," "),_xlpm.y,VALUE(SUBSTITUTE(_xlfn.TEXTAFTER(_xlpm.body," "),"+","")),_xlpm.hasKey,_xlfn.MAP(_xlpm.antiKey,_xlfn.LAMBDA(_xlpm.k,KW(_xlpm.target,_xlpm.k)=TRUE)),MIN(6,IFERROR(_xlfn._xlws.FILTER(_xlpm.y,_xlpm.hasKey),6)))))))</definedName>
    <definedName name="KWMIN" comment="Like KW but returns the lowest number when a keyword appears more than once (used for Feel No Pain, where lower is better).">_xlfn.LAMBDA(_xlpm.txt,_xlpm.key,IF(TRIM(_xlpm.txt&amp;"")="",FALSE,_xlfn.LET(_xlpm.parts,TRIM(_xlfn.TEXTSPLIT(_xlpm.txt&amp;"",",")),_xlpm.hit,_xlfn._xlws.FILTER(_xlpm.parts,LEFT(_xlpm.parts,LEN(_xlpm.key))=_xlpm.key,""),IF(INDEX(_xlpm.hit,1)="",FALSE,_xlfn.LET(_xlpm.rest,TRIM(MID(_xlpm.hit,LEN(_xlpm.key)+1,99)),_xlpm.num,_xlfn.MAP(_xlpm.rest,_xlfn.LAMBDA(_xlpm.r,IFERROR(VALUE(SUBSTITUTE(_xlpm.r,"+","")),IFERROR(DICEAVG(_xlpm.r),"")))),_xlpm.nums,_xlfn._xlws.FILTER(_xlpm.num,ISNUMBER(_xlpm.num),""),IF(ISNUMBER(INDEX(_xlpm.nums,1)),MIN(_xlpm.nums),IF(SUM(--(_xlpm.rest=""))&gt;0,TRUE,INDEX(_xlpm.rest,1))))))))</definedName>
    <definedName name="KWSUM" comment="Adds up every value of a stackable keyword, e.g. KWSUM(&quot;Hit Modifier +1, Hit Modifier -1&quot;,&quot;Hit Modifier&quot;) = 0">_xlfn.LAMBDA(_xlpm.txt,_xlpm.key,_xlfn.LET(_xlpm.parts,TRIM(_xlfn.TEXTSPLIT(_xlpm.txt&amp;"",",")),_xlpm.hit,_xlfn._xlws.FILTER(_xlpm.parts,LEFT(_xlpm.parts,LEN(_xlpm.key))=_xlpm.key,""),_xlpm.v,_xlfn.MAP(TRIM(MID(_xlpm.hit,LEN(_xlpm.key)+1,99)),_xlfn.LAMBDA(_xlpm.r,IFERROR(VALUE(SUBSTITUTE(_xlpm.r,"+","")),IFERROR(DICEAVG(_xlpm.r),0)))),SUM(_xlpm.v)))</definedName>
    <definedName name="OPTIONS" comment="All faction rules, faction stratagems and core stratagems for a faction, side (Attacker/Target) and phase (Shooting/Fighting), max 15">_xlfn.LAMBDA(_xlpm.fac,_xlpm.side,_xlpm.ph,_xlfn.LET(_xlpm.r,RULESOF(_xlpm.fac),_xlpm.s,STRATSOF(_xlpm.fac),_xlpm.g,CoreStratagems[[Stratagem]:[Modifier]],_xlpm.v,_xlfn.VSTACK(PICK(_xlpm.r,_xlpm.side,_xlpm.ph,"Rule"),PICK(_xlfn.CHOOSECOLS(_xlpm.s,1,3,4,5),_xlpm.side,_xlpm.ph,"Strat"),PICK(_xlfn.CHOOSECOLS(_xlpm.g,1,3,4,5),_xlpm.side,_xlpm.ph,"Core Strat")),_xlpm.f,_xlfn._xlws.FILTER(_xlpm.v,_xlfn.CHOOSECOLS(_xlpm.v,1)&lt;&gt;"",""),_xlpm.f))</definedName>
    <definedName name="PICK" comment="Filters a Name|Applies To|Phase|Modifier block by side and phase, returns Name|Type|Effect">_xlfn.LAMBDA(_xlpm.b,_xlpm.side,_xlpm.ph,_xlpm.label,_xlfn.LET(_xlpm.n,_xlfn.CHOOSECOLS(_xlpm.b,1),_xlpm.a,_xlfn.CHOOSECOLS(_xlpm.b,2),_xlpm.p,_xlfn.CHOOSECOLS(_xlpm.b,3),_xlpm.m,_xlfn.CHOOSECOLS(_xlpm.b,4),_xlpm.keep,(_xlpm.n&lt;&gt;"")*(_xlpm.a=_xlpm.side)*((_xlpm.p=_xlpm.ph)+(_xlpm.p="Both")),IF(SUM(_xlpm.keep)=0,{"","",""},_xlfn._xlws.FILTER(_xlfn.HSTACK(_xlpm.n,IF(_xlpm.n=_xlpm.n,_xlpm.label),_xlpm.m&amp;""),_xlpm.keep))))</definedName>
    <definedName name="RULESOF" comment="Faction Rules table (AE4:AH30) for a faction name">_xlfn.LAMBDA(_xlpm.fac,_xlfn.LET(_xlpm.k,_xlfn.XMATCH(TRIM(_xlpm.fac),Factions[Faction]),IFERROR(_xlfn.TAKE(_xlfn.CHOOSECOLS(FACTIONBLOCK(_xlpm.k),_xlfn.SEQUENCE(1,4,38)),27),{"","","",""})))</definedName>
    <definedName name="STRATSOF" comment="Faction Stratagems table (AJ4:AO30) for a faction name">_xlfn.LAMBDA(_xlpm.fac,_xlfn.LET(_xlpm.k,_xlfn.XMATCH(TRIM(_xlpm.fac),Factions[Faction]),IFERROR(_xlfn.TAKE(_xlfn.CHOOSECOLS(FACTIONBLOCK(_xlpm.k),_xlfn.SEQUENCE(1,6,43)),27),{"","","","","",""})))</definedName>
    <definedName name="UNITVS" comment="Expected {damage, models killed} for a whole unit (all its weapons for the phase x Qty) vs one target. UNITVS(faction, unit, &quot;Shooting&quot;/&quot;Fighting&quot;, tgt, atk, opt)">_xlfn.LAMBDA(_xlpm.fac,_xlpm.unit,_xlpm.ph,_xlpm.tgt,_xlpm.atk,_xlpm.opt,_xlfn.LET(_xlpm.k,_xlfn.XMATCH(TRIM(_xlpm.fac),Factions[Faction]),_xlpm.blk,FACTIONBLOCK(_xlpm.k),_xlpm.uf,_xlfn.SCAN("",_xlfn.CHOOSECOLS(_xlpm.blk,1),_xlfn.LAMBDA(_xlpm.a,_xlpm.v,IF(_xlpm.v&lt;&gt;"",_xlpm.v,_xlpm.a))),_xlpm.wpn,_xlfn.CHOOSECOLS(_xlpm.blk,16),_xlpm.ty,_xlfn.CHOOSECOLS(_xlpm.blk,17),_xlpm.qt,_xlfn.CHOOSECOLS(_xlpm.blk,18),_xlpm.sel,(_xlpm.uf=_xlpm.unit)*(_xlpm.wpn&lt;&gt;"")*(_xlpm.ty=IF(_xlpm.ph="Shooting","Ranged","Melee")),IF(SUM(_xlpm.sel)=0,_xlfn.HSTACK(0,0),_xlfn.LET(_xlpm.nms,_xlfn._xlws.FILTER(_xlpm.wpn,_xlpm.sel),_xlpm.qs,_xlfn._xlws.FILTER(IF(ISNUMBER(_xlpm.qt),_xlpm.qt,1),_xlpm.sel),_xlpm.stats,_xlfn.CHOOSECOLS(_xlpm.blk,_xlfn.SEQUENCE(1,7,IF(_xlpm.ph="Shooting",20,29))),_xlpm.idx,_xlfn.XMATCH(_xlpm.nms,_xlfn.CHOOSECOLS(_xlpm.stats,1)),_xlpm.tot,_xlfn.REDUCE(_xlfn.HSTACK(0,0),_xlfn.SEQUENCE(ROWS(_xlpm.nms)),_xlfn.LAMBDA(_xlpm.acc,_xlpm.i,_xlfn.LET(_xlpm.ix,INDEX(_xlpm.idx,_xlpm.i),IF(ISNA(_xlpm.ix),_xlpm.acc,_xlpm.acc+WPNDMG(_xlpm.ph,_xlfn.HSTACK(_xlfn.DROP(_xlfn.CHOOSEROWS(_xlpm.stats,_xlpm.ix),,1),INDEX(_xlpm.qs,_xlpm.i)),_xlpm.tgt,_xlpm.atk,_xlpm.opt))))),_xlfn.HSTACK(INDEX(_xlpm.tot,1),MIN(MAX(1,N(INDEX(_xlpm.tgt,7))),INDEX(_xlpm.tot,2)))))))</definedName>
    <definedName name="WPNDMG" comment="Expected {damage, models killed} for one weapon profile. w={A,BS,S,AP,D,Modifier,Qty}; tgt={T,W,Sv,InSv,FNP,Keywords,Models}; atk=army-wide rule text; opt={HalfRange,Stationary,Cover,AttackerDamaged,Charged}">_xlfn.LAMBDA(_xlpm.ph,_xlpm.w,_xlpm.tgt,_xlpm.atk,_xlpm.opt,_xlfn.LET(_xlpm.sh,_xlpm.ph="Shooting",_xlpm.wA,INDEX(_xlpm.w,1),_xlpm.wBS,INDEX(_xlpm.w,2),_xlpm.wS,N(INDEX(_xlpm.w,3)),_xlpm.wAP,N(INDEX(_xlpm.w,4)),_xlpm.wD,INDEX(_xlpm.w,5),_xlpm.wmod,INDEX(_xlpm.w,6),_xlpm.src,IF(ISTEXT(_xlpm.wmod),_xlpm.wmod,"")&amp;", "&amp;_xlpm.atk,_xlpm.q,N(INDEX(_xlpm.w,7)),_xlpm.tT,N(INDEX(_xlpm.tgt,1)),_xlpm.tW,N(INDEX(_xlpm.tgt,2)),_xlpm.tSv,N(INDEX(_xlpm.tgt,3)),_xlpm.tInv,INDEX(_xlpm.tgt,4),_xlpm.tF,INDEX(_xlpm.tgt,5),_xlpm.tk,"-, "&amp;INDEX(_xlpm.tgt,6),_xlpm.tM,MAX(1,N(INDEX(_xlpm.tgt,7))),_xlpm.half,INDEX(_xlpm.opt,1),_xlpm.stat,INDEX(_xlpm.opt,2),_xlpm.covr,INDEX(_xlpm.opt,3),_xlpm.dmgd,INDEX(_xlpm.opt,4),_xlpm.chg,INDEX(_xlpm.opt,5),_xlpm.fb,KWMIN(_xlpm.tk,"Feel No Pain"),_xlpm.fnp,MIN(IF(AND(ISNUMBER(_xlpm.tF),_xlpm.tF&gt;=2,_xlpm.tF&lt;=6),_xlpm.tF,7),IF(ISNUMBER(_xlpm.fb),_xlpm.fb,7)),_xlpm.stl,KW(_xlpm.tk,"Stealth")=TRUE,_xlpm.tTm,KWSUM(_xlpm.tk,"Toughness Modifier"),_xlpm.tSm,KWSUM(_xlpm.tk,"Save Modifier"),_xlpm.tDm,KWSUM(_xlpm.tk,"Damage Modifier"),_xlpm.tHm,KWSUM(_xlpm.tk,"Hit Modifier"),_xlpm.tWm,KWSUM(_xlpm.tk,"Wound Modifier"),_xlpm.tAPm,KWSUM(_xlpm.tk,"AP Modifier"),_xlpm.tor,KW(_xlpm.src,"Torrent")=TRUE,_xlpm.leth,KW(_xlpm.src,"Lethal Hits")=TRUE,_xlpm.sus,N(KW(_xlpm.src,"Sustained Hits")),_xlpm.dev,KW(_xlpm.src,"Devastating Wounds")=TRUE,_xlpm.twin,KW(_xlpm.src,"Twin-Linked")=TRUE,_xlpm.lance,KW(_xlpm.src,"Lance")=TRUE,_xlpm.heavy,KW(_xlpm.src,"Heavy")=TRUE,_xlpm.rf,N(KW(_xlpm.src,"Rapid Fire")),_xlpm.blast,N(KW(_xlpm.src,"Blast")),_xlpm.cleave,N(KW(_xlpm.src,"Cleave")),_xlpm.melta,N(KW(_xlpm.src,"Melta")),_xlpm.ign,KW(_xlpm.src,"Ignores Cover")=TRUE,_xlpm.psy,KW(_xlpm.src,"Psychic")=TRUE,_xlpm.snap,AND(_xlpm.sh,KW(_xlpm.src,"Snap Shooting")=TRUE),_xlpm.am,KWSUM(_xlpm.src,"Hit Modifier"),_xlpm.wm,KWSUM(_xlpm.src,"Wound Modifier"),_xlpm.apm,KWSUM(_xlpm.src,"AP Modifier"),_xlpm.dm,KWSUM(_xlpm.src,"Damage Modifier"),_xlpm.atm,KWSUM(_xlpm.src,"Attacks Modifier"),_xlpm.stm,KWSUM(_xlpm.src,"Strength Modifier"),_xlpm.bsm,KWSUM(_xlpm.src,IF(_xlpm.sh,"BS Modifier","WS Modifier")),_xlpm.svm,KWSUM(_xlpm.src,"Save Modifier"),_xlpm.chk,KWMIN(_xlpm.src,"Critical Hits"),_xlpm.chOn,IF(_xlpm.snap,6,IF(ISNUMBER(_xlpm.chk),MEDIAN(2,6,_xlpm.chk),6)),_xlpm.cwk,KWMIN(_xlpm.src,"Critical Wounds"),_xlpm.cwOn,MIN(KWANTI(_xlpm.src,_xlpm.tk),IF(ISNUMBER(_xlpm.cwk),MEDIAN(2,6,_xlpm.cwk),6)),_xlpm.parts,TRIM(_xlfn.TEXTSPLIT(_xlpm.src,",")),_xlpm.hrr,IF(_xlpm.snap,0,IF(ISNUMBER(_xlfn.XMATCH("Reroll Hits",_xlpm.parts)),2,IF(N(KW(_xlpm.src,"Reroll Hits"))&gt;=1,1,0))),_xlpm.wrr,IF(OR(_xlpm.twin,ISNUMBER(_xlfn.XMATCH("Reroll Wounds",_xlpm.parts))),2,IF(N(KW(_xlpm.src,"Reroll Wounds"))&gt;=1,1,0)),_xlpm.hn,IF(_xlpm.tor,0,IF(_xlpm.sh,IF(_xlpm.snap,IF(_xlpm.stat,4,6),_xlfn.LET(_xlpm.hv,_xlpm.heavy*_xlpm.stat,_xlpm.dg,-_xlpm.dmgd,_xlpm.mods,IF(_xlpm.psy,MAX(0,_xlpm.hv)+MAX(0,_xlpm.am)+MAX(0,_xlpm.tHm),_xlpm.hv+_xlpm.dg+_xlpm.am+_xlpm.tHm),_xlpm.cv,AND(OR(_xlpm.covr,_xlpm.stl),NOT(_xlpm.ign),NOT(_xlpm.psy)),_xlpm.bs,MIN(6,MAX(2,_xlpm.wBS+IF(_xlpm.psy,MIN(0,_xlpm.bsm),_xlpm.bsm+_xlpm.cv))),MEDIAN(2,6,_xlpm.bs-MAX(-1,MIN(1,_xlpm.mods))))),_xlfn.LET(_xlpm.dg,-_xlpm.dmgd,_xlpm.mods,IF(_xlpm.psy,MAX(0,_xlpm.am)+MAX(0,_xlpm.tHm),_xlpm.dg+_xlpm.am+_xlpm.tHm),_xlpm.ws,MIN(6,MAX(2,_xlpm.wBS+IF(_xlpm.psy,MIN(0,_xlpm.bsm),_xlpm.bsm))),MEDIAN(2,6,_xlpm.ws-MAX(-1,MIN(1,_xlpm.mods)))))),_xlpm.s,MAX(1,_xlpm.wS+_xlpm.stm),_xlpm.t,MAX(1,_xlpm.tT+_xlpm.tTm),_xlpm.base,7-(1+(_xlpm.s&gt;=2*_xlpm.t)+(_xlpm.s&gt;_xlpm.t)+(_xlpm.s&gt;=_xlpm.t)+(_xlpm.s&gt;_xlpm.t/2)),_xlpm.wn,MEDIAN(2,6,_xlpm.base-MAX(-1,MIN(1,_xlpm.wm+IF(_xlpm.sh,0,_xlpm.lance*_xlpm.chg)+_xlpm.tWm))),_xlpm.ap,MIN(0,_xlpm.wAP+_xlpm.apm+_xlpm.tAPm),_xlpm.svn,MEDIAN(2,7,MIN(_xlpm.tSv-_xlpm.ap-_xlpm.tSm-_xlpm.svm,IF(ISNUMBER(_xlpm.tInv),_xlpm.tInv,7))),_xlpm.pch,(7-_xlpm.chOn)/6,_xlpm.p,MAX((7-_xlpm.hn)/6,_xlpm.pch),_xlpm.xh,IF(_xlpm.tor,0,IF(_xlpm.hrr=2,_xlpm.pch+(1-_xlpm.p)*_xlpm.pch,IF(_xlpm.hrr=1,_xlpm.pch+_xlpm.pch/6,_xlpm.pch))),_xlpm.att,_xlpm.q*(MAX(1,DICEAVG(_xlpm.wA)+_xlpm.atm)+IF(_xlpm.sh,_xlpm.rf*_xlpm.half,0)+(_xlpm.blast+_xlpm.cleave)*INT(_xlpm.tM/5)),_xlpm.phit,IF(_xlpm.hrr=2,_xlpm.p+(1-_xlpm.p)*_xlpm.p,IF(_xlpm.hrr=1,_xlpm.p+_xlpm.p/6,_xlpm.p)),_xlpm.hits,IF(_xlpm.tor,_xlpm.att,_xlpm.att*_xlpm.phit+_xlpm.att*_xlpm.xh*_xlpm.sus),_xlpm.aw,IF(AND(_xlpm.leth,NOT(_xlpm.tor)),_xlpm.att*_xlpm.xh,0),_xlpm.pW,(7-_xlpm.wn)/6,_xlpm.pC,(7-_xlpm.cwOn)/6,_xlpm.pT,MAX(_xlpm.pW,_xlpm.pC),_xlpm.n,_xlpm.hits-_xlpm.aw,_xlpm.wds,_xlpm.n*IF(_xlpm.wrr=2,1-(1-_xlpm.pT)^2,IF(_xlpm.wrr=1,_xlpm.pT+_xlpm.pT/6,_xlpm.pT))+_xlpm.aw,_xlpm.mw,IF(_xlpm.dev,_xlpm.n*IF(_xlpm.wrr=2,_xlpm.pC+(1-_xlpm.pT)*_xlpm.pC,IF(_xlpm.wrr=1,_xlpm.pC+_xlpm.pC/6,_xlpm.pC)),0),_xlpm.uns,(_xlpm.wds-_xlpm.mw)*(_xlpm.svn-1)/6,_xlpm.dpa,MAX(1,DICEAVG(_xlpm.wD)+IF(_xlpm.sh,_xlpm.melta*_xlpm.half,0)+_xlpm.dm+_xlpm.tDm),_xlpm.ff,(_xlpm.fnp-1)/6,_xlpm.dmg,(_xlpm.uns+_xlpm.mw)*IF(_xlpm.tW&gt;0,MIN(_xlpm.dpa,_xlpm.tW),_xlpm.dpa)*_xlpm.ff,_xlpm.kills,IF(_xlpm.tW&lt;=0,0,MIN(_xlpm.tM,(_xlpm.uns+_xlpm.mw)/(ROUNDUP(_xlpm.tW/MIN(_xlpm.dpa,_xlpm.tW),0)/_xlpm.ff))),_xlfn.HSTACK(_xlpm.dmg,_xlpm.kill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C6" i="20" l="1"/>
  <c r="D6" i="20"/>
  <c r="D8" i="20" a="1"/>
  <c r="D8" i="20" s="1"/>
  <c r="D11" i="20" s="1"/>
  <c r="B122" i="20"/>
  <c r="B2" i="20"/>
  <c r="L50" i="19" a="1"/>
  <c r="L50" i="19" s="1"/>
  <c r="E50" i="19" a="1"/>
  <c r="E50" i="19" s="1"/>
  <c r="L49" i="19" a="1"/>
  <c r="L49" i="19" s="1"/>
  <c r="E49" i="19" a="1"/>
  <c r="E49" i="19" s="1"/>
  <c r="L48" i="19" a="1"/>
  <c r="L48" i="19" s="1"/>
  <c r="E48" i="19" a="1"/>
  <c r="E48" i="19" s="1"/>
  <c r="L47" i="19" a="1"/>
  <c r="L47" i="19" s="1"/>
  <c r="E47" i="19" a="1"/>
  <c r="E47" i="19" s="1"/>
  <c r="L46" i="19" a="1"/>
  <c r="L46" i="19" s="1"/>
  <c r="E46" i="19" a="1"/>
  <c r="E46" i="19" s="1"/>
  <c r="L45" i="19" a="1"/>
  <c r="L45" i="19" s="1"/>
  <c r="E45" i="19" a="1"/>
  <c r="E45" i="19" s="1"/>
  <c r="L44" i="19" a="1"/>
  <c r="L44" i="19" s="1"/>
  <c r="E44" i="19" a="1"/>
  <c r="E44" i="19" s="1"/>
  <c r="L43" i="19" a="1"/>
  <c r="L43" i="19" s="1"/>
  <c r="E43" i="19" a="1"/>
  <c r="E43" i="19" s="1"/>
  <c r="L42" i="19" a="1"/>
  <c r="L42" i="19" s="1"/>
  <c r="E42" i="19" a="1"/>
  <c r="E42" i="19" s="1"/>
  <c r="L41" i="19" a="1"/>
  <c r="L41" i="19" s="1"/>
  <c r="E41" i="19" a="1"/>
  <c r="E41" i="19" s="1"/>
  <c r="L40" i="19" a="1"/>
  <c r="L40" i="19" s="1"/>
  <c r="E40" i="19" a="1"/>
  <c r="E40" i="19" s="1"/>
  <c r="L39" i="19" a="1"/>
  <c r="L39" i="19" s="1"/>
  <c r="E39" i="19" a="1"/>
  <c r="E39" i="19" s="1"/>
  <c r="L38" i="19" a="1"/>
  <c r="L38" i="19" s="1"/>
  <c r="E38" i="19" a="1"/>
  <c r="E38" i="19" s="1"/>
  <c r="L37" i="19" a="1"/>
  <c r="L37" i="19" s="1"/>
  <c r="E37" i="19" a="1"/>
  <c r="E37" i="19" s="1"/>
  <c r="L36" i="19" a="1"/>
  <c r="L36" i="19" s="1"/>
  <c r="E36" i="19" a="1"/>
  <c r="E36" i="19" s="1"/>
  <c r="AC6" i="19" a="1"/>
  <c r="AC6" i="19" s="1"/>
  <c r="AX8" i="19" a="1"/>
  <c r="AX8" i="19" s="1"/>
  <c r="AX7" i="19" a="1"/>
  <c r="AX7" i="19" s="1"/>
  <c r="O6" i="19" a="1"/>
  <c r="O6" i="19" s="1"/>
  <c r="AX6" i="19" s="1" a="1"/>
  <c r="AX6" i="19" s="1"/>
  <c r="E18" i="19" a="1"/>
  <c r="E18" i="19" s="1"/>
  <c r="F18" i="19" a="1"/>
  <c r="F18" i="19" s="1"/>
  <c r="E19" i="19" a="1"/>
  <c r="E19" i="19" s="1"/>
  <c r="F19" i="19" a="1"/>
  <c r="F19" i="19" s="1"/>
  <c r="E20" i="19" a="1"/>
  <c r="E20" i="19" s="1"/>
  <c r="F20" i="19" a="1"/>
  <c r="F20" i="19" s="1"/>
  <c r="E21" i="19" a="1"/>
  <c r="E21" i="19" s="1"/>
  <c r="F21" i="19" a="1"/>
  <c r="F21" i="19" s="1"/>
  <c r="E22" i="19" a="1"/>
  <c r="E22" i="19" s="1"/>
  <c r="F22" i="19" a="1"/>
  <c r="F22" i="19" s="1"/>
  <c r="E23" i="19" a="1"/>
  <c r="E23" i="19" s="1"/>
  <c r="F23" i="19" a="1"/>
  <c r="F23" i="19" s="1"/>
  <c r="E24" i="19" a="1"/>
  <c r="E24" i="19" s="1"/>
  <c r="F24" i="19" a="1"/>
  <c r="F24" i="19" s="1"/>
  <c r="E25" i="19" a="1"/>
  <c r="E25" i="19" s="1"/>
  <c r="F25" i="19" a="1"/>
  <c r="F25" i="19" s="1"/>
  <c r="E26" i="19" a="1"/>
  <c r="E26" i="19" s="1"/>
  <c r="F26" i="19" a="1"/>
  <c r="F26" i="19" s="1"/>
  <c r="G26" i="19" s="1"/>
  <c r="E27" i="19" a="1"/>
  <c r="E27" i="19" s="1"/>
  <c r="F27" i="19" a="1"/>
  <c r="F27" i="19" s="1"/>
  <c r="G27" i="19" s="1"/>
  <c r="E28" i="19" a="1"/>
  <c r="E28" i="19" s="1"/>
  <c r="F28" i="19" a="1"/>
  <c r="F28" i="19" s="1"/>
  <c r="G28" i="19" s="1"/>
  <c r="E29" i="19" a="1"/>
  <c r="E29" i="19" s="1"/>
  <c r="F29" i="19" a="1"/>
  <c r="F29" i="19" s="1"/>
  <c r="G29" i="19" s="1"/>
  <c r="E30" i="19" a="1"/>
  <c r="E30" i="19" s="1"/>
  <c r="F30" i="19" a="1"/>
  <c r="F30" i="19" s="1"/>
  <c r="G30" i="19" s="1"/>
  <c r="E31" i="19" a="1"/>
  <c r="E31" i="19" s="1"/>
  <c r="F31" i="19" a="1"/>
  <c r="F31" i="19" s="1"/>
  <c r="G31" i="19" s="1"/>
  <c r="F17" i="19" a="1"/>
  <c r="F17" i="19" s="1"/>
  <c r="E17" i="19" a="1"/>
  <c r="E17" i="19" s="1"/>
  <c r="AA6" i="19" a="1"/>
  <c r="AA6" i="19" s="1"/>
  <c r="BF6" i="6" a="1"/>
  <c r="BF6" i="6" s="1"/>
  <c r="C6" i="6" a="1"/>
  <c r="C6" i="6" s="1"/>
  <c r="BF6" i="1" a="1"/>
  <c r="BF6" i="1" s="1"/>
  <c r="C6" i="1" a="1"/>
  <c r="C6" i="1" s="1"/>
  <c r="P7" i="6" a="1"/>
  <c r="P7" i="6" s="1"/>
  <c r="P8" i="6" a="1"/>
  <c r="P8" i="6" s="1"/>
  <c r="P9" i="6" a="1"/>
  <c r="P9" i="6" s="1"/>
  <c r="P10" i="6" a="1"/>
  <c r="P10" i="6" s="1"/>
  <c r="P11" i="6" a="1"/>
  <c r="P11" i="6" s="1"/>
  <c r="P12" i="6" a="1"/>
  <c r="P12" i="6" s="1"/>
  <c r="P13" i="6" a="1"/>
  <c r="P13" i="6" s="1"/>
  <c r="P14" i="6" a="1"/>
  <c r="P14" i="6" s="1"/>
  <c r="P15" i="6" a="1"/>
  <c r="P15" i="6" s="1"/>
  <c r="P16" i="6" a="1"/>
  <c r="P16" i="6" s="1"/>
  <c r="P17" i="6" a="1"/>
  <c r="P17" i="6" s="1"/>
  <c r="P18" i="6" a="1"/>
  <c r="P18" i="6" s="1"/>
  <c r="P19" i="6" a="1"/>
  <c r="P19" i="6" s="1"/>
  <c r="P20" i="6" a="1"/>
  <c r="P20" i="6" s="1"/>
  <c r="P21" i="6" a="1"/>
  <c r="P21" i="6" s="1"/>
  <c r="P22" i="6" a="1"/>
  <c r="P22" i="6" s="1"/>
  <c r="P23" i="6" a="1"/>
  <c r="P23" i="6" s="1"/>
  <c r="P24" i="6" a="1"/>
  <c r="P24" i="6" s="1"/>
  <c r="P25" i="6" a="1"/>
  <c r="P25" i="6" s="1"/>
  <c r="P26" i="6" a="1"/>
  <c r="P26" i="6" s="1"/>
  <c r="P27" i="6" a="1"/>
  <c r="P27" i="6" s="1"/>
  <c r="P28" i="6" a="1"/>
  <c r="P28" i="6" s="1"/>
  <c r="P29" i="6" a="1"/>
  <c r="P29" i="6" s="1"/>
  <c r="P30" i="6" a="1"/>
  <c r="P30" i="6" s="1"/>
  <c r="P13" i="1" a="1"/>
  <c r="P13" i="1" s="1"/>
  <c r="P14" i="1" a="1"/>
  <c r="P14" i="1" s="1"/>
  <c r="P15" i="1" a="1"/>
  <c r="P15" i="1" s="1"/>
  <c r="P16" i="1" a="1"/>
  <c r="P16" i="1" s="1"/>
  <c r="P17" i="1" a="1"/>
  <c r="P17" i="1" s="1"/>
  <c r="P18" i="1" a="1"/>
  <c r="P18" i="1" s="1"/>
  <c r="P19" i="1" a="1"/>
  <c r="P19" i="1" s="1"/>
  <c r="P20" i="1" a="1"/>
  <c r="P20" i="1" s="1"/>
  <c r="P21" i="1" a="1"/>
  <c r="P21" i="1" s="1"/>
  <c r="P22" i="1" a="1"/>
  <c r="P22" i="1" s="1"/>
  <c r="P23" i="1" a="1"/>
  <c r="P23" i="1" s="1"/>
  <c r="P24" i="1" a="1"/>
  <c r="P24" i="1" s="1"/>
  <c r="P25" i="1" a="1"/>
  <c r="P25" i="1" s="1"/>
  <c r="P26" i="1" a="1"/>
  <c r="P26" i="1" s="1"/>
  <c r="P27" i="1" a="1"/>
  <c r="P27" i="1" s="1"/>
  <c r="P28" i="1" a="1"/>
  <c r="P28" i="1" s="1"/>
  <c r="P29" i="1" a="1"/>
  <c r="P29" i="1" s="1"/>
  <c r="P30" i="1" a="1"/>
  <c r="P30" i="1" s="1"/>
  <c r="V7" i="6" a="1"/>
  <c r="V7" i="6" s="1"/>
  <c r="V8" i="6" a="1"/>
  <c r="V8" i="6" s="1"/>
  <c r="V9" i="6" a="1"/>
  <c r="V9" i="6" s="1"/>
  <c r="V10" i="6" a="1"/>
  <c r="V10" i="6" s="1"/>
  <c r="V11" i="6" a="1"/>
  <c r="V11" i="6" s="1"/>
  <c r="V12" i="6" a="1"/>
  <c r="V12" i="6" s="1"/>
  <c r="V13" i="6" a="1"/>
  <c r="V13" i="6" s="1"/>
  <c r="V14" i="6" a="1"/>
  <c r="V14" i="6" s="1"/>
  <c r="V15" i="6" a="1"/>
  <c r="V15" i="6" s="1"/>
  <c r="V16" i="6" a="1"/>
  <c r="V16" i="6" s="1"/>
  <c r="V17" i="6" a="1"/>
  <c r="V17" i="6" s="1"/>
  <c r="V18" i="6" a="1"/>
  <c r="V18" i="6" s="1"/>
  <c r="V19" i="6" a="1"/>
  <c r="V19" i="6" s="1"/>
  <c r="V20" i="6" a="1"/>
  <c r="V20" i="6" s="1"/>
  <c r="V21" i="6" a="1"/>
  <c r="V21" i="6" s="1"/>
  <c r="V22" i="6" a="1"/>
  <c r="V22" i="6" s="1"/>
  <c r="V23" i="6" a="1"/>
  <c r="V23" i="6" s="1"/>
  <c r="V24" i="6" a="1"/>
  <c r="V24" i="6" s="1"/>
  <c r="V25" i="6" a="1"/>
  <c r="V25" i="6" s="1"/>
  <c r="V26" i="6" a="1"/>
  <c r="V26" i="6" s="1"/>
  <c r="V27" i="6" a="1"/>
  <c r="V27" i="6" s="1"/>
  <c r="V28" i="6" a="1"/>
  <c r="V28" i="6" s="1"/>
  <c r="V29" i="6" a="1"/>
  <c r="V29" i="6" s="1"/>
  <c r="V30" i="6" a="1"/>
  <c r="V30" i="6" s="1"/>
  <c r="V13" i="1" a="1"/>
  <c r="V13" i="1" s="1"/>
  <c r="V14" i="1" a="1"/>
  <c r="V14" i="1" s="1"/>
  <c r="V15" i="1" a="1"/>
  <c r="V15" i="1" s="1"/>
  <c r="V16" i="1" a="1"/>
  <c r="V16" i="1" s="1"/>
  <c r="V17" i="1" a="1"/>
  <c r="V17" i="1" s="1"/>
  <c r="V18" i="1" a="1"/>
  <c r="V18" i="1" s="1"/>
  <c r="V19" i="1" a="1"/>
  <c r="V19" i="1" s="1"/>
  <c r="V20" i="1" a="1"/>
  <c r="V20" i="1" s="1"/>
  <c r="V21" i="1" a="1"/>
  <c r="V21" i="1" s="1"/>
  <c r="V22" i="1" a="1"/>
  <c r="V22" i="1" s="1"/>
  <c r="V23" i="1" a="1"/>
  <c r="V23" i="1" s="1"/>
  <c r="V24" i="1" a="1"/>
  <c r="V24" i="1" s="1"/>
  <c r="V25" i="1" a="1"/>
  <c r="V25" i="1" s="1"/>
  <c r="V26" i="1" a="1"/>
  <c r="V26" i="1" s="1"/>
  <c r="V27" i="1" a="1"/>
  <c r="V27" i="1" s="1"/>
  <c r="V28" i="1" a="1"/>
  <c r="V28" i="1" s="1"/>
  <c r="V29" i="1" a="1"/>
  <c r="V29" i="1" s="1"/>
  <c r="V30" i="1" a="1"/>
  <c r="V30" i="1" s="1"/>
  <c r="C34" i="6" a="1"/>
  <c r="C34" i="6" s="1"/>
  <c r="AC3" i="6" s="1" a="1"/>
  <c r="AC3" i="6" s="1"/>
  <c r="H3" i="6" s="1"/>
  <c r="C34" i="1" a="1"/>
  <c r="C34" i="1" s="1"/>
  <c r="AC3" i="1" s="1" a="1"/>
  <c r="AC3" i="1" s="1"/>
  <c r="J3" i="1" s="1"/>
  <c r="AE3" i="6"/>
  <c r="C52" i="6" s="1" a="1"/>
  <c r="C52" i="6" s="1"/>
  <c r="AD3" i="6" s="1" a="1"/>
  <c r="AD3" i="6" s="1"/>
  <c r="J3" i="6" s="1"/>
  <c r="BH6" i="6" a="1"/>
  <c r="BH6" i="6" s="1"/>
  <c r="AE3" i="1"/>
  <c r="C52" i="1" s="1" a="1"/>
  <c r="C52" i="1" s="1"/>
  <c r="AD3" i="1" s="1" a="1"/>
  <c r="AD3" i="1" s="1"/>
  <c r="L3" i="1" s="1"/>
  <c r="BH6" i="1" a="1"/>
  <c r="BH6" i="1" s="1"/>
  <c r="AN30" i="6" a="1"/>
  <c r="AN30" i="6" s="1"/>
  <c r="AN29" i="6" a="1"/>
  <c r="AN29" i="6" s="1"/>
  <c r="AN28" i="6" a="1"/>
  <c r="AN28" i="6" s="1"/>
  <c r="AN27" i="6" a="1"/>
  <c r="AN27" i="6" s="1"/>
  <c r="AN26" i="6" a="1"/>
  <c r="AN26" i="6" s="1"/>
  <c r="AN25" i="6" a="1"/>
  <c r="AN25" i="6" s="1"/>
  <c r="AN24" i="6" a="1"/>
  <c r="AN24" i="6" s="1"/>
  <c r="AN23" i="6" a="1"/>
  <c r="AN23" i="6" s="1"/>
  <c r="AN22" i="6" a="1"/>
  <c r="AN22" i="6" s="1"/>
  <c r="AN21" i="6" a="1"/>
  <c r="AN21" i="6" s="1"/>
  <c r="AN20" i="6" a="1"/>
  <c r="AN20" i="6" s="1"/>
  <c r="AN19" i="6" a="1"/>
  <c r="AN19" i="6" s="1"/>
  <c r="AN18" i="6" a="1"/>
  <c r="AN18" i="6" s="1"/>
  <c r="AN17" i="6" a="1"/>
  <c r="AN17" i="6" s="1"/>
  <c r="AN16" i="6" a="1"/>
  <c r="AN16" i="6" s="1"/>
  <c r="AN15" i="6" a="1"/>
  <c r="AN15" i="6" s="1"/>
  <c r="AN14" i="6" a="1"/>
  <c r="AN14" i="6" s="1"/>
  <c r="AN13" i="6" a="1"/>
  <c r="AN13" i="6" s="1"/>
  <c r="AN12" i="6" a="1"/>
  <c r="AN12" i="6" s="1"/>
  <c r="AN11" i="6" a="1"/>
  <c r="AN11" i="6" s="1"/>
  <c r="AN10" i="6" a="1"/>
  <c r="AN10" i="6" s="1"/>
  <c r="AQ30" i="6"/>
  <c r="AQ29" i="6"/>
  <c r="AQ28" i="6"/>
  <c r="AQ27" i="6"/>
  <c r="AQ26" i="6"/>
  <c r="AQ25" i="6"/>
  <c r="AQ24" i="6"/>
  <c r="AQ23" i="6"/>
  <c r="AQ22" i="6"/>
  <c r="AQ21" i="6"/>
  <c r="AQ20" i="6"/>
  <c r="AQ19" i="6"/>
  <c r="AQ18" i="6"/>
  <c r="AQ17" i="6"/>
  <c r="AQ16" i="6"/>
  <c r="AQ15" i="6"/>
  <c r="AQ14" i="6"/>
  <c r="AQ13" i="6"/>
  <c r="AQ12" i="6"/>
  <c r="AQ11" i="6"/>
  <c r="AQ10" i="6"/>
  <c r="AP30" i="6"/>
  <c r="AP29" i="6"/>
  <c r="AP28" i="6"/>
  <c r="AP27" i="6"/>
  <c r="AP26" i="6"/>
  <c r="AP25" i="6"/>
  <c r="AP24" i="6"/>
  <c r="AP23" i="6"/>
  <c r="AP22" i="6"/>
  <c r="AP21" i="6"/>
  <c r="AP20" i="6"/>
  <c r="AP19" i="6"/>
  <c r="AP18" i="6"/>
  <c r="AP17" i="6"/>
  <c r="AP16" i="6"/>
  <c r="AP15" i="6"/>
  <c r="AP14" i="6"/>
  <c r="AP13" i="6"/>
  <c r="AP12" i="6"/>
  <c r="AP11" i="6"/>
  <c r="AP10" i="6"/>
  <c r="AO30" i="6"/>
  <c r="AO29" i="6"/>
  <c r="AO28" i="6"/>
  <c r="AO27" i="6"/>
  <c r="AO26" i="6"/>
  <c r="AO25" i="6"/>
  <c r="AO24" i="6"/>
  <c r="AO23" i="6"/>
  <c r="AO22" i="6"/>
  <c r="AO21" i="6"/>
  <c r="AO20" i="6"/>
  <c r="AO19" i="6"/>
  <c r="AO18" i="6"/>
  <c r="AO17" i="6"/>
  <c r="AO16" i="6"/>
  <c r="AO15" i="6"/>
  <c r="AO14" i="6"/>
  <c r="AO13" i="6"/>
  <c r="AO12" i="6"/>
  <c r="AO11" i="6"/>
  <c r="AO10" i="6"/>
  <c r="AY30" i="6"/>
  <c r="AY29" i="6"/>
  <c r="AY28" i="6"/>
  <c r="AY27" i="6"/>
  <c r="AY26" i="6"/>
  <c r="AY25" i="6"/>
  <c r="AY24" i="6"/>
  <c r="AY23" i="6"/>
  <c r="AY22" i="6"/>
  <c r="AY21" i="6"/>
  <c r="AY20" i="6"/>
  <c r="AY19" i="6"/>
  <c r="AY18" i="6"/>
  <c r="AY17" i="6"/>
  <c r="AY16" i="6"/>
  <c r="AY15" i="6"/>
  <c r="AY14" i="6"/>
  <c r="AY13" i="6"/>
  <c r="AY12" i="6"/>
  <c r="AY11" i="6"/>
  <c r="AY10" i="6"/>
  <c r="Q30" i="6"/>
  <c r="Q29" i="6"/>
  <c r="Q28" i="6"/>
  <c r="Q27" i="6"/>
  <c r="Q26" i="6"/>
  <c r="Q25" i="6"/>
  <c r="Q24" i="6"/>
  <c r="Q23" i="6"/>
  <c r="Q22" i="6"/>
  <c r="Q21" i="6"/>
  <c r="Q20" i="6"/>
  <c r="Q19" i="6"/>
  <c r="Q18" i="6"/>
  <c r="Q17" i="6"/>
  <c r="Q16" i="6"/>
  <c r="Q15" i="6"/>
  <c r="Q14" i="6"/>
  <c r="Q13" i="6"/>
  <c r="Q12" i="6"/>
  <c r="Q11" i="6"/>
  <c r="Q10" i="6"/>
  <c r="BD30" i="6" a="1"/>
  <c r="BD30" i="6" s="1"/>
  <c r="BD29" i="6" a="1"/>
  <c r="BD29" i="6" s="1"/>
  <c r="BD28" i="6" a="1"/>
  <c r="BD28" i="6" s="1"/>
  <c r="BD27" i="6" a="1"/>
  <c r="BD27" i="6" s="1"/>
  <c r="BD26" i="6" a="1"/>
  <c r="BD26" i="6" s="1"/>
  <c r="BD25" i="6" a="1"/>
  <c r="BD25" i="6" s="1"/>
  <c r="BD24" i="6" a="1"/>
  <c r="BD24" i="6" s="1"/>
  <c r="BD23" i="6" a="1"/>
  <c r="BD23" i="6" s="1"/>
  <c r="BD22" i="6" a="1"/>
  <c r="BD22" i="6" s="1"/>
  <c r="BD21" i="6" a="1"/>
  <c r="BD21" i="6" s="1"/>
  <c r="BD20" i="6" a="1"/>
  <c r="BD20" i="6" s="1"/>
  <c r="BD19" i="6" a="1"/>
  <c r="BD19" i="6" s="1"/>
  <c r="BD18" i="6" a="1"/>
  <c r="BD18" i="6" s="1"/>
  <c r="BD17" i="6" a="1"/>
  <c r="BD17" i="6" s="1"/>
  <c r="BD16" i="6" a="1"/>
  <c r="BD16" i="6" s="1"/>
  <c r="BD15" i="6" a="1"/>
  <c r="BD15" i="6" s="1"/>
  <c r="BD14" i="6" a="1"/>
  <c r="BD14" i="6" s="1"/>
  <c r="BD13" i="6" a="1"/>
  <c r="BD13" i="6" s="1"/>
  <c r="BD12" i="6" a="1"/>
  <c r="BD12" i="6" s="1"/>
  <c r="BD11" i="6" a="1"/>
  <c r="BD11" i="6" s="1"/>
  <c r="BD10" i="6" a="1"/>
  <c r="BD10" i="6" s="1"/>
  <c r="BD9" i="6" a="1"/>
  <c r="BD9" i="6" s="1"/>
  <c r="BD8" i="6" a="1"/>
  <c r="BD8" i="6" s="1"/>
  <c r="BD7" i="6" a="1"/>
  <c r="BD7" i="6" s="1"/>
  <c r="BC30" i="6" a="1"/>
  <c r="BC30" i="6" s="1"/>
  <c r="BC29" i="6" a="1"/>
  <c r="BC29" i="6" s="1"/>
  <c r="BC28" i="6" a="1"/>
  <c r="BC28" i="6" s="1"/>
  <c r="BC27" i="6" a="1"/>
  <c r="BC27" i="6" s="1"/>
  <c r="BC26" i="6" a="1"/>
  <c r="BC26" i="6" s="1"/>
  <c r="BC25" i="6" a="1"/>
  <c r="BC25" i="6" s="1"/>
  <c r="BC24" i="6" a="1"/>
  <c r="BC24" i="6" s="1"/>
  <c r="BC23" i="6" a="1"/>
  <c r="BC23" i="6" s="1"/>
  <c r="BC22" i="6" a="1"/>
  <c r="BC22" i="6" s="1"/>
  <c r="BC21" i="6" a="1"/>
  <c r="BC21" i="6" s="1"/>
  <c r="BC20" i="6" a="1"/>
  <c r="BC20" i="6" s="1"/>
  <c r="BC19" i="6" a="1"/>
  <c r="BC19" i="6" s="1"/>
  <c r="BC18" i="6" a="1"/>
  <c r="BC18" i="6" s="1"/>
  <c r="BC17" i="6" a="1"/>
  <c r="BC17" i="6" s="1"/>
  <c r="BC16" i="6" a="1"/>
  <c r="BC16" i="6" s="1"/>
  <c r="BC15" i="6" a="1"/>
  <c r="BC15" i="6" s="1"/>
  <c r="BC14" i="6" a="1"/>
  <c r="BC14" i="6" s="1"/>
  <c r="BC13" i="6" a="1"/>
  <c r="BC13" i="6" s="1"/>
  <c r="BC12" i="6" a="1"/>
  <c r="BC12" i="6" s="1"/>
  <c r="BC11" i="6" a="1"/>
  <c r="BC11" i="6" s="1"/>
  <c r="BC10" i="6" a="1"/>
  <c r="BC10" i="6" s="1"/>
  <c r="BC9" i="6" a="1"/>
  <c r="BC9" i="6" s="1"/>
  <c r="BC8" i="6" a="1"/>
  <c r="BC8" i="6" s="1"/>
  <c r="BC7" i="6" a="1"/>
  <c r="BC7" i="6" s="1"/>
  <c r="BB30" i="6" a="1"/>
  <c r="BB30" i="6" s="1"/>
  <c r="BB29" i="6" a="1"/>
  <c r="BB29" i="6" s="1"/>
  <c r="BB28" i="6" a="1"/>
  <c r="BB28" i="6" s="1"/>
  <c r="BB27" i="6" a="1"/>
  <c r="BB27" i="6" s="1"/>
  <c r="BB26" i="6" a="1"/>
  <c r="BB26" i="6" s="1"/>
  <c r="BB25" i="6" a="1"/>
  <c r="BB25" i="6" s="1"/>
  <c r="BB24" i="6" a="1"/>
  <c r="BB24" i="6" s="1"/>
  <c r="BB23" i="6" a="1"/>
  <c r="BB23" i="6" s="1"/>
  <c r="BB22" i="6" a="1"/>
  <c r="BB22" i="6" s="1"/>
  <c r="BB21" i="6" a="1"/>
  <c r="BB21" i="6" s="1"/>
  <c r="BB20" i="6" a="1"/>
  <c r="BB20" i="6" s="1"/>
  <c r="BB19" i="6" a="1"/>
  <c r="BB19" i="6" s="1"/>
  <c r="BB18" i="6" a="1"/>
  <c r="BB18" i="6" s="1"/>
  <c r="BB17" i="6" a="1"/>
  <c r="BB17" i="6" s="1"/>
  <c r="BB16" i="6" a="1"/>
  <c r="BB16" i="6" s="1"/>
  <c r="BB15" i="6" a="1"/>
  <c r="BB15" i="6" s="1"/>
  <c r="BB14" i="6" a="1"/>
  <c r="BB14" i="6" s="1"/>
  <c r="BB13" i="6" a="1"/>
  <c r="BB13" i="6" s="1"/>
  <c r="BB12" i="6" a="1"/>
  <c r="BB12" i="6" s="1"/>
  <c r="BB11" i="6" a="1"/>
  <c r="BB11" i="6" s="1"/>
  <c r="BB10" i="6" a="1"/>
  <c r="BB10" i="6" s="1"/>
  <c r="BB9" i="6" a="1"/>
  <c r="BB9" i="6" s="1"/>
  <c r="BB8" i="6" a="1"/>
  <c r="BB8" i="6" s="1"/>
  <c r="BB7" i="6" a="1"/>
  <c r="BB7" i="6" s="1"/>
  <c r="BA30" i="6" a="1"/>
  <c r="BA30" i="6" s="1"/>
  <c r="BA29" i="6" a="1"/>
  <c r="BA29" i="6" s="1"/>
  <c r="BA28" i="6" a="1"/>
  <c r="BA28" i="6" s="1"/>
  <c r="BA27" i="6" a="1"/>
  <c r="BA27" i="6" s="1"/>
  <c r="BA26" i="6" a="1"/>
  <c r="BA26" i="6" s="1"/>
  <c r="BA25" i="6" a="1"/>
  <c r="BA25" i="6" s="1"/>
  <c r="BA24" i="6" a="1"/>
  <c r="BA24" i="6" s="1"/>
  <c r="BA23" i="6" a="1"/>
  <c r="BA23" i="6" s="1"/>
  <c r="BA22" i="6" a="1"/>
  <c r="BA22" i="6" s="1"/>
  <c r="BA21" i="6" a="1"/>
  <c r="BA21" i="6" s="1"/>
  <c r="BA20" i="6" a="1"/>
  <c r="BA20" i="6" s="1"/>
  <c r="BA19" i="6" a="1"/>
  <c r="BA19" i="6" s="1"/>
  <c r="BA18" i="6" a="1"/>
  <c r="BA18" i="6" s="1"/>
  <c r="BA17" i="6" a="1"/>
  <c r="BA17" i="6" s="1"/>
  <c r="BA16" i="6" a="1"/>
  <c r="BA16" i="6" s="1"/>
  <c r="BA15" i="6" a="1"/>
  <c r="BA15" i="6" s="1"/>
  <c r="BA14" i="6" a="1"/>
  <c r="BA14" i="6" s="1"/>
  <c r="BA13" i="6" a="1"/>
  <c r="BA13" i="6" s="1"/>
  <c r="BA12" i="6" a="1"/>
  <c r="BA12" i="6" s="1"/>
  <c r="BA11" i="6" a="1"/>
  <c r="BA11" i="6" s="1"/>
  <c r="BA10" i="6" a="1"/>
  <c r="BA10" i="6" s="1"/>
  <c r="BA9" i="6" a="1"/>
  <c r="BA9" i="6" s="1"/>
  <c r="BA8" i="6" a="1"/>
  <c r="BA8" i="6" s="1"/>
  <c r="BA7" i="6" a="1"/>
  <c r="BA7" i="6" s="1"/>
  <c r="AZ30" i="6" a="1"/>
  <c r="AZ30" i="6" s="1"/>
  <c r="AZ29" i="6" a="1"/>
  <c r="AZ29" i="6" s="1"/>
  <c r="AZ28" i="6" a="1"/>
  <c r="AZ28" i="6" s="1"/>
  <c r="AZ27" i="6" a="1"/>
  <c r="AZ27" i="6" s="1"/>
  <c r="AZ26" i="6" a="1"/>
  <c r="AZ26" i="6" s="1"/>
  <c r="AZ25" i="6" a="1"/>
  <c r="AZ25" i="6" s="1"/>
  <c r="AZ24" i="6" a="1"/>
  <c r="AZ24" i="6" s="1"/>
  <c r="AZ23" i="6" a="1"/>
  <c r="AZ23" i="6" s="1"/>
  <c r="AZ22" i="6" a="1"/>
  <c r="AZ22" i="6" s="1"/>
  <c r="AZ21" i="6" a="1"/>
  <c r="AZ21" i="6" s="1"/>
  <c r="AZ20" i="6" a="1"/>
  <c r="AZ20" i="6" s="1"/>
  <c r="AZ19" i="6" a="1"/>
  <c r="AZ19" i="6" s="1"/>
  <c r="AZ18" i="6" a="1"/>
  <c r="AZ18" i="6" s="1"/>
  <c r="AZ17" i="6" a="1"/>
  <c r="AZ17" i="6" s="1"/>
  <c r="AZ16" i="6" a="1"/>
  <c r="AZ16" i="6" s="1"/>
  <c r="AZ15" i="6" a="1"/>
  <c r="AZ15" i="6" s="1"/>
  <c r="AZ14" i="6" a="1"/>
  <c r="AZ14" i="6" s="1"/>
  <c r="AZ13" i="6" a="1"/>
  <c r="AZ13" i="6" s="1"/>
  <c r="AZ12" i="6" a="1"/>
  <c r="AZ12" i="6" s="1"/>
  <c r="AZ11" i="6" a="1"/>
  <c r="AZ11" i="6" s="1"/>
  <c r="AZ10" i="6" a="1"/>
  <c r="AZ10" i="6" s="1"/>
  <c r="AZ9" i="6" a="1"/>
  <c r="AZ9" i="6" s="1"/>
  <c r="AZ8" i="6" a="1"/>
  <c r="AZ8" i="6" s="1"/>
  <c r="AZ7" i="6" a="1"/>
  <c r="AZ7" i="6" s="1"/>
  <c r="AN30" i="1" a="1"/>
  <c r="AN30" i="1" s="1"/>
  <c r="AN29" i="1" a="1"/>
  <c r="AN29" i="1" s="1"/>
  <c r="AN28" i="1" a="1"/>
  <c r="AN28" i="1" s="1"/>
  <c r="AN27" i="1" a="1"/>
  <c r="AN27" i="1" s="1"/>
  <c r="AN26" i="1" a="1"/>
  <c r="AN26" i="1" s="1"/>
  <c r="AN25" i="1" a="1"/>
  <c r="AN25" i="1" s="1"/>
  <c r="AN24" i="1" a="1"/>
  <c r="AN24" i="1" s="1"/>
  <c r="AN23" i="1" a="1"/>
  <c r="AN23" i="1" s="1"/>
  <c r="AN22" i="1" a="1"/>
  <c r="AN22" i="1" s="1"/>
  <c r="AN21" i="1" a="1"/>
  <c r="AN21" i="1" s="1"/>
  <c r="AN20" i="1" a="1"/>
  <c r="AN20" i="1" s="1"/>
  <c r="AN19" i="1" a="1"/>
  <c r="AN19" i="1" s="1"/>
  <c r="AN18" i="1" a="1"/>
  <c r="AN18" i="1" s="1"/>
  <c r="AN17" i="1" a="1"/>
  <c r="AN17" i="1" s="1"/>
  <c r="AN16" i="1" a="1"/>
  <c r="AN16" i="1" s="1"/>
  <c r="AN15" i="1" a="1"/>
  <c r="AN15" i="1" s="1"/>
  <c r="AN14" i="1" a="1"/>
  <c r="AN14" i="1" s="1"/>
  <c r="AN13" i="1" a="1"/>
  <c r="AN13" i="1" s="1"/>
  <c r="AQ30" i="1"/>
  <c r="AQ29" i="1"/>
  <c r="AQ28" i="1"/>
  <c r="AQ27" i="1"/>
  <c r="AQ26" i="1"/>
  <c r="AQ25" i="1"/>
  <c r="AQ24" i="1"/>
  <c r="AQ23" i="1"/>
  <c r="AQ22" i="1"/>
  <c r="AQ21" i="1"/>
  <c r="AQ20" i="1"/>
  <c r="AQ19" i="1"/>
  <c r="AQ18" i="1"/>
  <c r="AQ17" i="1"/>
  <c r="AQ16" i="1"/>
  <c r="AQ15" i="1"/>
  <c r="AQ14" i="1"/>
  <c r="AQ13" i="1"/>
  <c r="AP30" i="1"/>
  <c r="AP29" i="1"/>
  <c r="AP28" i="1"/>
  <c r="AP27" i="1"/>
  <c r="AP26" i="1"/>
  <c r="AP25" i="1"/>
  <c r="AP24" i="1"/>
  <c r="AP23" i="1"/>
  <c r="AP22" i="1"/>
  <c r="AP21" i="1"/>
  <c r="AP20" i="1"/>
  <c r="AP19" i="1"/>
  <c r="AP18" i="1"/>
  <c r="AP17" i="1"/>
  <c r="AP16" i="1"/>
  <c r="AP15" i="1"/>
  <c r="AP14" i="1"/>
  <c r="AP13" i="1"/>
  <c r="AO30" i="1" a="1"/>
  <c r="AO30" i="1" s="1"/>
  <c r="AO29" i="1" a="1"/>
  <c r="AO29" i="1" s="1"/>
  <c r="AO28" i="1" a="1"/>
  <c r="AO28" i="1" s="1"/>
  <c r="AO27" i="1" a="1"/>
  <c r="AO27" i="1" s="1"/>
  <c r="AO26" i="1" a="1"/>
  <c r="AO26" i="1" s="1"/>
  <c r="AO25" i="1" a="1"/>
  <c r="AO25" i="1" s="1"/>
  <c r="AO24" i="1" a="1"/>
  <c r="AO24" i="1" s="1"/>
  <c r="AO23" i="1" a="1"/>
  <c r="AO23" i="1" s="1"/>
  <c r="AO22" i="1" a="1"/>
  <c r="AO22" i="1" s="1"/>
  <c r="AO21" i="1" a="1"/>
  <c r="AO21" i="1" s="1"/>
  <c r="AO20" i="1" a="1"/>
  <c r="AO20" i="1" s="1"/>
  <c r="AO19" i="1" a="1"/>
  <c r="AO19" i="1" s="1"/>
  <c r="AO18" i="1" a="1"/>
  <c r="AO18" i="1" s="1"/>
  <c r="AO17" i="1" a="1"/>
  <c r="AO17" i="1" s="1"/>
  <c r="AO16" i="1" a="1"/>
  <c r="AO16" i="1" s="1"/>
  <c r="AO15" i="1" a="1"/>
  <c r="AO15" i="1" s="1"/>
  <c r="AO14" i="1" a="1"/>
  <c r="AO14" i="1" s="1"/>
  <c r="AO13" i="1" a="1"/>
  <c r="AO13" i="1" s="1"/>
  <c r="AY30" i="1"/>
  <c r="AY29" i="1"/>
  <c r="AY28" i="1"/>
  <c r="AY27" i="1"/>
  <c r="AY26" i="1"/>
  <c r="AY25" i="1"/>
  <c r="AY24" i="1"/>
  <c r="AY23" i="1"/>
  <c r="AY22" i="1"/>
  <c r="AY21" i="1"/>
  <c r="AY20" i="1"/>
  <c r="AY19" i="1"/>
  <c r="AY18" i="1"/>
  <c r="AY17" i="1"/>
  <c r="AY16" i="1"/>
  <c r="AY15" i="1"/>
  <c r="AY14" i="1"/>
  <c r="AY13" i="1"/>
  <c r="Q30" i="1"/>
  <c r="Q29" i="1"/>
  <c r="Q28" i="1"/>
  <c r="Q27" i="1"/>
  <c r="Q26" i="1"/>
  <c r="Q25" i="1"/>
  <c r="Q24" i="1"/>
  <c r="Q23" i="1"/>
  <c r="Q22" i="1"/>
  <c r="Q21" i="1"/>
  <c r="Q20" i="1"/>
  <c r="Q19" i="1"/>
  <c r="Q18" i="1"/>
  <c r="Q17" i="1"/>
  <c r="Q16" i="1"/>
  <c r="Q15" i="1"/>
  <c r="Q14" i="1"/>
  <c r="Q13" i="1"/>
  <c r="BD30" i="1" a="1"/>
  <c r="BD30" i="1" s="1"/>
  <c r="BD29" i="1" a="1"/>
  <c r="BD29" i="1" s="1"/>
  <c r="BD28" i="1" a="1"/>
  <c r="BD28" i="1" s="1"/>
  <c r="BD27" i="1" a="1"/>
  <c r="BD27" i="1" s="1"/>
  <c r="BD26" i="1" a="1"/>
  <c r="BD26" i="1" s="1"/>
  <c r="BD25" i="1" a="1"/>
  <c r="BD25" i="1" s="1"/>
  <c r="BD24" i="1" a="1"/>
  <c r="BD24" i="1" s="1"/>
  <c r="BD23" i="1" a="1"/>
  <c r="BD23" i="1" s="1"/>
  <c r="BD22" i="1" a="1"/>
  <c r="BD22" i="1" s="1"/>
  <c r="BD21" i="1" a="1"/>
  <c r="BD21" i="1" s="1"/>
  <c r="BD20" i="1" a="1"/>
  <c r="BD20" i="1" s="1"/>
  <c r="BD19" i="1" a="1"/>
  <c r="BD19" i="1" s="1"/>
  <c r="BD18" i="1" a="1"/>
  <c r="BD18" i="1" s="1"/>
  <c r="BD17" i="1" a="1"/>
  <c r="BD17" i="1" s="1"/>
  <c r="BD16" i="1" a="1"/>
  <c r="BD16" i="1" s="1"/>
  <c r="BD15" i="1" a="1"/>
  <c r="BD15" i="1" s="1"/>
  <c r="BD14" i="1" a="1"/>
  <c r="BD14" i="1" s="1"/>
  <c r="BD13" i="1" a="1"/>
  <c r="BD13" i="1" s="1"/>
  <c r="BC30" i="1" a="1"/>
  <c r="BC30" i="1" s="1"/>
  <c r="BC29" i="1" a="1"/>
  <c r="BC29" i="1" s="1"/>
  <c r="BC28" i="1" a="1"/>
  <c r="BC28" i="1" s="1"/>
  <c r="BC27" i="1" a="1"/>
  <c r="BC27" i="1" s="1"/>
  <c r="BC26" i="1" a="1"/>
  <c r="BC26" i="1" s="1"/>
  <c r="BC25" i="1" a="1"/>
  <c r="BC25" i="1" s="1"/>
  <c r="BC24" i="1" a="1"/>
  <c r="BC24" i="1" s="1"/>
  <c r="BC23" i="1" a="1"/>
  <c r="BC23" i="1" s="1"/>
  <c r="BC22" i="1" a="1"/>
  <c r="BC22" i="1" s="1"/>
  <c r="BC21" i="1" a="1"/>
  <c r="BC21" i="1" s="1"/>
  <c r="BC20" i="1" a="1"/>
  <c r="BC20" i="1" s="1"/>
  <c r="BC19" i="1" a="1"/>
  <c r="BC19" i="1" s="1"/>
  <c r="BC18" i="1" a="1"/>
  <c r="BC18" i="1" s="1"/>
  <c r="BC17" i="1" a="1"/>
  <c r="BC17" i="1" s="1"/>
  <c r="BC16" i="1" a="1"/>
  <c r="BC16" i="1" s="1"/>
  <c r="BC15" i="1" a="1"/>
  <c r="BC15" i="1" s="1"/>
  <c r="BC14" i="1" a="1"/>
  <c r="BC14" i="1" s="1"/>
  <c r="BC13" i="1" a="1"/>
  <c r="BC13" i="1" s="1"/>
  <c r="BB30" i="1" a="1"/>
  <c r="BB30" i="1" s="1"/>
  <c r="BB29" i="1" a="1"/>
  <c r="BB29" i="1" s="1"/>
  <c r="BB28" i="1" a="1"/>
  <c r="BB28" i="1" s="1"/>
  <c r="BB27" i="1" a="1"/>
  <c r="BB27" i="1" s="1"/>
  <c r="BB26" i="1" a="1"/>
  <c r="BB26" i="1" s="1"/>
  <c r="BB25" i="1" a="1"/>
  <c r="BB25" i="1" s="1"/>
  <c r="BB24" i="1" a="1"/>
  <c r="BB24" i="1" s="1"/>
  <c r="BB23" i="1" a="1"/>
  <c r="BB23" i="1" s="1"/>
  <c r="BB22" i="1" a="1"/>
  <c r="BB22" i="1" s="1"/>
  <c r="BB21" i="1" a="1"/>
  <c r="BB21" i="1" s="1"/>
  <c r="BB20" i="1" a="1"/>
  <c r="BB20" i="1" s="1"/>
  <c r="BB19" i="1" a="1"/>
  <c r="BB19" i="1" s="1"/>
  <c r="BB18" i="1" a="1"/>
  <c r="BB18" i="1" s="1"/>
  <c r="BB17" i="1" a="1"/>
  <c r="BB17" i="1" s="1"/>
  <c r="BB16" i="1" a="1"/>
  <c r="BB16" i="1" s="1"/>
  <c r="BB15" i="1" a="1"/>
  <c r="BB15" i="1" s="1"/>
  <c r="BB14" i="1" a="1"/>
  <c r="BB14" i="1" s="1"/>
  <c r="BB13" i="1" a="1"/>
  <c r="BB13" i="1" s="1"/>
  <c r="BA30" i="1" a="1"/>
  <c r="BA30" i="1" s="1"/>
  <c r="BA29" i="1" a="1"/>
  <c r="BA29" i="1" s="1"/>
  <c r="BA28" i="1" a="1"/>
  <c r="BA28" i="1" s="1"/>
  <c r="BA27" i="1" a="1"/>
  <c r="BA27" i="1" s="1"/>
  <c r="BA26" i="1" a="1"/>
  <c r="BA26" i="1" s="1"/>
  <c r="BA25" i="1" a="1"/>
  <c r="BA25" i="1" s="1"/>
  <c r="BA24" i="1" a="1"/>
  <c r="BA24" i="1" s="1"/>
  <c r="BA23" i="1" a="1"/>
  <c r="BA23" i="1" s="1"/>
  <c r="BA22" i="1" a="1"/>
  <c r="BA22" i="1" s="1"/>
  <c r="BA21" i="1" a="1"/>
  <c r="BA21" i="1" s="1"/>
  <c r="BA20" i="1" a="1"/>
  <c r="BA20" i="1" s="1"/>
  <c r="BA19" i="1" a="1"/>
  <c r="BA19" i="1" s="1"/>
  <c r="BA18" i="1" a="1"/>
  <c r="BA18" i="1" s="1"/>
  <c r="BA17" i="1" a="1"/>
  <c r="BA17" i="1" s="1"/>
  <c r="BA16" i="1" a="1"/>
  <c r="BA16" i="1" s="1"/>
  <c r="BA15" i="1" a="1"/>
  <c r="BA15" i="1" s="1"/>
  <c r="BA14" i="1" a="1"/>
  <c r="BA14" i="1" s="1"/>
  <c r="BA13" i="1" a="1"/>
  <c r="BA13" i="1" s="1"/>
  <c r="AZ30" i="1" a="1"/>
  <c r="AZ30" i="1" s="1"/>
  <c r="AZ29" i="1" a="1"/>
  <c r="AZ29" i="1" s="1"/>
  <c r="AZ28" i="1" a="1"/>
  <c r="AZ28" i="1" s="1"/>
  <c r="AZ27" i="1" a="1"/>
  <c r="AZ27" i="1" s="1"/>
  <c r="AZ26" i="1" a="1"/>
  <c r="AZ26" i="1" s="1"/>
  <c r="AZ25" i="1" a="1"/>
  <c r="AZ25" i="1" s="1"/>
  <c r="AZ24" i="1" a="1"/>
  <c r="AZ24" i="1" s="1"/>
  <c r="AZ23" i="1" a="1"/>
  <c r="AZ23" i="1" s="1"/>
  <c r="AZ22" i="1" a="1"/>
  <c r="AZ22" i="1" s="1"/>
  <c r="AZ21" i="1" a="1"/>
  <c r="AZ21" i="1" s="1"/>
  <c r="AZ20" i="1" a="1"/>
  <c r="AZ20" i="1" s="1"/>
  <c r="AZ19" i="1" a="1"/>
  <c r="AZ19" i="1" s="1"/>
  <c r="AZ18" i="1" a="1"/>
  <c r="AZ18" i="1" s="1"/>
  <c r="AZ17" i="1" a="1"/>
  <c r="AZ17" i="1" s="1"/>
  <c r="AZ16" i="1" a="1"/>
  <c r="AZ16" i="1" s="1"/>
  <c r="AZ15" i="1" a="1"/>
  <c r="AZ15" i="1" s="1"/>
  <c r="AZ14" i="1" a="1"/>
  <c r="AZ14" i="1" s="1"/>
  <c r="AZ13" i="1" a="1"/>
  <c r="AZ13" i="1" s="1"/>
  <c r="AX30" i="6" a="1"/>
  <c r="AX30" i="6" s="1"/>
  <c r="AX29" i="6" a="1"/>
  <c r="AX29" i="6" s="1"/>
  <c r="AX28" i="6" a="1"/>
  <c r="AX28" i="6" s="1"/>
  <c r="AX27" i="6" a="1"/>
  <c r="AX27" i="6" s="1"/>
  <c r="AX26" i="6" a="1"/>
  <c r="AX26" i="6" s="1"/>
  <c r="AX25" i="6" a="1"/>
  <c r="AX25" i="6" s="1"/>
  <c r="AX24" i="6" a="1"/>
  <c r="AX24" i="6" s="1"/>
  <c r="AX23" i="6" a="1"/>
  <c r="AX23" i="6" s="1"/>
  <c r="AX22" i="6" a="1"/>
  <c r="AX22" i="6" s="1"/>
  <c r="AX21" i="6" a="1"/>
  <c r="AX21" i="6" s="1"/>
  <c r="AX20" i="6" a="1"/>
  <c r="AX20" i="6" s="1"/>
  <c r="AX19" i="6" a="1"/>
  <c r="AX19" i="6" s="1"/>
  <c r="AX18" i="6" a="1"/>
  <c r="AX18" i="6" s="1"/>
  <c r="AX17" i="6" a="1"/>
  <c r="AX17" i="6" s="1"/>
  <c r="AX16" i="6" a="1"/>
  <c r="AX16" i="6" s="1"/>
  <c r="AX15" i="6" a="1"/>
  <c r="AX15" i="6" s="1"/>
  <c r="AX14" i="6" a="1"/>
  <c r="AX14" i="6" s="1"/>
  <c r="AX13" i="6" a="1"/>
  <c r="AX13" i="6" s="1"/>
  <c r="AX12" i="6" a="1"/>
  <c r="AX12" i="6" s="1"/>
  <c r="AX11" i="6" a="1"/>
  <c r="AX11" i="6" s="1"/>
  <c r="AX10" i="6" a="1"/>
  <c r="AX10" i="6" s="1"/>
  <c r="AW30" i="6" a="1"/>
  <c r="AW30" i="6" s="1"/>
  <c r="AW29" i="6" a="1"/>
  <c r="AW29" i="6" s="1"/>
  <c r="AW28" i="6" a="1"/>
  <c r="AW28" i="6" s="1"/>
  <c r="AW27" i="6" a="1"/>
  <c r="AW27" i="6" s="1"/>
  <c r="AW26" i="6" a="1"/>
  <c r="AW26" i="6" s="1"/>
  <c r="AW25" i="6" a="1"/>
  <c r="AW25" i="6" s="1"/>
  <c r="AW24" i="6" a="1"/>
  <c r="AW24" i="6" s="1"/>
  <c r="AW23" i="6" a="1"/>
  <c r="AW23" i="6" s="1"/>
  <c r="AW22" i="6" a="1"/>
  <c r="AW22" i="6" s="1"/>
  <c r="AW21" i="6" a="1"/>
  <c r="AW21" i="6" s="1"/>
  <c r="AW20" i="6" a="1"/>
  <c r="AW20" i="6" s="1"/>
  <c r="AW19" i="6" a="1"/>
  <c r="AW19" i="6" s="1"/>
  <c r="AW18" i="6" a="1"/>
  <c r="AW18" i="6" s="1"/>
  <c r="AW17" i="6" a="1"/>
  <c r="AW17" i="6" s="1"/>
  <c r="AW16" i="6" a="1"/>
  <c r="AW16" i="6" s="1"/>
  <c r="AW15" i="6" a="1"/>
  <c r="AW15" i="6" s="1"/>
  <c r="AW14" i="6" a="1"/>
  <c r="AW14" i="6" s="1"/>
  <c r="AW13" i="6" a="1"/>
  <c r="AW13" i="6" s="1"/>
  <c r="AW12" i="6" a="1"/>
  <c r="AW12" i="6" s="1"/>
  <c r="AW11" i="6" a="1"/>
  <c r="AW11" i="6" s="1"/>
  <c r="AW10" i="6" a="1"/>
  <c r="AW10" i="6" s="1"/>
  <c r="AW9" i="6" a="1"/>
  <c r="AW9" i="6" s="1"/>
  <c r="AW8" i="6" a="1"/>
  <c r="AW8" i="6" s="1"/>
  <c r="AW7" i="6" a="1"/>
  <c r="AW7" i="6" s="1"/>
  <c r="AX30" i="1" a="1"/>
  <c r="AX30" i="1" s="1"/>
  <c r="AX29" i="1" a="1"/>
  <c r="AX29" i="1" s="1"/>
  <c r="AX28" i="1" a="1"/>
  <c r="AX28" i="1" s="1"/>
  <c r="AX27" i="1" a="1"/>
  <c r="AX27" i="1" s="1"/>
  <c r="AX26" i="1" a="1"/>
  <c r="AX26" i="1" s="1"/>
  <c r="AX25" i="1" a="1"/>
  <c r="AX25" i="1" s="1"/>
  <c r="AX24" i="1" a="1"/>
  <c r="AX24" i="1" s="1"/>
  <c r="AX23" i="1" a="1"/>
  <c r="AX23" i="1" s="1"/>
  <c r="AX22" i="1" a="1"/>
  <c r="AX22" i="1" s="1"/>
  <c r="AX21" i="1" a="1"/>
  <c r="AX21" i="1" s="1"/>
  <c r="AX20" i="1" a="1"/>
  <c r="AX20" i="1" s="1"/>
  <c r="AX19" i="1" a="1"/>
  <c r="AX19" i="1" s="1"/>
  <c r="AX18" i="1" a="1"/>
  <c r="AX18" i="1" s="1"/>
  <c r="AX17" i="1" a="1"/>
  <c r="AX17" i="1" s="1"/>
  <c r="AX16" i="1" a="1"/>
  <c r="AX16" i="1" s="1"/>
  <c r="AX15" i="1" a="1"/>
  <c r="AX15" i="1" s="1"/>
  <c r="AX14" i="1" a="1"/>
  <c r="AX14" i="1" s="1"/>
  <c r="AX13" i="1" a="1"/>
  <c r="AX13" i="1" s="1"/>
  <c r="AW30" i="1" a="1"/>
  <c r="AW30" i="1" s="1"/>
  <c r="AW29" i="1" a="1"/>
  <c r="AW29" i="1" s="1"/>
  <c r="AW28" i="1" a="1"/>
  <c r="AW28" i="1" s="1"/>
  <c r="AW27" i="1" a="1"/>
  <c r="AW27" i="1" s="1"/>
  <c r="AW26" i="1" a="1"/>
  <c r="AW26" i="1" s="1"/>
  <c r="AW25" i="1" a="1"/>
  <c r="AW25" i="1" s="1"/>
  <c r="AW24" i="1" a="1"/>
  <c r="AW24" i="1" s="1"/>
  <c r="AW23" i="1" a="1"/>
  <c r="AW23" i="1" s="1"/>
  <c r="AW22" i="1" a="1"/>
  <c r="AW22" i="1" s="1"/>
  <c r="AW21" i="1" a="1"/>
  <c r="AW21" i="1" s="1"/>
  <c r="AW20" i="1" a="1"/>
  <c r="AW20" i="1" s="1"/>
  <c r="AW19" i="1" a="1"/>
  <c r="AW19" i="1" s="1"/>
  <c r="AW18" i="1" a="1"/>
  <c r="AW18" i="1" s="1"/>
  <c r="AW17" i="1" a="1"/>
  <c r="AW17" i="1" s="1"/>
  <c r="AW16" i="1" a="1"/>
  <c r="AW16" i="1" s="1"/>
  <c r="AW15" i="1" a="1"/>
  <c r="AW15" i="1" s="1"/>
  <c r="AW14" i="1" a="1"/>
  <c r="AW14" i="1" s="1"/>
  <c r="AW13" i="1" a="1"/>
  <c r="AW13" i="1" s="1"/>
  <c r="R10" i="6"/>
  <c r="S10" i="6"/>
  <c r="T10" i="6"/>
  <c r="U10" i="6"/>
  <c r="W10" i="6"/>
  <c r="Y10" i="6"/>
  <c r="R11" i="6"/>
  <c r="S11" i="6"/>
  <c r="T11" i="6"/>
  <c r="U11" i="6"/>
  <c r="W11" i="6"/>
  <c r="Y11" i="6"/>
  <c r="R12" i="6"/>
  <c r="S12" i="6"/>
  <c r="T12" i="6"/>
  <c r="U12" i="6"/>
  <c r="W12" i="6"/>
  <c r="Y12" i="6"/>
  <c r="R13" i="6"/>
  <c r="S13" i="6"/>
  <c r="T13" i="6"/>
  <c r="U13" i="6"/>
  <c r="W13" i="6"/>
  <c r="Y13" i="6"/>
  <c r="R14" i="6"/>
  <c r="S14" i="6"/>
  <c r="T14" i="6"/>
  <c r="U14" i="6"/>
  <c r="W14" i="6"/>
  <c r="Y14" i="6"/>
  <c r="R15" i="6"/>
  <c r="S15" i="6"/>
  <c r="T15" i="6"/>
  <c r="U15" i="6"/>
  <c r="W15" i="6"/>
  <c r="Y15" i="6"/>
  <c r="R16" i="6"/>
  <c r="S16" i="6"/>
  <c r="T16" i="6"/>
  <c r="U16" i="6"/>
  <c r="W16" i="6"/>
  <c r="Y16" i="6"/>
  <c r="R17" i="6"/>
  <c r="S17" i="6"/>
  <c r="T17" i="6"/>
  <c r="U17" i="6"/>
  <c r="W17" i="6"/>
  <c r="Y17" i="6"/>
  <c r="R18" i="6"/>
  <c r="S18" i="6"/>
  <c r="T18" i="6"/>
  <c r="U18" i="6"/>
  <c r="W18" i="6"/>
  <c r="Y18" i="6"/>
  <c r="R19" i="6"/>
  <c r="S19" i="6"/>
  <c r="T19" i="6"/>
  <c r="U19" i="6"/>
  <c r="W19" i="6"/>
  <c r="Y19" i="6"/>
  <c r="R20" i="6"/>
  <c r="S20" i="6"/>
  <c r="T20" i="6"/>
  <c r="U20" i="6"/>
  <c r="W20" i="6"/>
  <c r="Y20" i="6"/>
  <c r="R21" i="6"/>
  <c r="S21" i="6"/>
  <c r="T21" i="6"/>
  <c r="U21" i="6"/>
  <c r="W21" i="6"/>
  <c r="Y21" i="6"/>
  <c r="R22" i="6"/>
  <c r="S22" i="6"/>
  <c r="T22" i="6"/>
  <c r="U22" i="6"/>
  <c r="W22" i="6"/>
  <c r="Y22" i="6"/>
  <c r="R23" i="6"/>
  <c r="S23" i="6"/>
  <c r="T23" i="6"/>
  <c r="U23" i="6"/>
  <c r="W23" i="6"/>
  <c r="Y23" i="6"/>
  <c r="R24" i="6"/>
  <c r="S24" i="6"/>
  <c r="T24" i="6"/>
  <c r="U24" i="6"/>
  <c r="W24" i="6"/>
  <c r="Y24" i="6"/>
  <c r="R25" i="6"/>
  <c r="S25" i="6"/>
  <c r="T25" i="6"/>
  <c r="U25" i="6"/>
  <c r="W25" i="6"/>
  <c r="Y25" i="6"/>
  <c r="R26" i="6"/>
  <c r="S26" i="6"/>
  <c r="T26" i="6"/>
  <c r="U26" i="6"/>
  <c r="W26" i="6"/>
  <c r="Y26" i="6"/>
  <c r="R27" i="6"/>
  <c r="S27" i="6"/>
  <c r="T27" i="6"/>
  <c r="U27" i="6"/>
  <c r="W27" i="6"/>
  <c r="Y27" i="6"/>
  <c r="R28" i="6"/>
  <c r="S28" i="6"/>
  <c r="T28" i="6"/>
  <c r="U28" i="6"/>
  <c r="W28" i="6"/>
  <c r="Y28" i="6"/>
  <c r="R29" i="6"/>
  <c r="S29" i="6"/>
  <c r="T29" i="6"/>
  <c r="U29" i="6"/>
  <c r="W29" i="6"/>
  <c r="Y29" i="6"/>
  <c r="R30" i="6"/>
  <c r="S30" i="6"/>
  <c r="T30" i="6"/>
  <c r="U30" i="6"/>
  <c r="W30" i="6"/>
  <c r="Y30" i="6"/>
  <c r="AS7" i="6" a="1"/>
  <c r="AS7" i="6" s="1"/>
  <c r="AT7" i="6" a="1"/>
  <c r="AT7" i="6" s="1"/>
  <c r="AU7" i="6" a="1"/>
  <c r="AU7" i="6" s="1"/>
  <c r="AV7" i="6" a="1"/>
  <c r="AV7" i="6" s="1"/>
  <c r="AS8" i="6" a="1"/>
  <c r="AS8" i="6" s="1"/>
  <c r="AT8" i="6" a="1"/>
  <c r="AT8" i="6" s="1"/>
  <c r="AU8" i="6" a="1"/>
  <c r="AU8" i="6" s="1"/>
  <c r="AV8" i="6" a="1"/>
  <c r="AV8" i="6" s="1"/>
  <c r="AS9" i="6" a="1"/>
  <c r="AS9" i="6" s="1"/>
  <c r="AT9" i="6" a="1"/>
  <c r="AT9" i="6" s="1"/>
  <c r="AU9" i="6" a="1"/>
  <c r="AU9" i="6" s="1"/>
  <c r="AV9" i="6" a="1"/>
  <c r="AV9" i="6" s="1"/>
  <c r="AS10" i="6" a="1"/>
  <c r="AS10" i="6" s="1"/>
  <c r="AT10" i="6" a="1"/>
  <c r="AT10" i="6" s="1"/>
  <c r="AU10" i="6" a="1"/>
  <c r="AU10" i="6" s="1"/>
  <c r="AV10" i="6" a="1"/>
  <c r="AV10" i="6" s="1"/>
  <c r="AS11" i="6" a="1"/>
  <c r="AS11" i="6" s="1"/>
  <c r="AT11" i="6" a="1"/>
  <c r="AT11" i="6" s="1"/>
  <c r="AU11" i="6" a="1"/>
  <c r="AU11" i="6" s="1"/>
  <c r="AV11" i="6" a="1"/>
  <c r="AV11" i="6" s="1"/>
  <c r="AS12" i="6" a="1"/>
  <c r="AS12" i="6" s="1"/>
  <c r="AT12" i="6" a="1"/>
  <c r="AT12" i="6" s="1"/>
  <c r="AU12" i="6" a="1"/>
  <c r="AU12" i="6" s="1"/>
  <c r="AV12" i="6" a="1"/>
  <c r="AV12" i="6" s="1"/>
  <c r="AS13" i="6" a="1"/>
  <c r="AS13" i="6" s="1"/>
  <c r="AT13" i="6" a="1"/>
  <c r="AT13" i="6" s="1"/>
  <c r="AU13" i="6" a="1"/>
  <c r="AU13" i="6" s="1"/>
  <c r="AV13" i="6" a="1"/>
  <c r="AV13" i="6" s="1"/>
  <c r="AS14" i="6" a="1"/>
  <c r="AS14" i="6" s="1"/>
  <c r="AT14" i="6" a="1"/>
  <c r="AT14" i="6" s="1"/>
  <c r="AU14" i="6" a="1"/>
  <c r="AU14" i="6" s="1"/>
  <c r="AV14" i="6" a="1"/>
  <c r="AV14" i="6" s="1"/>
  <c r="AS15" i="6" a="1"/>
  <c r="AS15" i="6" s="1"/>
  <c r="AT15" i="6" a="1"/>
  <c r="AT15" i="6" s="1"/>
  <c r="AU15" i="6" a="1"/>
  <c r="AU15" i="6" s="1"/>
  <c r="AV15" i="6" a="1"/>
  <c r="AV15" i="6" s="1"/>
  <c r="AS16" i="6" a="1"/>
  <c r="AS16" i="6" s="1"/>
  <c r="AT16" i="6" a="1"/>
  <c r="AT16" i="6" s="1"/>
  <c r="AU16" i="6" a="1"/>
  <c r="AU16" i="6" s="1"/>
  <c r="AV16" i="6" a="1"/>
  <c r="AV16" i="6" s="1"/>
  <c r="AS17" i="6" a="1"/>
  <c r="AS17" i="6" s="1"/>
  <c r="AT17" i="6" a="1"/>
  <c r="AT17" i="6" s="1"/>
  <c r="AU17" i="6" a="1"/>
  <c r="AU17" i="6" s="1"/>
  <c r="AV17" i="6" a="1"/>
  <c r="AV17" i="6" s="1"/>
  <c r="AS18" i="6" a="1"/>
  <c r="AS18" i="6" s="1"/>
  <c r="AT18" i="6" a="1"/>
  <c r="AT18" i="6" s="1"/>
  <c r="AU18" i="6" a="1"/>
  <c r="AU18" i="6" s="1"/>
  <c r="AV18" i="6" a="1"/>
  <c r="AV18" i="6" s="1"/>
  <c r="AS19" i="6" a="1"/>
  <c r="AS19" i="6" s="1"/>
  <c r="AT19" i="6" a="1"/>
  <c r="AT19" i="6" s="1"/>
  <c r="AU19" i="6" a="1"/>
  <c r="AU19" i="6" s="1"/>
  <c r="AV19" i="6" a="1"/>
  <c r="AV19" i="6" s="1"/>
  <c r="AS20" i="6" a="1"/>
  <c r="AS20" i="6" s="1"/>
  <c r="AT20" i="6" a="1"/>
  <c r="AT20" i="6" s="1"/>
  <c r="AU20" i="6" a="1"/>
  <c r="AU20" i="6" s="1"/>
  <c r="AV20" i="6" a="1"/>
  <c r="AV20" i="6" s="1"/>
  <c r="AS21" i="6" a="1"/>
  <c r="AS21" i="6" s="1"/>
  <c r="AT21" i="6" a="1"/>
  <c r="AT21" i="6" s="1"/>
  <c r="AU21" i="6" a="1"/>
  <c r="AU21" i="6" s="1"/>
  <c r="AV21" i="6" a="1"/>
  <c r="AV21" i="6" s="1"/>
  <c r="AS22" i="6" a="1"/>
  <c r="AS22" i="6" s="1"/>
  <c r="AT22" i="6" a="1"/>
  <c r="AT22" i="6" s="1"/>
  <c r="AU22" i="6" a="1"/>
  <c r="AU22" i="6" s="1"/>
  <c r="AV22" i="6" a="1"/>
  <c r="AV22" i="6" s="1"/>
  <c r="AS23" i="6" a="1"/>
  <c r="AS23" i="6" s="1"/>
  <c r="AT23" i="6" a="1"/>
  <c r="AT23" i="6" s="1"/>
  <c r="AU23" i="6" a="1"/>
  <c r="AU23" i="6" s="1"/>
  <c r="AV23" i="6" a="1"/>
  <c r="AV23" i="6" s="1"/>
  <c r="AS24" i="6" a="1"/>
  <c r="AS24" i="6" s="1"/>
  <c r="AT24" i="6" a="1"/>
  <c r="AT24" i="6" s="1"/>
  <c r="AU24" i="6" a="1"/>
  <c r="AU24" i="6" s="1"/>
  <c r="AV24" i="6" a="1"/>
  <c r="AV24" i="6" s="1"/>
  <c r="AS25" i="6" a="1"/>
  <c r="AS25" i="6" s="1"/>
  <c r="AT25" i="6" a="1"/>
  <c r="AT25" i="6" s="1"/>
  <c r="AU25" i="6" a="1"/>
  <c r="AU25" i="6" s="1"/>
  <c r="AV25" i="6" a="1"/>
  <c r="AV25" i="6" s="1"/>
  <c r="AS26" i="6" a="1"/>
  <c r="AS26" i="6" s="1"/>
  <c r="AT26" i="6" a="1"/>
  <c r="AT26" i="6" s="1"/>
  <c r="AU26" i="6" a="1"/>
  <c r="AU26" i="6" s="1"/>
  <c r="AV26" i="6" a="1"/>
  <c r="AV26" i="6" s="1"/>
  <c r="AS27" i="6" a="1"/>
  <c r="AS27" i="6" s="1"/>
  <c r="AT27" i="6" a="1"/>
  <c r="AT27" i="6" s="1"/>
  <c r="AU27" i="6" a="1"/>
  <c r="AU27" i="6" s="1"/>
  <c r="AV27" i="6" a="1"/>
  <c r="AV27" i="6" s="1"/>
  <c r="AS28" i="6" a="1"/>
  <c r="AS28" i="6" s="1"/>
  <c r="AT28" i="6" a="1"/>
  <c r="AT28" i="6" s="1"/>
  <c r="AU28" i="6" a="1"/>
  <c r="AU28" i="6" s="1"/>
  <c r="AV28" i="6" a="1"/>
  <c r="AV28" i="6" s="1"/>
  <c r="AS29" i="6" a="1"/>
  <c r="AS29" i="6" s="1"/>
  <c r="AT29" i="6" a="1"/>
  <c r="AT29" i="6" s="1"/>
  <c r="AU29" i="6" a="1"/>
  <c r="AU29" i="6" s="1"/>
  <c r="AV29" i="6" a="1"/>
  <c r="AV29" i="6" s="1"/>
  <c r="AS30" i="6" a="1"/>
  <c r="AS30" i="6" s="1"/>
  <c r="AT30" i="6" a="1"/>
  <c r="AT30" i="6" s="1"/>
  <c r="AU30" i="6" a="1"/>
  <c r="AU30" i="6" s="1"/>
  <c r="AV30" i="6" a="1"/>
  <c r="AV30" i="6" s="1"/>
  <c r="AA7" i="6" a="1"/>
  <c r="AA7" i="6" s="1"/>
  <c r="AB7" i="6" a="1"/>
  <c r="AB7" i="6" s="1"/>
  <c r="AC7" i="6" a="1"/>
  <c r="AC7" i="6" s="1"/>
  <c r="AD7" i="6" a="1"/>
  <c r="AD7" i="6" s="1"/>
  <c r="T7" i="6"/>
  <c r="AE7" i="6" a="1"/>
  <c r="AE7" i="6" s="1"/>
  <c r="AX7" i="6" a="1"/>
  <c r="AX7" i="6" s="1"/>
  <c r="AF7" i="6" a="1"/>
  <c r="AF7" i="6" s="1"/>
  <c r="AG7" i="6" a="1"/>
  <c r="AG7" i="6" s="1"/>
  <c r="AH7" i="6" a="1"/>
  <c r="AH7" i="6" s="1"/>
  <c r="AI7" i="6" a="1"/>
  <c r="AI7" i="6" s="1"/>
  <c r="AJ7" i="6" a="1"/>
  <c r="AJ7" i="6" s="1"/>
  <c r="AK7" i="6" a="1"/>
  <c r="AK7" i="6" s="1"/>
  <c r="AL7" i="6" a="1"/>
  <c r="AL7" i="6" s="1"/>
  <c r="AM7" i="6" a="1"/>
  <c r="AM7" i="6" s="1"/>
  <c r="AA8" i="6" a="1"/>
  <c r="AA8" i="6" s="1"/>
  <c r="AB8" i="6" a="1"/>
  <c r="AB8" i="6" s="1"/>
  <c r="AC8" i="6" a="1"/>
  <c r="AC8" i="6" s="1"/>
  <c r="AD8" i="6" a="1"/>
  <c r="AD8" i="6" s="1"/>
  <c r="T8" i="6"/>
  <c r="AE8" i="6" a="1"/>
  <c r="AE8" i="6" s="1"/>
  <c r="AX8" i="6" a="1"/>
  <c r="AX8" i="6" s="1"/>
  <c r="AF8" i="6" a="1"/>
  <c r="AF8" i="6" s="1"/>
  <c r="AG8" i="6" a="1"/>
  <c r="AG8" i="6" s="1"/>
  <c r="AH8" i="6" a="1"/>
  <c r="AH8" i="6" s="1"/>
  <c r="AI8" i="6" a="1"/>
  <c r="AI8" i="6" s="1"/>
  <c r="AJ8" i="6" a="1"/>
  <c r="AJ8" i="6" s="1"/>
  <c r="AK8" i="6" a="1"/>
  <c r="AK8" i="6" s="1"/>
  <c r="AL8" i="6" a="1"/>
  <c r="AL8" i="6" s="1"/>
  <c r="AM8" i="6" a="1"/>
  <c r="AM8" i="6" s="1"/>
  <c r="AA9" i="6" a="1"/>
  <c r="AA9" i="6" s="1"/>
  <c r="AB9" i="6" a="1"/>
  <c r="AB9" i="6" s="1"/>
  <c r="AC9" i="6" a="1"/>
  <c r="AC9" i="6" s="1"/>
  <c r="AD9" i="6" a="1"/>
  <c r="AD9" i="6" s="1"/>
  <c r="T9" i="6"/>
  <c r="AE9" i="6" a="1"/>
  <c r="AE9" i="6" s="1"/>
  <c r="AX9" i="6" a="1"/>
  <c r="AX9" i="6" s="1"/>
  <c r="AF9" i="6" a="1"/>
  <c r="AF9" i="6" s="1"/>
  <c r="AG9" i="6" a="1"/>
  <c r="AG9" i="6" s="1"/>
  <c r="AH9" i="6" a="1"/>
  <c r="AH9" i="6" s="1"/>
  <c r="AI9" i="6" a="1"/>
  <c r="AI9" i="6" s="1"/>
  <c r="AJ9" i="6" a="1"/>
  <c r="AJ9" i="6" s="1"/>
  <c r="AK9" i="6" a="1"/>
  <c r="AK9" i="6" s="1"/>
  <c r="AL9" i="6" a="1"/>
  <c r="AL9" i="6" s="1"/>
  <c r="AM9" i="6" a="1"/>
  <c r="AM9" i="6" s="1"/>
  <c r="AA10" i="6" a="1"/>
  <c r="AA10" i="6" s="1"/>
  <c r="AB10" i="6" a="1"/>
  <c r="AB10" i="6" s="1"/>
  <c r="AC10" i="6" a="1"/>
  <c r="AC10" i="6" s="1"/>
  <c r="AD10" i="6" a="1"/>
  <c r="AD10" i="6" s="1"/>
  <c r="AE10" i="6" a="1"/>
  <c r="AE10" i="6" s="1"/>
  <c r="AF10" i="6" a="1"/>
  <c r="AF10" i="6" s="1"/>
  <c r="AG10" i="6" a="1"/>
  <c r="AG10" i="6" s="1"/>
  <c r="AH10" i="6" a="1"/>
  <c r="AH10" i="6" s="1"/>
  <c r="AI10" i="6" a="1"/>
  <c r="AI10" i="6" s="1"/>
  <c r="AJ10" i="6" a="1"/>
  <c r="AJ10" i="6" s="1"/>
  <c r="AK10" i="6" a="1"/>
  <c r="AK10" i="6" s="1"/>
  <c r="AL10" i="6" a="1"/>
  <c r="AL10" i="6" s="1"/>
  <c r="AM10" i="6" a="1"/>
  <c r="AM10" i="6" s="1"/>
  <c r="AA11" i="6" a="1"/>
  <c r="AA11" i="6" s="1"/>
  <c r="AB11" i="6" a="1"/>
  <c r="AB11" i="6" s="1"/>
  <c r="AC11" i="6" a="1"/>
  <c r="AC11" i="6" s="1"/>
  <c r="AD11" i="6" a="1"/>
  <c r="AD11" i="6" s="1"/>
  <c r="AE11" i="6" a="1"/>
  <c r="AE11" i="6" s="1"/>
  <c r="AF11" i="6" a="1"/>
  <c r="AF11" i="6" s="1"/>
  <c r="AG11" i="6" a="1"/>
  <c r="AG11" i="6" s="1"/>
  <c r="AH11" i="6" a="1"/>
  <c r="AH11" i="6" s="1"/>
  <c r="AI11" i="6" a="1"/>
  <c r="AI11" i="6" s="1"/>
  <c r="AJ11" i="6" a="1"/>
  <c r="AJ11" i="6" s="1"/>
  <c r="AK11" i="6" a="1"/>
  <c r="AK11" i="6" s="1"/>
  <c r="AL11" i="6" a="1"/>
  <c r="AL11" i="6" s="1"/>
  <c r="AM11" i="6" a="1"/>
  <c r="AM11" i="6" s="1"/>
  <c r="AA12" i="6" a="1"/>
  <c r="AA12" i="6" s="1"/>
  <c r="AB12" i="6" a="1"/>
  <c r="AB12" i="6" s="1"/>
  <c r="AC12" i="6" a="1"/>
  <c r="AC12" i="6" s="1"/>
  <c r="AD12" i="6" a="1"/>
  <c r="AD12" i="6" s="1"/>
  <c r="AE12" i="6" a="1"/>
  <c r="AE12" i="6" s="1"/>
  <c r="AF12" i="6" a="1"/>
  <c r="AF12" i="6" s="1"/>
  <c r="AG12" i="6" a="1"/>
  <c r="AG12" i="6" s="1"/>
  <c r="AH12" i="6" a="1"/>
  <c r="AH12" i="6" s="1"/>
  <c r="AI12" i="6" a="1"/>
  <c r="AI12" i="6" s="1"/>
  <c r="AJ12" i="6" a="1"/>
  <c r="AJ12" i="6" s="1"/>
  <c r="AK12" i="6" a="1"/>
  <c r="AK12" i="6" s="1"/>
  <c r="AL12" i="6" a="1"/>
  <c r="AL12" i="6" s="1"/>
  <c r="AM12" i="6" a="1"/>
  <c r="AM12" i="6" s="1"/>
  <c r="AA13" i="6" a="1"/>
  <c r="AA13" i="6" s="1"/>
  <c r="AB13" i="6" a="1"/>
  <c r="AB13" i="6" s="1"/>
  <c r="AC13" i="6" a="1"/>
  <c r="AC13" i="6"/>
  <c r="AD13" i="6" a="1"/>
  <c r="AD13" i="6" s="1"/>
  <c r="AE13" i="6" a="1"/>
  <c r="AE13" i="6" s="1"/>
  <c r="AF13" i="6" a="1"/>
  <c r="AF13" i="6" s="1"/>
  <c r="AG13" i="6" a="1"/>
  <c r="AG13" i="6" s="1"/>
  <c r="AH13" i="6" a="1"/>
  <c r="AH13" i="6" s="1"/>
  <c r="AI13" i="6" a="1"/>
  <c r="AI13" i="6" s="1"/>
  <c r="AJ13" i="6" a="1"/>
  <c r="AJ13" i="6" s="1"/>
  <c r="AK13" i="6" a="1"/>
  <c r="AK13" i="6" s="1"/>
  <c r="AL13" i="6" a="1"/>
  <c r="AL13" i="6" s="1"/>
  <c r="AM13" i="6" a="1"/>
  <c r="AM13" i="6" s="1"/>
  <c r="AA14" i="6" a="1"/>
  <c r="AA14" i="6" s="1"/>
  <c r="AB14" i="6" a="1"/>
  <c r="AB14" i="6" s="1"/>
  <c r="AC14" i="6" a="1"/>
  <c r="AC14" i="6" s="1"/>
  <c r="AD14" i="6" a="1"/>
  <c r="AD14" i="6" s="1"/>
  <c r="AE14" i="6" a="1"/>
  <c r="AE14" i="6" s="1"/>
  <c r="AF14" i="6" a="1"/>
  <c r="AF14" i="6" s="1"/>
  <c r="AG14" i="6" a="1"/>
  <c r="AG14" i="6" s="1"/>
  <c r="AH14" i="6" a="1"/>
  <c r="AH14" i="6" s="1"/>
  <c r="AI14" i="6" a="1"/>
  <c r="AI14" i="6" s="1"/>
  <c r="AJ14" i="6" a="1"/>
  <c r="AJ14" i="6" s="1"/>
  <c r="AK14" i="6" a="1"/>
  <c r="AK14" i="6" s="1"/>
  <c r="AL14" i="6" a="1"/>
  <c r="AL14" i="6" s="1"/>
  <c r="AM14" i="6" a="1"/>
  <c r="AM14" i="6" s="1"/>
  <c r="AA15" i="6" a="1"/>
  <c r="AA15" i="6" s="1"/>
  <c r="AB15" i="6" a="1"/>
  <c r="AB15" i="6" s="1"/>
  <c r="AC15" i="6" a="1"/>
  <c r="AC15" i="6" s="1"/>
  <c r="AD15" i="6" a="1"/>
  <c r="AD15" i="6" s="1"/>
  <c r="AE15" i="6" a="1"/>
  <c r="AE15" i="6" s="1"/>
  <c r="AF15" i="6" a="1"/>
  <c r="AF15" i="6" s="1"/>
  <c r="AG15" i="6" a="1"/>
  <c r="AG15" i="6" s="1"/>
  <c r="AH15" i="6" a="1"/>
  <c r="AH15" i="6" s="1"/>
  <c r="AI15" i="6" a="1"/>
  <c r="AI15" i="6" s="1"/>
  <c r="AJ15" i="6" a="1"/>
  <c r="AJ15" i="6" s="1"/>
  <c r="AK15" i="6" a="1"/>
  <c r="AK15" i="6" s="1"/>
  <c r="AL15" i="6" a="1"/>
  <c r="AL15" i="6" s="1"/>
  <c r="AM15" i="6" a="1"/>
  <c r="AM15" i="6" s="1"/>
  <c r="AA16" i="6" a="1"/>
  <c r="AA16" i="6" s="1"/>
  <c r="AB16" i="6" a="1"/>
  <c r="AB16" i="6" s="1"/>
  <c r="AC16" i="6" a="1"/>
  <c r="AC16" i="6" s="1"/>
  <c r="AD16" i="6" a="1"/>
  <c r="AD16" i="6" s="1"/>
  <c r="AE16" i="6" a="1"/>
  <c r="AE16" i="6" s="1"/>
  <c r="AF16" i="6" a="1"/>
  <c r="AF16" i="6" s="1"/>
  <c r="AG16" i="6" a="1"/>
  <c r="AG16" i="6" s="1"/>
  <c r="AH16" i="6" a="1"/>
  <c r="AH16" i="6" s="1"/>
  <c r="AI16" i="6" a="1"/>
  <c r="AI16" i="6" s="1"/>
  <c r="AJ16" i="6" a="1"/>
  <c r="AJ16" i="6" s="1"/>
  <c r="AK16" i="6" a="1"/>
  <c r="AK16" i="6" s="1"/>
  <c r="AL16" i="6" a="1"/>
  <c r="AL16" i="6" s="1"/>
  <c r="AM16" i="6" a="1"/>
  <c r="AM16" i="6" s="1"/>
  <c r="AA17" i="6" a="1"/>
  <c r="AA17" i="6" s="1"/>
  <c r="AB17" i="6" a="1"/>
  <c r="AB17" i="6" s="1"/>
  <c r="AC17" i="6" a="1"/>
  <c r="AC17" i="6" s="1"/>
  <c r="AD17" i="6" a="1"/>
  <c r="AD17" i="6" s="1"/>
  <c r="AE17" i="6" a="1"/>
  <c r="AE17" i="6" s="1"/>
  <c r="AF17" i="6" a="1"/>
  <c r="AF17" i="6" s="1"/>
  <c r="AG17" i="6" a="1"/>
  <c r="AG17" i="6" s="1"/>
  <c r="AH17" i="6" a="1"/>
  <c r="AH17" i="6" s="1"/>
  <c r="AI17" i="6" a="1"/>
  <c r="AI17" i="6" s="1"/>
  <c r="AJ17" i="6" a="1"/>
  <c r="AJ17" i="6" s="1"/>
  <c r="AK17" i="6" a="1"/>
  <c r="AK17" i="6" s="1"/>
  <c r="AL17" i="6" a="1"/>
  <c r="AL17" i="6" s="1"/>
  <c r="AM17" i="6" a="1"/>
  <c r="AM17" i="6" s="1"/>
  <c r="AA18" i="6" a="1"/>
  <c r="AA18" i="6" s="1"/>
  <c r="AB18" i="6" a="1"/>
  <c r="AB18" i="6" s="1"/>
  <c r="AC18" i="6" a="1"/>
  <c r="AC18" i="6" s="1"/>
  <c r="AD18" i="6" a="1"/>
  <c r="AD18" i="6" s="1"/>
  <c r="AE18" i="6" a="1"/>
  <c r="AE18" i="6" s="1"/>
  <c r="AF18" i="6" a="1"/>
  <c r="AF18" i="6" s="1"/>
  <c r="AG18" i="6" a="1"/>
  <c r="AG18" i="6" s="1"/>
  <c r="AH18" i="6" a="1"/>
  <c r="AH18" i="6" s="1"/>
  <c r="AI18" i="6" a="1"/>
  <c r="AI18" i="6" s="1"/>
  <c r="AJ18" i="6" a="1"/>
  <c r="AJ18" i="6" s="1"/>
  <c r="AK18" i="6" a="1"/>
  <c r="AK18" i="6" s="1"/>
  <c r="AL18" i="6" a="1"/>
  <c r="AL18" i="6" s="1"/>
  <c r="AM18" i="6" a="1"/>
  <c r="AM18" i="6" s="1"/>
  <c r="AA19" i="6" a="1"/>
  <c r="AA19" i="6" s="1"/>
  <c r="AB19" i="6" a="1"/>
  <c r="AB19" i="6" s="1"/>
  <c r="AC19" i="6" a="1"/>
  <c r="AC19" i="6" s="1"/>
  <c r="AD19" i="6" a="1"/>
  <c r="AD19" i="6" s="1"/>
  <c r="AE19" i="6" a="1"/>
  <c r="AE19" i="6" s="1"/>
  <c r="AF19" i="6" a="1"/>
  <c r="AF19" i="6" s="1"/>
  <c r="AG19" i="6" a="1"/>
  <c r="AG19" i="6" s="1"/>
  <c r="AH19" i="6" a="1"/>
  <c r="AH19" i="6" s="1"/>
  <c r="AI19" i="6" a="1"/>
  <c r="AI19" i="6" s="1"/>
  <c r="AJ19" i="6" a="1"/>
  <c r="AJ19" i="6" s="1"/>
  <c r="AK19" i="6" a="1"/>
  <c r="AK19" i="6" s="1"/>
  <c r="AL19" i="6" a="1"/>
  <c r="AL19" i="6" s="1"/>
  <c r="AM19" i="6" a="1"/>
  <c r="AM19" i="6" s="1"/>
  <c r="AA20" i="6" a="1"/>
  <c r="AA20" i="6" s="1"/>
  <c r="AB20" i="6" a="1"/>
  <c r="AB20" i="6" s="1"/>
  <c r="AC20" i="6" a="1"/>
  <c r="AC20" i="6" s="1"/>
  <c r="AD20" i="6" a="1"/>
  <c r="AD20" i="6" s="1"/>
  <c r="AE20" i="6" a="1"/>
  <c r="AE20" i="6" s="1"/>
  <c r="AF20" i="6" a="1"/>
  <c r="AF20" i="6" s="1"/>
  <c r="AG20" i="6" a="1"/>
  <c r="AG20" i="6" s="1"/>
  <c r="AH20" i="6" a="1"/>
  <c r="AH20" i="6" s="1"/>
  <c r="AI20" i="6" a="1"/>
  <c r="AI20" i="6" s="1"/>
  <c r="AJ20" i="6" a="1"/>
  <c r="AJ20" i="6" s="1"/>
  <c r="AK20" i="6" a="1"/>
  <c r="AK20" i="6" s="1"/>
  <c r="AL20" i="6" a="1"/>
  <c r="AL20" i="6" s="1"/>
  <c r="AM20" i="6" a="1"/>
  <c r="AM20" i="6" s="1"/>
  <c r="AA21" i="6" a="1"/>
  <c r="AA21" i="6" s="1"/>
  <c r="AB21" i="6" a="1"/>
  <c r="AB21" i="6" s="1"/>
  <c r="AC21" i="6" a="1"/>
  <c r="AC21" i="6" s="1"/>
  <c r="AD21" i="6" a="1"/>
  <c r="AD21" i="6" s="1"/>
  <c r="AE21" i="6" a="1"/>
  <c r="AE21" i="6" s="1"/>
  <c r="AF21" i="6" a="1"/>
  <c r="AF21" i="6" s="1"/>
  <c r="AG21" i="6" a="1"/>
  <c r="AG21" i="6" s="1"/>
  <c r="AH21" i="6" a="1"/>
  <c r="AH21" i="6" s="1"/>
  <c r="AI21" i="6" a="1"/>
  <c r="AI21" i="6" s="1"/>
  <c r="AJ21" i="6" a="1"/>
  <c r="AJ21" i="6" s="1"/>
  <c r="AK21" i="6" a="1"/>
  <c r="AK21" i="6" s="1"/>
  <c r="AL21" i="6" a="1"/>
  <c r="AL21" i="6" s="1"/>
  <c r="AM21" i="6" a="1"/>
  <c r="AM21" i="6" s="1"/>
  <c r="AA22" i="6" a="1"/>
  <c r="AA22" i="6" s="1"/>
  <c r="AB22" i="6" a="1"/>
  <c r="AB22" i="6" s="1"/>
  <c r="AC22" i="6" a="1"/>
  <c r="AC22" i="6" s="1"/>
  <c r="AD22" i="6" a="1"/>
  <c r="AD22" i="6" s="1"/>
  <c r="AE22" i="6" a="1"/>
  <c r="AE22" i="6" s="1"/>
  <c r="AF22" i="6" a="1"/>
  <c r="AF22" i="6" s="1"/>
  <c r="AG22" i="6" a="1"/>
  <c r="AG22" i="6" s="1"/>
  <c r="AH22" i="6" a="1"/>
  <c r="AH22" i="6" s="1"/>
  <c r="AI22" i="6" a="1"/>
  <c r="AI22" i="6" s="1"/>
  <c r="AJ22" i="6" a="1"/>
  <c r="AJ22" i="6" s="1"/>
  <c r="AK22" i="6" a="1"/>
  <c r="AK22" i="6" s="1"/>
  <c r="AL22" i="6" a="1"/>
  <c r="AL22" i="6" s="1"/>
  <c r="AM22" i="6" a="1"/>
  <c r="AM22" i="6" s="1"/>
  <c r="AA23" i="6" a="1"/>
  <c r="AA23" i="6" s="1"/>
  <c r="AB23" i="6" a="1"/>
  <c r="AB23" i="6" s="1"/>
  <c r="AC23" i="6" a="1"/>
  <c r="AC23" i="6" s="1"/>
  <c r="AD23" i="6" a="1"/>
  <c r="AD23" i="6" s="1"/>
  <c r="AE23" i="6" a="1"/>
  <c r="AE23" i="6" s="1"/>
  <c r="AF23" i="6" a="1"/>
  <c r="AF23" i="6" s="1"/>
  <c r="AG23" i="6" a="1"/>
  <c r="AG23" i="6" s="1"/>
  <c r="AH23" i="6" a="1"/>
  <c r="AH23" i="6" s="1"/>
  <c r="AI23" i="6" a="1"/>
  <c r="AI23" i="6" s="1"/>
  <c r="AJ23" i="6" a="1"/>
  <c r="AJ23" i="6" s="1"/>
  <c r="AK23" i="6" a="1"/>
  <c r="AK23" i="6" s="1"/>
  <c r="AL23" i="6" a="1"/>
  <c r="AL23" i="6" s="1"/>
  <c r="AM23" i="6" a="1"/>
  <c r="AM23" i="6" s="1"/>
  <c r="AA24" i="6" a="1"/>
  <c r="AA24" i="6" s="1"/>
  <c r="AB24" i="6" a="1"/>
  <c r="AB24" i="6" s="1"/>
  <c r="AC24" i="6" a="1"/>
  <c r="AC24" i="6" s="1"/>
  <c r="AD24" i="6" a="1"/>
  <c r="AD24" i="6" s="1"/>
  <c r="AE24" i="6" a="1"/>
  <c r="AE24" i="6" s="1"/>
  <c r="AF24" i="6" a="1"/>
  <c r="AF24" i="6" s="1"/>
  <c r="AG24" i="6" a="1"/>
  <c r="AG24" i="6" s="1"/>
  <c r="AH24" i="6" a="1"/>
  <c r="AH24" i="6" s="1"/>
  <c r="AI24" i="6" a="1"/>
  <c r="AI24" i="6" s="1"/>
  <c r="AJ24" i="6" a="1"/>
  <c r="AJ24" i="6" s="1"/>
  <c r="AK24" i="6" a="1"/>
  <c r="AK24" i="6" s="1"/>
  <c r="AL24" i="6" a="1"/>
  <c r="AL24" i="6" s="1"/>
  <c r="AM24" i="6" a="1"/>
  <c r="AM24" i="6" s="1"/>
  <c r="AA25" i="6" a="1"/>
  <c r="AA25" i="6" s="1"/>
  <c r="AB25" i="6" a="1"/>
  <c r="AB25" i="6" s="1"/>
  <c r="AC25" i="6" a="1"/>
  <c r="AC25" i="6" s="1"/>
  <c r="AD25" i="6" a="1"/>
  <c r="AD25" i="6" s="1"/>
  <c r="AE25" i="6" a="1"/>
  <c r="AE25" i="6" s="1"/>
  <c r="AF25" i="6" a="1"/>
  <c r="AF25" i="6" s="1"/>
  <c r="AG25" i="6" a="1"/>
  <c r="AG25" i="6" s="1"/>
  <c r="AH25" i="6" a="1"/>
  <c r="AH25" i="6" s="1"/>
  <c r="AI25" i="6" a="1"/>
  <c r="AI25" i="6" s="1"/>
  <c r="AJ25" i="6" a="1"/>
  <c r="AJ25" i="6" s="1"/>
  <c r="AK25" i="6" a="1"/>
  <c r="AK25" i="6" s="1"/>
  <c r="AL25" i="6" a="1"/>
  <c r="AL25" i="6" s="1"/>
  <c r="AM25" i="6" a="1"/>
  <c r="AM25" i="6" s="1"/>
  <c r="AA26" i="6" a="1"/>
  <c r="AA26" i="6" s="1"/>
  <c r="AB26" i="6" a="1"/>
  <c r="AB26" i="6" s="1"/>
  <c r="AC26" i="6" a="1"/>
  <c r="AC26" i="6" s="1"/>
  <c r="AD26" i="6" a="1"/>
  <c r="AD26" i="6" s="1"/>
  <c r="AE26" i="6" a="1"/>
  <c r="AE26" i="6" s="1"/>
  <c r="AF26" i="6" a="1"/>
  <c r="AF26" i="6" s="1"/>
  <c r="AG26" i="6" a="1"/>
  <c r="AG26" i="6" s="1"/>
  <c r="AH26" i="6" a="1"/>
  <c r="AH26" i="6" s="1"/>
  <c r="AI26" i="6" a="1"/>
  <c r="AI26" i="6" s="1"/>
  <c r="AJ26" i="6" a="1"/>
  <c r="AJ26" i="6" s="1"/>
  <c r="AK26" i="6" a="1"/>
  <c r="AK26" i="6" s="1"/>
  <c r="AL26" i="6" a="1"/>
  <c r="AL26" i="6" s="1"/>
  <c r="AM26" i="6" a="1"/>
  <c r="AM26" i="6" s="1"/>
  <c r="AA27" i="6" a="1"/>
  <c r="AA27" i="6" s="1"/>
  <c r="AB27" i="6" a="1"/>
  <c r="AB27" i="6" s="1"/>
  <c r="AC27" i="6" a="1"/>
  <c r="AC27" i="6" s="1"/>
  <c r="AD27" i="6" a="1"/>
  <c r="AD27" i="6" s="1"/>
  <c r="AE27" i="6" a="1"/>
  <c r="AE27" i="6" s="1"/>
  <c r="AF27" i="6" a="1"/>
  <c r="AF27" i="6" s="1"/>
  <c r="AG27" i="6" a="1"/>
  <c r="AG27" i="6" s="1"/>
  <c r="AH27" i="6" a="1"/>
  <c r="AH27" i="6" s="1"/>
  <c r="AI27" i="6" a="1"/>
  <c r="AI27" i="6" s="1"/>
  <c r="AJ27" i="6" a="1"/>
  <c r="AJ27" i="6" s="1"/>
  <c r="AK27" i="6" a="1"/>
  <c r="AK27" i="6" s="1"/>
  <c r="AL27" i="6" a="1"/>
  <c r="AL27" i="6" s="1"/>
  <c r="AM27" i="6" a="1"/>
  <c r="AM27" i="6" s="1"/>
  <c r="AA28" i="6" a="1"/>
  <c r="AA28" i="6" s="1"/>
  <c r="AB28" i="6" a="1"/>
  <c r="AB28" i="6" s="1"/>
  <c r="AC28" i="6" a="1"/>
  <c r="AC28" i="6" s="1"/>
  <c r="AD28" i="6" a="1"/>
  <c r="AD28" i="6" s="1"/>
  <c r="AE28" i="6" a="1"/>
  <c r="AE28" i="6" s="1"/>
  <c r="AF28" i="6" a="1"/>
  <c r="AF28" i="6" s="1"/>
  <c r="AG28" i="6" a="1"/>
  <c r="AG28" i="6" s="1"/>
  <c r="AH28" i="6" a="1"/>
  <c r="AH28" i="6" s="1"/>
  <c r="AI28" i="6" a="1"/>
  <c r="AI28" i="6" s="1"/>
  <c r="AJ28" i="6" a="1"/>
  <c r="AJ28" i="6" s="1"/>
  <c r="AK28" i="6" a="1"/>
  <c r="AK28" i="6" s="1"/>
  <c r="AL28" i="6" a="1"/>
  <c r="AL28" i="6" s="1"/>
  <c r="AM28" i="6" a="1"/>
  <c r="AM28" i="6" s="1"/>
  <c r="AA29" i="6" a="1"/>
  <c r="AA29" i="6" s="1"/>
  <c r="AB29" i="6" a="1"/>
  <c r="AB29" i="6" s="1"/>
  <c r="AC29" i="6" a="1"/>
  <c r="AC29" i="6" s="1"/>
  <c r="AD29" i="6" a="1"/>
  <c r="AD29" i="6" s="1"/>
  <c r="AE29" i="6" a="1"/>
  <c r="AE29" i="6" s="1"/>
  <c r="AF29" i="6" a="1"/>
  <c r="AF29" i="6" s="1"/>
  <c r="AG29" i="6" a="1"/>
  <c r="AG29" i="6" s="1"/>
  <c r="AH29" i="6" a="1"/>
  <c r="AH29" i="6" s="1"/>
  <c r="AI29" i="6" a="1"/>
  <c r="AI29" i="6" s="1"/>
  <c r="AJ29" i="6" a="1"/>
  <c r="AJ29" i="6" s="1"/>
  <c r="AK29" i="6" a="1"/>
  <c r="AK29" i="6" s="1"/>
  <c r="AL29" i="6" a="1"/>
  <c r="AL29" i="6" s="1"/>
  <c r="AM29" i="6" a="1"/>
  <c r="AM29" i="6" s="1"/>
  <c r="AA30" i="6" a="1"/>
  <c r="AA30" i="6" s="1"/>
  <c r="AB30" i="6" a="1"/>
  <c r="AB30" i="6" s="1"/>
  <c r="AC30" i="6" a="1"/>
  <c r="AC30" i="6" s="1"/>
  <c r="AD30" i="6" a="1"/>
  <c r="AD30" i="6" s="1"/>
  <c r="AE30" i="6" a="1"/>
  <c r="AE30" i="6" s="1"/>
  <c r="AF30" i="6" a="1"/>
  <c r="AF30" i="6" s="1"/>
  <c r="AG30" i="6" a="1"/>
  <c r="AG30" i="6" s="1"/>
  <c r="AH30" i="6" a="1"/>
  <c r="AH30" i="6" s="1"/>
  <c r="AI30" i="6" a="1"/>
  <c r="AI30" i="6" s="1"/>
  <c r="AJ30" i="6" a="1"/>
  <c r="AJ30" i="6" s="1"/>
  <c r="AK30" i="6" a="1"/>
  <c r="AK30" i="6" s="1"/>
  <c r="AL30" i="6" a="1"/>
  <c r="AL30" i="6" s="1"/>
  <c r="AM30" i="6" a="1"/>
  <c r="AM30" i="6" s="1"/>
  <c r="R13" i="1"/>
  <c r="S13" i="1"/>
  <c r="T13" i="1"/>
  <c r="U13" i="1"/>
  <c r="W13" i="1"/>
  <c r="Y13" i="1"/>
  <c r="R14" i="1"/>
  <c r="S14" i="1"/>
  <c r="T14" i="1"/>
  <c r="U14" i="1"/>
  <c r="W14" i="1"/>
  <c r="Y14" i="1"/>
  <c r="R15" i="1"/>
  <c r="S15" i="1"/>
  <c r="T15" i="1"/>
  <c r="U15" i="1"/>
  <c r="W15" i="1"/>
  <c r="Y15" i="1"/>
  <c r="R16" i="1"/>
  <c r="S16" i="1"/>
  <c r="T16" i="1"/>
  <c r="U16" i="1"/>
  <c r="W16" i="1"/>
  <c r="Y16" i="1"/>
  <c r="R17" i="1"/>
  <c r="S17" i="1"/>
  <c r="T17" i="1"/>
  <c r="U17" i="1"/>
  <c r="W17" i="1"/>
  <c r="Y17" i="1"/>
  <c r="R18" i="1"/>
  <c r="S18" i="1"/>
  <c r="T18" i="1"/>
  <c r="U18" i="1"/>
  <c r="W18" i="1"/>
  <c r="Y18" i="1"/>
  <c r="R19" i="1"/>
  <c r="S19" i="1"/>
  <c r="T19" i="1"/>
  <c r="U19" i="1"/>
  <c r="W19" i="1"/>
  <c r="Y19" i="1"/>
  <c r="R20" i="1"/>
  <c r="S20" i="1"/>
  <c r="T20" i="1"/>
  <c r="U20" i="1"/>
  <c r="W20" i="1"/>
  <c r="Y20" i="1"/>
  <c r="R21" i="1"/>
  <c r="S21" i="1"/>
  <c r="T21" i="1"/>
  <c r="U21" i="1"/>
  <c r="W21" i="1"/>
  <c r="Y21" i="1"/>
  <c r="R22" i="1"/>
  <c r="S22" i="1"/>
  <c r="T22" i="1"/>
  <c r="U22" i="1"/>
  <c r="W22" i="1"/>
  <c r="Y22" i="1"/>
  <c r="R23" i="1"/>
  <c r="S23" i="1"/>
  <c r="T23" i="1"/>
  <c r="U23" i="1"/>
  <c r="W23" i="1"/>
  <c r="Y23" i="1"/>
  <c r="R24" i="1"/>
  <c r="S24" i="1"/>
  <c r="T24" i="1"/>
  <c r="U24" i="1"/>
  <c r="W24" i="1"/>
  <c r="Y24" i="1"/>
  <c r="R25" i="1"/>
  <c r="S25" i="1"/>
  <c r="T25" i="1"/>
  <c r="U25" i="1"/>
  <c r="W25" i="1"/>
  <c r="Y25" i="1"/>
  <c r="R26" i="1"/>
  <c r="S26" i="1"/>
  <c r="T26" i="1"/>
  <c r="U26" i="1"/>
  <c r="W26" i="1"/>
  <c r="Y26" i="1"/>
  <c r="R27" i="1"/>
  <c r="S27" i="1"/>
  <c r="T27" i="1"/>
  <c r="U27" i="1"/>
  <c r="W27" i="1"/>
  <c r="Y27" i="1"/>
  <c r="R28" i="1"/>
  <c r="S28" i="1"/>
  <c r="T28" i="1"/>
  <c r="U28" i="1"/>
  <c r="W28" i="1"/>
  <c r="Y28" i="1"/>
  <c r="R29" i="1"/>
  <c r="S29" i="1"/>
  <c r="T29" i="1"/>
  <c r="U29" i="1"/>
  <c r="W29" i="1"/>
  <c r="Y29" i="1"/>
  <c r="R30" i="1"/>
  <c r="S30" i="1"/>
  <c r="T30" i="1"/>
  <c r="U30" i="1"/>
  <c r="W30" i="1"/>
  <c r="Y30" i="1"/>
  <c r="AS13" i="1" a="1"/>
  <c r="AS13" i="1" s="1"/>
  <c r="AT13" i="1" a="1"/>
  <c r="AT13" i="1" s="1"/>
  <c r="AU13" i="1" a="1"/>
  <c r="AU13" i="1" s="1"/>
  <c r="AV13" i="1" a="1"/>
  <c r="AV13" i="1" s="1"/>
  <c r="AS14" i="1" a="1"/>
  <c r="AS14" i="1" s="1"/>
  <c r="AT14" i="1" a="1"/>
  <c r="AT14" i="1" s="1"/>
  <c r="AU14" i="1" a="1"/>
  <c r="AU14" i="1" s="1"/>
  <c r="AV14" i="1" a="1"/>
  <c r="AV14" i="1" s="1"/>
  <c r="AS15" i="1" a="1"/>
  <c r="AS15" i="1" s="1"/>
  <c r="AT15" i="1" a="1"/>
  <c r="AT15" i="1" s="1"/>
  <c r="AU15" i="1" a="1"/>
  <c r="AU15" i="1" s="1"/>
  <c r="AV15" i="1" a="1"/>
  <c r="AV15" i="1" s="1"/>
  <c r="AS16" i="1" a="1"/>
  <c r="AS16" i="1" s="1"/>
  <c r="AT16" i="1" a="1"/>
  <c r="AT16" i="1" s="1"/>
  <c r="AU16" i="1" a="1"/>
  <c r="AU16" i="1" s="1"/>
  <c r="AV16" i="1" a="1"/>
  <c r="AV16" i="1" s="1"/>
  <c r="AS17" i="1" a="1"/>
  <c r="AS17" i="1" s="1"/>
  <c r="AT17" i="1" a="1"/>
  <c r="AT17" i="1" s="1"/>
  <c r="AU17" i="1" a="1"/>
  <c r="AU17" i="1" s="1"/>
  <c r="AV17" i="1" a="1"/>
  <c r="AV17" i="1" s="1"/>
  <c r="AS18" i="1" a="1"/>
  <c r="AS18" i="1" s="1"/>
  <c r="AT18" i="1" a="1"/>
  <c r="AT18" i="1" s="1"/>
  <c r="AU18" i="1" a="1"/>
  <c r="AU18" i="1" s="1"/>
  <c r="AV18" i="1" a="1"/>
  <c r="AV18" i="1" s="1"/>
  <c r="AS19" i="1" a="1"/>
  <c r="AS19" i="1" s="1"/>
  <c r="AT19" i="1" a="1"/>
  <c r="AT19" i="1" s="1"/>
  <c r="AU19" i="1" a="1"/>
  <c r="AU19" i="1" s="1"/>
  <c r="AV19" i="1" a="1"/>
  <c r="AV19" i="1" s="1"/>
  <c r="AS20" i="1" a="1"/>
  <c r="AS20" i="1" s="1"/>
  <c r="AT20" i="1" a="1"/>
  <c r="AT20" i="1" s="1"/>
  <c r="AU20" i="1" a="1"/>
  <c r="AU20" i="1" s="1"/>
  <c r="AV20" i="1" a="1"/>
  <c r="AV20" i="1" s="1"/>
  <c r="AS21" i="1" a="1"/>
  <c r="AS21" i="1" s="1"/>
  <c r="AT21" i="1" a="1"/>
  <c r="AT21" i="1" s="1"/>
  <c r="AU21" i="1" a="1"/>
  <c r="AU21" i="1" s="1"/>
  <c r="AV21" i="1" a="1"/>
  <c r="AV21" i="1" s="1"/>
  <c r="AS22" i="1" a="1"/>
  <c r="AS22" i="1" s="1"/>
  <c r="AT22" i="1" a="1"/>
  <c r="AT22" i="1" s="1"/>
  <c r="AU22" i="1" a="1"/>
  <c r="AU22" i="1" s="1"/>
  <c r="AV22" i="1" a="1"/>
  <c r="AV22" i="1" s="1"/>
  <c r="AS23" i="1" a="1"/>
  <c r="AS23" i="1" s="1"/>
  <c r="AT23" i="1" a="1"/>
  <c r="AT23" i="1" s="1"/>
  <c r="AU23" i="1" a="1"/>
  <c r="AU23" i="1" s="1"/>
  <c r="AV23" i="1" a="1"/>
  <c r="AV23" i="1" s="1"/>
  <c r="AS24" i="1" a="1"/>
  <c r="AS24" i="1" s="1"/>
  <c r="AT24" i="1" a="1"/>
  <c r="AT24" i="1" s="1"/>
  <c r="AU24" i="1" a="1"/>
  <c r="AU24" i="1" s="1"/>
  <c r="AV24" i="1" a="1"/>
  <c r="AV24" i="1" s="1"/>
  <c r="AS25" i="1" a="1"/>
  <c r="AS25" i="1" s="1"/>
  <c r="AT25" i="1" a="1"/>
  <c r="AT25" i="1" s="1"/>
  <c r="AU25" i="1" a="1"/>
  <c r="AU25" i="1" s="1"/>
  <c r="AV25" i="1" a="1"/>
  <c r="AV25" i="1" s="1"/>
  <c r="AS26" i="1" a="1"/>
  <c r="AS26" i="1" s="1"/>
  <c r="AT26" i="1" a="1"/>
  <c r="AT26" i="1" s="1"/>
  <c r="AU26" i="1" a="1"/>
  <c r="AU26" i="1" s="1"/>
  <c r="AV26" i="1" a="1"/>
  <c r="AV26" i="1" s="1"/>
  <c r="AS27" i="1" a="1"/>
  <c r="AS27" i="1" s="1"/>
  <c r="AT27" i="1" a="1"/>
  <c r="AT27" i="1" s="1"/>
  <c r="AU27" i="1" a="1"/>
  <c r="AU27" i="1" s="1"/>
  <c r="AV27" i="1" a="1"/>
  <c r="AV27" i="1" s="1"/>
  <c r="AS28" i="1" a="1"/>
  <c r="AS28" i="1" s="1"/>
  <c r="AT28" i="1" a="1"/>
  <c r="AT28" i="1" s="1"/>
  <c r="AU28" i="1" a="1"/>
  <c r="AU28" i="1" s="1"/>
  <c r="AV28" i="1" a="1"/>
  <c r="AV28" i="1" s="1"/>
  <c r="AS29" i="1" a="1"/>
  <c r="AS29" i="1" s="1"/>
  <c r="AT29" i="1" a="1"/>
  <c r="AT29" i="1" s="1"/>
  <c r="AU29" i="1" a="1"/>
  <c r="AU29" i="1" s="1"/>
  <c r="AV29" i="1" a="1"/>
  <c r="AV29" i="1" s="1"/>
  <c r="AS30" i="1" a="1"/>
  <c r="AS30" i="1" s="1"/>
  <c r="AT30" i="1" a="1"/>
  <c r="AT30" i="1" s="1"/>
  <c r="AU30" i="1" a="1"/>
  <c r="AU30" i="1" s="1"/>
  <c r="AV30" i="1" a="1"/>
  <c r="AV30" i="1" s="1"/>
  <c r="AA13" i="1" a="1"/>
  <c r="AA13" i="1" s="1"/>
  <c r="AB13" i="1" a="1"/>
  <c r="AB13" i="1" s="1"/>
  <c r="AC13" i="1" a="1"/>
  <c r="AC13" i="1" s="1"/>
  <c r="AD13" i="1" a="1"/>
  <c r="AD13" i="1" s="1"/>
  <c r="AE13" i="1" a="1"/>
  <c r="AE13" i="1" s="1"/>
  <c r="AF13" i="1" a="1"/>
  <c r="AF13" i="1" s="1"/>
  <c r="AG13" i="1" a="1"/>
  <c r="AG13" i="1" s="1"/>
  <c r="AH13" i="1" a="1"/>
  <c r="AH13" i="1" s="1"/>
  <c r="AI13" i="1" a="1"/>
  <c r="AI13" i="1" s="1"/>
  <c r="AJ13" i="1" a="1"/>
  <c r="AJ13" i="1" s="1"/>
  <c r="AK13" i="1" a="1"/>
  <c r="AK13" i="1" s="1"/>
  <c r="AL13" i="1" a="1"/>
  <c r="AL13" i="1" s="1"/>
  <c r="AM13" i="1" a="1"/>
  <c r="AM13" i="1" s="1"/>
  <c r="AA14" i="1" a="1"/>
  <c r="AA14" i="1" s="1"/>
  <c r="AB14" i="1" a="1"/>
  <c r="AB14" i="1" s="1"/>
  <c r="AC14" i="1" a="1"/>
  <c r="AC14" i="1" s="1"/>
  <c r="AD14" i="1" a="1"/>
  <c r="AD14" i="1" s="1"/>
  <c r="AE14" i="1" a="1"/>
  <c r="AE14" i="1" s="1"/>
  <c r="AF14" i="1" a="1"/>
  <c r="AF14" i="1" s="1"/>
  <c r="AG14" i="1" a="1"/>
  <c r="AG14" i="1" s="1"/>
  <c r="AH14" i="1" a="1"/>
  <c r="AH14" i="1" s="1"/>
  <c r="AI14" i="1" a="1"/>
  <c r="AI14" i="1" s="1"/>
  <c r="AJ14" i="1" a="1"/>
  <c r="AJ14" i="1" s="1"/>
  <c r="AK14" i="1" a="1"/>
  <c r="AK14" i="1" s="1"/>
  <c r="AL14" i="1" a="1"/>
  <c r="AL14" i="1" s="1"/>
  <c r="AM14" i="1" a="1"/>
  <c r="AM14" i="1" s="1"/>
  <c r="AA15" i="1" a="1"/>
  <c r="AA15" i="1" s="1"/>
  <c r="AB15" i="1" a="1"/>
  <c r="AB15" i="1" s="1"/>
  <c r="AC15" i="1" a="1"/>
  <c r="AC15" i="1" s="1"/>
  <c r="AD15" i="1" a="1"/>
  <c r="AD15" i="1" s="1"/>
  <c r="AE15" i="1" a="1"/>
  <c r="AE15" i="1" s="1"/>
  <c r="AF15" i="1" a="1"/>
  <c r="AF15" i="1" s="1"/>
  <c r="AG15" i="1" a="1"/>
  <c r="AG15" i="1" s="1"/>
  <c r="AH15" i="1" a="1"/>
  <c r="AH15" i="1" s="1"/>
  <c r="AI15" i="1" a="1"/>
  <c r="AI15" i="1" s="1"/>
  <c r="AJ15" i="1" a="1"/>
  <c r="AJ15" i="1" s="1"/>
  <c r="AK15" i="1" a="1"/>
  <c r="AK15" i="1" s="1"/>
  <c r="AL15" i="1" a="1"/>
  <c r="AL15" i="1" s="1"/>
  <c r="AM15" i="1" a="1"/>
  <c r="AM15" i="1" s="1"/>
  <c r="AA16" i="1" a="1"/>
  <c r="AA16" i="1" s="1"/>
  <c r="AB16" i="1" a="1"/>
  <c r="AB16" i="1" s="1"/>
  <c r="AC16" i="1" a="1"/>
  <c r="AC16" i="1" s="1"/>
  <c r="AD16" i="1" a="1"/>
  <c r="AD16" i="1" s="1"/>
  <c r="AE16" i="1" a="1"/>
  <c r="AE16" i="1" s="1"/>
  <c r="AF16" i="1" a="1"/>
  <c r="AF16" i="1" s="1"/>
  <c r="AG16" i="1" a="1"/>
  <c r="AG16" i="1" s="1"/>
  <c r="AH16" i="1" a="1"/>
  <c r="AH16" i="1" s="1"/>
  <c r="AI16" i="1" a="1"/>
  <c r="AI16" i="1" s="1"/>
  <c r="AJ16" i="1" a="1"/>
  <c r="AJ16" i="1" s="1"/>
  <c r="AK16" i="1" a="1"/>
  <c r="AK16" i="1" s="1"/>
  <c r="AL16" i="1" a="1"/>
  <c r="AL16" i="1" s="1"/>
  <c r="AM16" i="1" a="1"/>
  <c r="AM16" i="1" s="1"/>
  <c r="AA17" i="1" a="1"/>
  <c r="AA17" i="1" s="1"/>
  <c r="AB17" i="1" a="1"/>
  <c r="AB17" i="1" s="1"/>
  <c r="AC17" i="1" a="1"/>
  <c r="AC17" i="1" s="1"/>
  <c r="AD17" i="1" a="1"/>
  <c r="AD17" i="1" s="1"/>
  <c r="AE17" i="1" a="1"/>
  <c r="AE17" i="1" s="1"/>
  <c r="AF17" i="1" a="1"/>
  <c r="AF17" i="1" s="1"/>
  <c r="AG17" i="1" a="1"/>
  <c r="AG17" i="1" s="1"/>
  <c r="AH17" i="1" a="1"/>
  <c r="AH17" i="1" s="1"/>
  <c r="AI17" i="1" a="1"/>
  <c r="AI17" i="1" s="1"/>
  <c r="AJ17" i="1" a="1"/>
  <c r="AJ17" i="1" s="1"/>
  <c r="AK17" i="1" a="1"/>
  <c r="AK17" i="1" s="1"/>
  <c r="AL17" i="1" a="1"/>
  <c r="AL17" i="1" s="1"/>
  <c r="AM17" i="1" a="1"/>
  <c r="AM17" i="1" s="1"/>
  <c r="AA18" i="1" a="1"/>
  <c r="AA18" i="1" s="1"/>
  <c r="AB18" i="1" a="1"/>
  <c r="AB18" i="1" s="1"/>
  <c r="AC18" i="1" a="1"/>
  <c r="AC18" i="1" s="1"/>
  <c r="AD18" i="1" a="1"/>
  <c r="AD18" i="1" s="1"/>
  <c r="AE18" i="1" a="1"/>
  <c r="AE18" i="1" s="1"/>
  <c r="AF18" i="1" a="1"/>
  <c r="AF18" i="1" s="1"/>
  <c r="AG18" i="1" a="1"/>
  <c r="AG18" i="1" s="1"/>
  <c r="AH18" i="1" a="1"/>
  <c r="AH18" i="1" s="1"/>
  <c r="AI18" i="1" a="1"/>
  <c r="AI18" i="1" s="1"/>
  <c r="AJ18" i="1" a="1"/>
  <c r="AJ18" i="1" s="1"/>
  <c r="AK18" i="1" a="1"/>
  <c r="AK18" i="1" s="1"/>
  <c r="AL18" i="1" a="1"/>
  <c r="AL18" i="1" s="1"/>
  <c r="AM18" i="1" a="1"/>
  <c r="AM18" i="1" s="1"/>
  <c r="AA19" i="1" a="1"/>
  <c r="AA19" i="1" s="1"/>
  <c r="AB19" i="1" a="1"/>
  <c r="AB19" i="1" s="1"/>
  <c r="AC19" i="1" a="1"/>
  <c r="AC19" i="1" s="1"/>
  <c r="AD19" i="1" a="1"/>
  <c r="AD19" i="1" s="1"/>
  <c r="AE19" i="1" a="1"/>
  <c r="AE19" i="1" s="1"/>
  <c r="AF19" i="1" a="1"/>
  <c r="AF19" i="1" s="1"/>
  <c r="AG19" i="1" a="1"/>
  <c r="AG19" i="1" s="1"/>
  <c r="AH19" i="1" a="1"/>
  <c r="AH19" i="1" s="1"/>
  <c r="AI19" i="1" a="1"/>
  <c r="AI19" i="1" s="1"/>
  <c r="AJ19" i="1" a="1"/>
  <c r="AJ19" i="1" s="1"/>
  <c r="AK19" i="1" a="1"/>
  <c r="AK19" i="1" s="1"/>
  <c r="AL19" i="1" a="1"/>
  <c r="AL19" i="1" s="1"/>
  <c r="AM19" i="1" a="1"/>
  <c r="AM19" i="1" s="1"/>
  <c r="AA20" i="1" a="1"/>
  <c r="AA20" i="1" s="1"/>
  <c r="AB20" i="1" a="1"/>
  <c r="AB20" i="1" s="1"/>
  <c r="AC20" i="1" a="1"/>
  <c r="AC20" i="1" s="1"/>
  <c r="AD20" i="1" a="1"/>
  <c r="AD20" i="1" s="1"/>
  <c r="AE20" i="1" a="1"/>
  <c r="AE20" i="1" s="1"/>
  <c r="AF20" i="1" a="1"/>
  <c r="AF20" i="1" s="1"/>
  <c r="AG20" i="1" a="1"/>
  <c r="AG20" i="1" s="1"/>
  <c r="AH20" i="1" a="1"/>
  <c r="AH20" i="1" s="1"/>
  <c r="AI20" i="1" a="1"/>
  <c r="AI20" i="1" s="1"/>
  <c r="AJ20" i="1" a="1"/>
  <c r="AJ20" i="1" s="1"/>
  <c r="AK20" i="1" a="1"/>
  <c r="AK20" i="1" s="1"/>
  <c r="AL20" i="1" a="1"/>
  <c r="AL20" i="1" s="1"/>
  <c r="AM20" i="1" a="1"/>
  <c r="AM20" i="1" s="1"/>
  <c r="AA21" i="1" a="1"/>
  <c r="AA21" i="1" s="1"/>
  <c r="AB21" i="1" a="1"/>
  <c r="AB21" i="1" s="1"/>
  <c r="AC21" i="1" a="1"/>
  <c r="AC21" i="1" s="1"/>
  <c r="AD21" i="1" a="1"/>
  <c r="AD21" i="1" s="1"/>
  <c r="AE21" i="1" a="1"/>
  <c r="AE21" i="1" s="1"/>
  <c r="AF21" i="1" a="1"/>
  <c r="AF21" i="1" s="1"/>
  <c r="AG21" i="1" a="1"/>
  <c r="AG21" i="1" s="1"/>
  <c r="AH21" i="1" a="1"/>
  <c r="AH21" i="1" s="1"/>
  <c r="AI21" i="1" a="1"/>
  <c r="AI21" i="1" s="1"/>
  <c r="AJ21" i="1" a="1"/>
  <c r="AJ21" i="1" s="1"/>
  <c r="AK21" i="1" a="1"/>
  <c r="AK21" i="1" s="1"/>
  <c r="AL21" i="1" a="1"/>
  <c r="AL21" i="1" s="1"/>
  <c r="AM21" i="1" a="1"/>
  <c r="AM21" i="1" s="1"/>
  <c r="AA22" i="1" a="1"/>
  <c r="AA22" i="1" s="1"/>
  <c r="AB22" i="1" a="1"/>
  <c r="AB22" i="1" s="1"/>
  <c r="AC22" i="1" a="1"/>
  <c r="AC22" i="1" s="1"/>
  <c r="AD22" i="1" a="1"/>
  <c r="AD22" i="1" s="1"/>
  <c r="AE22" i="1" a="1"/>
  <c r="AE22" i="1" s="1"/>
  <c r="AF22" i="1" a="1"/>
  <c r="AF22" i="1" s="1"/>
  <c r="AG22" i="1" a="1"/>
  <c r="AG22" i="1" s="1"/>
  <c r="AH22" i="1" a="1"/>
  <c r="AH22" i="1" s="1"/>
  <c r="AI22" i="1" a="1"/>
  <c r="AI22" i="1" s="1"/>
  <c r="AJ22" i="1" a="1"/>
  <c r="AJ22" i="1" s="1"/>
  <c r="AK22" i="1" a="1"/>
  <c r="AK22" i="1" s="1"/>
  <c r="AL22" i="1" a="1"/>
  <c r="AL22" i="1" s="1"/>
  <c r="AM22" i="1" a="1"/>
  <c r="AM22" i="1" s="1"/>
  <c r="AA23" i="1" a="1"/>
  <c r="AA23" i="1" s="1"/>
  <c r="AB23" i="1" a="1"/>
  <c r="AB23" i="1" s="1"/>
  <c r="AC23" i="1" a="1"/>
  <c r="AC23" i="1" s="1"/>
  <c r="AD23" i="1" a="1"/>
  <c r="AD23" i="1" s="1"/>
  <c r="AE23" i="1" a="1"/>
  <c r="AE23" i="1" s="1"/>
  <c r="AF23" i="1" a="1"/>
  <c r="AF23" i="1" s="1"/>
  <c r="AG23" i="1" a="1"/>
  <c r="AG23" i="1" s="1"/>
  <c r="AH23" i="1" a="1"/>
  <c r="AH23" i="1" s="1"/>
  <c r="AI23" i="1" a="1"/>
  <c r="AI23" i="1" s="1"/>
  <c r="AJ23" i="1" a="1"/>
  <c r="AJ23" i="1" s="1"/>
  <c r="AK23" i="1" a="1"/>
  <c r="AK23" i="1" s="1"/>
  <c r="AL23" i="1" a="1"/>
  <c r="AL23" i="1" s="1"/>
  <c r="AM23" i="1" a="1"/>
  <c r="AM23" i="1" s="1"/>
  <c r="AA24" i="1" a="1"/>
  <c r="AA24" i="1" s="1"/>
  <c r="AB24" i="1" a="1"/>
  <c r="AB24" i="1" s="1"/>
  <c r="AC24" i="1" a="1"/>
  <c r="AC24" i="1" s="1"/>
  <c r="AD24" i="1" a="1"/>
  <c r="AD24" i="1" s="1"/>
  <c r="AE24" i="1" a="1"/>
  <c r="AE24" i="1" s="1"/>
  <c r="AF24" i="1" a="1"/>
  <c r="AF24" i="1" s="1"/>
  <c r="AG24" i="1" a="1"/>
  <c r="AG24" i="1" s="1"/>
  <c r="AH24" i="1" a="1"/>
  <c r="AH24" i="1" s="1"/>
  <c r="AI24" i="1" a="1"/>
  <c r="AI24" i="1" s="1"/>
  <c r="AJ24" i="1" a="1"/>
  <c r="AJ24" i="1" s="1"/>
  <c r="AK24" i="1" a="1"/>
  <c r="AK24" i="1" s="1"/>
  <c r="AL24" i="1" a="1"/>
  <c r="AL24" i="1" s="1"/>
  <c r="AM24" i="1" a="1"/>
  <c r="AM24" i="1" s="1"/>
  <c r="AA25" i="1" a="1"/>
  <c r="AA25" i="1" s="1"/>
  <c r="AB25" i="1" a="1"/>
  <c r="AB25" i="1" s="1"/>
  <c r="AC25" i="1" a="1"/>
  <c r="AC25" i="1" s="1"/>
  <c r="AD25" i="1" a="1"/>
  <c r="AD25" i="1" s="1"/>
  <c r="AE25" i="1" a="1"/>
  <c r="AE25" i="1" s="1"/>
  <c r="AF25" i="1" a="1"/>
  <c r="AF25" i="1" s="1"/>
  <c r="AG25" i="1" a="1"/>
  <c r="AG25" i="1" s="1"/>
  <c r="AH25" i="1" a="1"/>
  <c r="AH25" i="1" s="1"/>
  <c r="AI25" i="1" a="1"/>
  <c r="AI25" i="1" s="1"/>
  <c r="AJ25" i="1" a="1"/>
  <c r="AJ25" i="1" s="1"/>
  <c r="AK25" i="1" a="1"/>
  <c r="AK25" i="1" s="1"/>
  <c r="AL25" i="1" a="1"/>
  <c r="AL25" i="1" s="1"/>
  <c r="AM25" i="1" a="1"/>
  <c r="AM25" i="1" s="1"/>
  <c r="AA26" i="1" a="1"/>
  <c r="AA26" i="1" s="1"/>
  <c r="AB26" i="1" a="1"/>
  <c r="AB26" i="1" s="1"/>
  <c r="AC26" i="1" a="1"/>
  <c r="AC26" i="1" s="1"/>
  <c r="AD26" i="1" a="1"/>
  <c r="AD26" i="1" s="1"/>
  <c r="AE26" i="1" a="1"/>
  <c r="AE26" i="1" s="1"/>
  <c r="AF26" i="1" a="1"/>
  <c r="AF26" i="1" s="1"/>
  <c r="AG26" i="1" a="1"/>
  <c r="AG26" i="1" s="1"/>
  <c r="AH26" i="1" a="1"/>
  <c r="AH26" i="1" s="1"/>
  <c r="AI26" i="1" a="1"/>
  <c r="AI26" i="1" s="1"/>
  <c r="AJ26" i="1" a="1"/>
  <c r="AJ26" i="1" s="1"/>
  <c r="AK26" i="1" a="1"/>
  <c r="AK26" i="1" s="1"/>
  <c r="AL26" i="1" a="1"/>
  <c r="AL26" i="1" s="1"/>
  <c r="AM26" i="1" a="1"/>
  <c r="AM26" i="1" s="1"/>
  <c r="AA27" i="1" a="1"/>
  <c r="AA27" i="1" s="1"/>
  <c r="AB27" i="1" a="1"/>
  <c r="AB27" i="1" s="1"/>
  <c r="AC27" i="1" a="1"/>
  <c r="AC27" i="1" s="1"/>
  <c r="AD27" i="1" a="1"/>
  <c r="AD27" i="1" s="1"/>
  <c r="AE27" i="1" a="1"/>
  <c r="AE27" i="1" s="1"/>
  <c r="AF27" i="1" a="1"/>
  <c r="AF27" i="1" s="1"/>
  <c r="AG27" i="1" a="1"/>
  <c r="AG27" i="1" s="1"/>
  <c r="AH27" i="1" a="1"/>
  <c r="AH27" i="1" s="1"/>
  <c r="AI27" i="1" a="1"/>
  <c r="AI27" i="1" s="1"/>
  <c r="AJ27" i="1" a="1"/>
  <c r="AJ27" i="1" s="1"/>
  <c r="AK27" i="1" a="1"/>
  <c r="AK27" i="1" s="1"/>
  <c r="AL27" i="1" a="1"/>
  <c r="AL27" i="1" s="1"/>
  <c r="AM27" i="1" a="1"/>
  <c r="AM27" i="1" s="1"/>
  <c r="AA28" i="1" a="1"/>
  <c r="AA28" i="1" s="1"/>
  <c r="AB28" i="1" a="1"/>
  <c r="AB28" i="1" s="1"/>
  <c r="AC28" i="1" a="1"/>
  <c r="AC28" i="1" s="1"/>
  <c r="AD28" i="1" a="1"/>
  <c r="AD28" i="1" s="1"/>
  <c r="AE28" i="1" a="1"/>
  <c r="AE28" i="1" s="1"/>
  <c r="AF28" i="1" a="1"/>
  <c r="AF28" i="1" s="1"/>
  <c r="AG28" i="1" a="1"/>
  <c r="AG28" i="1" s="1"/>
  <c r="AH28" i="1" a="1"/>
  <c r="AH28" i="1" s="1"/>
  <c r="AI28" i="1" a="1"/>
  <c r="AI28" i="1" s="1"/>
  <c r="AJ28" i="1" a="1"/>
  <c r="AJ28" i="1" s="1"/>
  <c r="AK28" i="1" a="1"/>
  <c r="AK28" i="1" s="1"/>
  <c r="AL28" i="1" a="1"/>
  <c r="AL28" i="1" s="1"/>
  <c r="AM28" i="1" a="1"/>
  <c r="AM28" i="1" s="1"/>
  <c r="AA29" i="1" a="1"/>
  <c r="AA29" i="1" s="1"/>
  <c r="AB29" i="1" a="1"/>
  <c r="AB29" i="1" s="1"/>
  <c r="AC29" i="1" a="1"/>
  <c r="AC29" i="1" s="1"/>
  <c r="AD29" i="1" a="1"/>
  <c r="AD29" i="1" s="1"/>
  <c r="AE29" i="1" a="1"/>
  <c r="AE29" i="1" s="1"/>
  <c r="AF29" i="1" a="1"/>
  <c r="AF29" i="1" s="1"/>
  <c r="AG29" i="1" a="1"/>
  <c r="AG29" i="1" s="1"/>
  <c r="AH29" i="1" a="1"/>
  <c r="AH29" i="1" s="1"/>
  <c r="AI29" i="1" a="1"/>
  <c r="AI29" i="1" s="1"/>
  <c r="AJ29" i="1" a="1"/>
  <c r="AJ29" i="1" s="1"/>
  <c r="AK29" i="1" a="1"/>
  <c r="AK29" i="1" s="1"/>
  <c r="AL29" i="1" a="1"/>
  <c r="AL29" i="1" s="1"/>
  <c r="AM29" i="1" a="1"/>
  <c r="AM29" i="1" s="1"/>
  <c r="AA30" i="1" a="1"/>
  <c r="AA30" i="1" s="1"/>
  <c r="AB30" i="1" a="1"/>
  <c r="AB30" i="1" s="1"/>
  <c r="AC30" i="1" a="1"/>
  <c r="AC30" i="1" s="1"/>
  <c r="AD30" i="1" a="1"/>
  <c r="AD30" i="1" s="1"/>
  <c r="AE30" i="1" a="1"/>
  <c r="AE30" i="1" s="1"/>
  <c r="AF30" i="1" a="1"/>
  <c r="AF30" i="1" s="1"/>
  <c r="AG30" i="1" a="1"/>
  <c r="AG30" i="1" s="1"/>
  <c r="AH30" i="1" a="1"/>
  <c r="AH30" i="1" s="1"/>
  <c r="AI30" i="1" a="1"/>
  <c r="AI30" i="1" s="1"/>
  <c r="AJ30" i="1" a="1"/>
  <c r="AJ30" i="1" s="1"/>
  <c r="AK30" i="1" a="1"/>
  <c r="AK30" i="1" s="1"/>
  <c r="AL30" i="1" a="1"/>
  <c r="AL30" i="1" s="1"/>
  <c r="AM30" i="1" a="1"/>
  <c r="AM30" i="1" s="1"/>
  <c r="AP9" i="6"/>
  <c r="AP8" i="6"/>
  <c r="AP7" i="6"/>
  <c r="AO9" i="6"/>
  <c r="AO8" i="6"/>
  <c r="AO7" i="6"/>
  <c r="AQ9" i="6"/>
  <c r="AQ8" i="6"/>
  <c r="AQ7" i="6"/>
  <c r="AN9" i="6" a="1"/>
  <c r="AN9" i="6" s="1"/>
  <c r="AN8" i="6" a="1"/>
  <c r="AN8" i="6" s="1"/>
  <c r="AN7" i="6" a="1"/>
  <c r="AN7" i="6" s="1"/>
  <c r="AY7" i="6"/>
  <c r="R7" i="6"/>
  <c r="Q7" i="6"/>
  <c r="AY8" i="6"/>
  <c r="R8" i="6"/>
  <c r="AY9" i="6"/>
  <c r="R9" i="6"/>
  <c r="Q9" i="6"/>
  <c r="S9" i="6"/>
  <c r="U9" i="6"/>
  <c r="S7" i="6"/>
  <c r="U7" i="6"/>
  <c r="Q8" i="6"/>
  <c r="S8" i="6"/>
  <c r="U8" i="6"/>
  <c r="W9" i="6"/>
  <c r="W7" i="6"/>
  <c r="Y7" i="6"/>
  <c r="Y9" i="6"/>
  <c r="W8" i="6"/>
  <c r="Y8" i="6"/>
  <c r="G20" i="19" l="1"/>
  <c r="G24" i="19"/>
  <c r="G23" i="19"/>
  <c r="G21" i="19"/>
  <c r="G19" i="19"/>
  <c r="G25" i="19"/>
  <c r="G22" i="19"/>
  <c r="G18" i="19"/>
  <c r="G17" i="19"/>
  <c r="AX5" i="19" a="1"/>
  <c r="AX5" i="19" s="1"/>
  <c r="AE6" i="19" a="1"/>
  <c r="L6" i="6" a="1"/>
  <c r="L6" i="6" s="1"/>
  <c r="N6" i="6" a="1"/>
  <c r="N6" i="6" s="1"/>
  <c r="AJ6" i="6" a="1"/>
  <c r="AJ6" i="6" s="1"/>
  <c r="AG6" i="6" a="1"/>
  <c r="AG6" i="6" s="1"/>
  <c r="AA6" i="6" a="1"/>
  <c r="AA6" i="6" s="1"/>
  <c r="AU6" i="6" a="1"/>
  <c r="AU6" i="6" s="1"/>
  <c r="AH6" i="6" a="1"/>
  <c r="AH6" i="6" s="1"/>
  <c r="BB6" i="6" a="1"/>
  <c r="BB6" i="6" s="1"/>
  <c r="AM6" i="6" a="1"/>
  <c r="AM6" i="6" s="1"/>
  <c r="AB6" i="6" a="1"/>
  <c r="AB6" i="6" s="1"/>
  <c r="K6" i="6" a="1"/>
  <c r="K6" i="6" s="1"/>
  <c r="AR10" i="6" s="1"/>
  <c r="X10" i="6" s="1"/>
  <c r="BD9" i="1" a="1"/>
  <c r="BD9" i="1" s="1"/>
  <c r="AK9" i="1" a="1"/>
  <c r="AK9" i="1" s="1"/>
  <c r="AH11" i="1" a="1"/>
  <c r="AH11" i="1" s="1"/>
  <c r="AB9" i="1" a="1"/>
  <c r="AB9" i="1" s="1"/>
  <c r="BB9" i="1" a="1"/>
  <c r="BB9" i="1" s="1"/>
  <c r="AD11" i="1" a="1"/>
  <c r="AD11" i="1" s="1"/>
  <c r="T11" i="1" s="1"/>
  <c r="AL8" i="1" a="1"/>
  <c r="AL8" i="1" s="1"/>
  <c r="AH10" i="1" a="1"/>
  <c r="AH10" i="1" s="1"/>
  <c r="BA8" i="1" a="1"/>
  <c r="BA8" i="1" s="1"/>
  <c r="AI10" i="1" a="1"/>
  <c r="AI10" i="1" s="1"/>
  <c r="AG9" i="1" a="1"/>
  <c r="AG9" i="1" s="1"/>
  <c r="AS10" i="1" a="1"/>
  <c r="AS10" i="1" s="1"/>
  <c r="AV10" i="1" a="1"/>
  <c r="AV10" i="1" s="1"/>
  <c r="AE10" i="1" a="1"/>
  <c r="AE10" i="1" s="1"/>
  <c r="AX10" i="1" s="1" a="1"/>
  <c r="AX10" i="1" s="1"/>
  <c r="AD7" i="1" a="1"/>
  <c r="AD7" i="1" s="1"/>
  <c r="T7" i="1" s="1"/>
  <c r="AI8" i="1" a="1"/>
  <c r="AI8" i="1" s="1"/>
  <c r="BC12" i="1" a="1"/>
  <c r="BC12" i="1" s="1"/>
  <c r="AH12" i="1" a="1"/>
  <c r="AH12" i="1" s="1"/>
  <c r="AV11" i="1" a="1"/>
  <c r="AV11" i="1" s="1"/>
  <c r="AL11" i="1" a="1"/>
  <c r="AL11" i="1" s="1"/>
  <c r="AL7" i="1" a="1"/>
  <c r="AL7" i="1" s="1"/>
  <c r="AS9" i="1" a="1"/>
  <c r="AS9" i="1" s="1"/>
  <c r="AZ8" i="1" a="1"/>
  <c r="AZ8" i="1" s="1"/>
  <c r="AC10" i="1" a="1"/>
  <c r="AC10" i="1" s="1"/>
  <c r="AL9" i="1" a="1"/>
  <c r="AL9" i="1" s="1"/>
  <c r="AI11" i="1" a="1"/>
  <c r="AI11" i="1" s="1"/>
  <c r="AV9" i="1" a="1"/>
  <c r="AV9" i="1" s="1"/>
  <c r="AE9" i="1" a="1"/>
  <c r="AE9" i="1" s="1"/>
  <c r="AX9" i="1" s="1" a="1"/>
  <c r="AX9" i="1" s="1"/>
  <c r="AS11" i="1" a="1"/>
  <c r="AS11" i="1" s="1"/>
  <c r="AE11" i="1" a="1"/>
  <c r="AE11" i="1" s="1"/>
  <c r="AX11" i="1" s="1" a="1"/>
  <c r="AX11" i="1" s="1"/>
  <c r="AE12" i="1" a="1"/>
  <c r="AE12" i="1" s="1"/>
  <c r="AX12" i="1" s="1" a="1"/>
  <c r="AX12" i="1" s="1"/>
  <c r="BA11" i="1" a="1"/>
  <c r="BA11" i="1" s="1"/>
  <c r="AC8" i="1" a="1"/>
  <c r="AC8" i="1" s="1"/>
  <c r="AU12" i="1" a="1"/>
  <c r="AU12" i="1" s="1"/>
  <c r="AG7" i="1" a="1"/>
  <c r="AG7" i="1" s="1"/>
  <c r="AU10" i="1" a="1"/>
  <c r="AU10" i="1" s="1"/>
  <c r="AM7" i="1" a="1"/>
  <c r="AM7" i="1" s="1"/>
  <c r="AZ9" i="1" a="1"/>
  <c r="AZ9" i="1" s="1"/>
  <c r="AB11" i="1" a="1"/>
  <c r="AB11" i="1" s="1"/>
  <c r="AA8" i="1" a="1"/>
  <c r="AA8" i="1" s="1"/>
  <c r="AO8" i="1" s="1" a="1"/>
  <c r="AO8" i="1" s="1"/>
  <c r="AM11" i="1" a="1"/>
  <c r="AM11" i="1" s="1"/>
  <c r="AZ11" i="1" a="1"/>
  <c r="AZ11" i="1" s="1"/>
  <c r="AI12" i="1" a="1"/>
  <c r="AI12" i="1" s="1"/>
  <c r="AU8" i="1" a="1"/>
  <c r="AU8" i="1" s="1"/>
  <c r="AD9" i="1" a="1"/>
  <c r="AD9" i="1" s="1"/>
  <c r="T9" i="1" s="1"/>
  <c r="AF11" i="1" a="1"/>
  <c r="AF11" i="1" s="1"/>
  <c r="AM12" i="1" a="1"/>
  <c r="AM12" i="1" s="1"/>
  <c r="AC11" i="1" a="1"/>
  <c r="AC11" i="1" s="1"/>
  <c r="AH8" i="1" a="1"/>
  <c r="AH8" i="1" s="1"/>
  <c r="AD10" i="1" a="1"/>
  <c r="AD10" i="1" s="1"/>
  <c r="T10" i="1" s="1"/>
  <c r="BB11" i="1" a="1"/>
  <c r="BB11" i="1" s="1"/>
  <c r="AW7" i="1" a="1"/>
  <c r="AW7" i="1" s="1"/>
  <c r="AD8" i="1" a="1"/>
  <c r="AD8" i="1" s="1"/>
  <c r="T8" i="1" s="1"/>
  <c r="AE7" i="1" a="1"/>
  <c r="AE7" i="1" s="1"/>
  <c r="AX7" i="1" s="1" a="1"/>
  <c r="AX7" i="1" s="1"/>
  <c r="AJ7" i="1" a="1"/>
  <c r="AJ7" i="1" s="1"/>
  <c r="AT8" i="1" a="1"/>
  <c r="AT8" i="1" s="1"/>
  <c r="AW12" i="1" a="1"/>
  <c r="AW12" i="1" s="1"/>
  <c r="AS12" i="1" a="1"/>
  <c r="AS12" i="1" s="1"/>
  <c r="AJ10" i="1" a="1"/>
  <c r="AJ10" i="1" s="1"/>
  <c r="AF9" i="1" a="1"/>
  <c r="AF9" i="1" s="1"/>
  <c r="AW10" i="1" a="1"/>
  <c r="AW10" i="1" s="1"/>
  <c r="AA10" i="1" a="1"/>
  <c r="AA10" i="1" s="1"/>
  <c r="BB8" i="1" a="1"/>
  <c r="BB8" i="1" s="1"/>
  <c r="AG10" i="1" a="1"/>
  <c r="AG10" i="1" s="1"/>
  <c r="BD8" i="1" a="1"/>
  <c r="BD8" i="1" s="1"/>
  <c r="AA9" i="1" a="1"/>
  <c r="AA9" i="1" s="1"/>
  <c r="AG11" i="1" a="1"/>
  <c r="AG11" i="1" s="1"/>
  <c r="AJ12" i="1" a="1"/>
  <c r="AJ12" i="1" s="1"/>
  <c r="AW8" i="1" a="1"/>
  <c r="AW8" i="1" s="1"/>
  <c r="R3" i="6" a="1"/>
  <c r="R3" i="6" s="1"/>
  <c r="AF10" i="1" a="1"/>
  <c r="AF10" i="1" s="1"/>
  <c r="AV12" i="1" a="1"/>
  <c r="AV12" i="1" s="1"/>
  <c r="AU11" i="1" a="1"/>
  <c r="AU11" i="1" s="1"/>
  <c r="AW6" i="6" a="1"/>
  <c r="AW6" i="6" s="1"/>
  <c r="AV6" i="6" a="1"/>
  <c r="AV6" i="6" s="1"/>
  <c r="AC6" i="1" a="1"/>
  <c r="AC6" i="1" s="1"/>
  <c r="AM6" i="1" a="1"/>
  <c r="AM6" i="1" s="1"/>
  <c r="AT11" i="1" a="1"/>
  <c r="AT11" i="1" s="1"/>
  <c r="AA11" i="1" a="1"/>
  <c r="AA11" i="1" s="1"/>
  <c r="AC6" i="6" a="1"/>
  <c r="AC6" i="6" s="1"/>
  <c r="AZ7" i="1" a="1"/>
  <c r="AZ7" i="1" s="1"/>
  <c r="BD10" i="1" a="1"/>
  <c r="BD10" i="1" s="1"/>
  <c r="BB7" i="1" a="1"/>
  <c r="BB7" i="1" s="1"/>
  <c r="AM8" i="1" a="1"/>
  <c r="AM8" i="1" s="1"/>
  <c r="AU9" i="1" a="1"/>
  <c r="AU9" i="1" s="1"/>
  <c r="AS8" i="1" a="1"/>
  <c r="AS8" i="1" s="1"/>
  <c r="AD6" i="6" a="1"/>
  <c r="AD6" i="6" s="1"/>
  <c r="T6" i="6" s="1"/>
  <c r="AW9" i="1" a="1"/>
  <c r="AW9" i="1" s="1"/>
  <c r="AT7" i="1" a="1"/>
  <c r="AT7" i="1" s="1"/>
  <c r="AA12" i="1" a="1"/>
  <c r="AA12" i="1" s="1"/>
  <c r="AT9" i="1" a="1"/>
  <c r="AT9" i="1" s="1"/>
  <c r="AT12" i="1" a="1"/>
  <c r="AT12" i="1" s="1"/>
  <c r="AM9" i="1" a="1"/>
  <c r="AM9" i="1" s="1"/>
  <c r="AL10" i="1" a="1"/>
  <c r="AL10" i="1" s="1"/>
  <c r="AK7" i="1" a="1"/>
  <c r="AK7" i="1" s="1"/>
  <c r="AM10" i="1" a="1"/>
  <c r="AM10" i="1" s="1"/>
  <c r="AH9" i="1" a="1"/>
  <c r="AH9" i="1" s="1"/>
  <c r="AZ12" i="1" a="1"/>
  <c r="AZ12" i="1" s="1"/>
  <c r="BD12" i="1" a="1"/>
  <c r="BD12" i="1" s="1"/>
  <c r="BC10" i="1" a="1"/>
  <c r="BC10" i="1" s="1"/>
  <c r="BC7" i="1" a="1"/>
  <c r="BC7" i="1" s="1"/>
  <c r="AG12" i="1" a="1"/>
  <c r="AG12" i="1" s="1"/>
  <c r="AB8" i="1" a="1"/>
  <c r="AB8" i="1" s="1"/>
  <c r="AF12" i="1" a="1"/>
  <c r="AF12" i="1" s="1"/>
  <c r="AB7" i="1" a="1"/>
  <c r="AB7" i="1" s="1"/>
  <c r="AL12" i="1" a="1"/>
  <c r="AL12" i="1" s="1"/>
  <c r="AJ8" i="1" a="1"/>
  <c r="AJ8" i="1" s="1"/>
  <c r="AF6" i="6" a="1"/>
  <c r="AF6" i="6" s="1"/>
  <c r="AL6" i="6" a="1"/>
  <c r="AL6" i="6" s="1"/>
  <c r="BA12" i="1" a="1"/>
  <c r="BA12" i="1" s="1"/>
  <c r="BA9" i="1" a="1"/>
  <c r="BA9" i="1" s="1"/>
  <c r="BA7" i="1" a="1"/>
  <c r="BA7" i="1" s="1"/>
  <c r="AZ6" i="6" a="1"/>
  <c r="AZ6" i="6" s="1"/>
  <c r="AK6" i="6" a="1"/>
  <c r="AK6" i="6" s="1"/>
  <c r="AE6" i="6" a="1"/>
  <c r="AE6" i="6" s="1"/>
  <c r="AX6" i="6" s="1" a="1"/>
  <c r="AX6" i="6" s="1"/>
  <c r="M6" i="6" a="1"/>
  <c r="M6" i="6" s="1"/>
  <c r="AS7" i="1" a="1"/>
  <c r="AS7" i="1" s="1"/>
  <c r="AB12" i="1" a="1"/>
  <c r="AB12" i="1" s="1"/>
  <c r="AH7" i="1" a="1"/>
  <c r="AH7" i="1" s="1"/>
  <c r="AV8" i="1" a="1"/>
  <c r="AV8" i="1" s="1"/>
  <c r="AK12" i="1" a="1"/>
  <c r="AK12" i="1" s="1"/>
  <c r="AJ11" i="1" a="1"/>
  <c r="AJ11" i="1" s="1"/>
  <c r="AI6" i="6" a="1"/>
  <c r="AI6" i="6" s="1"/>
  <c r="AS6" i="6" a="1"/>
  <c r="AS6" i="6" s="1"/>
  <c r="AZ10" i="1" a="1"/>
  <c r="AZ10" i="1" s="1"/>
  <c r="AZ6" i="1" a="1"/>
  <c r="AZ6" i="1" s="1"/>
  <c r="BD7" i="1" a="1"/>
  <c r="BD7" i="1" s="1"/>
  <c r="BA6" i="6" a="1"/>
  <c r="BA6" i="6" s="1"/>
  <c r="AK11" i="1" a="1"/>
  <c r="AK11" i="1" s="1"/>
  <c r="AT10" i="1" a="1"/>
  <c r="AT10" i="1" s="1"/>
  <c r="AD12" i="1" a="1"/>
  <c r="AD12" i="1" s="1"/>
  <c r="T12" i="1" s="1"/>
  <c r="BC6" i="6" a="1"/>
  <c r="BC6" i="6" s="1"/>
  <c r="AF8" i="1" a="1"/>
  <c r="AF8" i="1" s="1"/>
  <c r="AJ9" i="1" a="1"/>
  <c r="AJ9" i="1" s="1"/>
  <c r="BD11" i="1" a="1"/>
  <c r="BD11" i="1" s="1"/>
  <c r="BD6" i="1" a="1"/>
  <c r="BD6" i="1" s="1"/>
  <c r="J6" i="6" a="1"/>
  <c r="J6" i="6" s="1"/>
  <c r="AK10" i="1" a="1"/>
  <c r="AK10" i="1" s="1"/>
  <c r="AI7" i="1" a="1"/>
  <c r="AI7" i="1" s="1"/>
  <c r="AK8" i="1" a="1"/>
  <c r="AK8" i="1" s="1"/>
  <c r="AC7" i="1" a="1"/>
  <c r="AC7" i="1" s="1"/>
  <c r="AV7" i="1" a="1"/>
  <c r="AV7" i="1" s="1"/>
  <c r="AW11" i="1" a="1"/>
  <c r="AW11" i="1" s="1"/>
  <c r="AT6" i="6" a="1"/>
  <c r="AT6" i="6" s="1"/>
  <c r="BC8" i="1" a="1"/>
  <c r="BC8" i="1" s="1"/>
  <c r="BD6" i="6" a="1"/>
  <c r="BD6" i="6" s="1"/>
  <c r="AC12" i="1" a="1"/>
  <c r="AC12" i="1" s="1"/>
  <c r="AF7" i="1" a="1"/>
  <c r="AF7" i="1" s="1"/>
  <c r="AB10" i="1" a="1"/>
  <c r="AB10" i="1" s="1"/>
  <c r="AG8" i="1" a="1"/>
  <c r="AG8" i="1" s="1"/>
  <c r="AE8" i="1" a="1"/>
  <c r="AE8" i="1" s="1"/>
  <c r="AX8" i="1" s="1" a="1"/>
  <c r="AX8" i="1" s="1"/>
  <c r="BA10" i="1" a="1"/>
  <c r="BA10" i="1" s="1"/>
  <c r="BC11" i="1" a="1"/>
  <c r="BC11" i="1" s="1"/>
  <c r="O6" i="6" a="1"/>
  <c r="O6" i="6" s="1"/>
  <c r="AN6" i="6" s="1" a="1"/>
  <c r="AN6" i="6" s="1"/>
  <c r="AC9" i="1" a="1"/>
  <c r="AC9" i="1" s="1"/>
  <c r="AA7" i="1" a="1"/>
  <c r="AA7" i="1" s="1"/>
  <c r="AI9" i="1" a="1"/>
  <c r="AI9" i="1" s="1"/>
  <c r="AU7" i="1" a="1"/>
  <c r="AU7" i="1" s="1"/>
  <c r="BB12" i="1" a="1"/>
  <c r="BB12" i="1" s="1"/>
  <c r="BB10" i="1" a="1"/>
  <c r="BB10" i="1" s="1"/>
  <c r="BC9" i="1" a="1"/>
  <c r="BC9" i="1" s="1"/>
  <c r="P12" i="1" l="1" a="1"/>
  <c r="P12" i="1" s="1"/>
  <c r="R10" i="1"/>
  <c r="P9" i="1" a="1"/>
  <c r="P9" i="1" s="1"/>
  <c r="P8" i="1" a="1"/>
  <c r="P8" i="1" s="1"/>
  <c r="Q8" i="1" s="1"/>
  <c r="P7" i="1" a="1"/>
  <c r="P7" i="1" s="1"/>
  <c r="P10" i="1" a="1"/>
  <c r="P10" i="1" s="1"/>
  <c r="AY8" i="1"/>
  <c r="P11" i="1" a="1"/>
  <c r="P11" i="1" s="1"/>
  <c r="R9" i="1"/>
  <c r="AP6" i="19" a="1"/>
  <c r="B32" i="20" s="1" a="1"/>
  <c r="B32" i="20" s="1"/>
  <c r="G32" i="19" a="1"/>
  <c r="G32" i="19" s="1"/>
  <c r="AE6" i="19"/>
  <c r="D16" i="20" s="1" a="1"/>
  <c r="D16" i="20" s="1"/>
  <c r="M16" i="20" a="1"/>
  <c r="M16" i="20" s="1"/>
  <c r="I16" i="20" a="1"/>
  <c r="I16" i="20" s="1"/>
  <c r="N16" i="20" a="1"/>
  <c r="N16" i="20" s="1"/>
  <c r="O16" i="20" a="1"/>
  <c r="O16" i="20" s="1"/>
  <c r="P16" i="20" a="1"/>
  <c r="P16" i="20" s="1"/>
  <c r="Q16" i="20" a="1"/>
  <c r="Q16" i="20" s="1"/>
  <c r="R16" i="20" a="1"/>
  <c r="R16" i="20" s="1"/>
  <c r="L16" i="20" a="1"/>
  <c r="L16" i="20" s="1"/>
  <c r="E16" i="20" a="1"/>
  <c r="E16" i="20" s="1"/>
  <c r="F16" i="20" a="1"/>
  <c r="F16" i="20" s="1"/>
  <c r="G16" i="20" a="1"/>
  <c r="G16" i="20" s="1"/>
  <c r="H16" i="20" a="1"/>
  <c r="H16" i="20" s="1"/>
  <c r="J16" i="20" a="1"/>
  <c r="J16" i="20" s="1"/>
  <c r="K16" i="20" a="1"/>
  <c r="K16" i="20" s="1"/>
  <c r="P6" i="6" a="1"/>
  <c r="P6" i="6" s="1"/>
  <c r="S3" i="6" a="1"/>
  <c r="S3" i="6" s="1"/>
  <c r="R6" i="6"/>
  <c r="AR17" i="6"/>
  <c r="X17" i="6" s="1"/>
  <c r="AR19" i="6"/>
  <c r="X19" i="6" s="1"/>
  <c r="AR11" i="6"/>
  <c r="X11" i="6" s="1"/>
  <c r="AR29" i="6"/>
  <c r="X29" i="6" s="1"/>
  <c r="AR22" i="6"/>
  <c r="X22" i="6" s="1"/>
  <c r="AR25" i="6"/>
  <c r="X25" i="6" s="1"/>
  <c r="AR8" i="6"/>
  <c r="X8" i="6" s="1"/>
  <c r="AR21" i="6"/>
  <c r="X21" i="6" s="1"/>
  <c r="AR28" i="6"/>
  <c r="X28" i="6" s="1"/>
  <c r="AR18" i="6"/>
  <c r="X18" i="6" s="1"/>
  <c r="AR20" i="6"/>
  <c r="X20" i="6" s="1"/>
  <c r="AR23" i="6"/>
  <c r="X23" i="6" s="1"/>
  <c r="AR16" i="6"/>
  <c r="X16" i="6" s="1"/>
  <c r="AR9" i="6"/>
  <c r="X9" i="6" s="1"/>
  <c r="AR12" i="6"/>
  <c r="X12" i="6" s="1"/>
  <c r="AR13" i="6"/>
  <c r="X13" i="6" s="1"/>
  <c r="AR27" i="6"/>
  <c r="X27" i="6" s="1"/>
  <c r="AR7" i="6"/>
  <c r="X7" i="6" s="1"/>
  <c r="AR30" i="6"/>
  <c r="X30" i="6" s="1"/>
  <c r="AR14" i="6"/>
  <c r="X14" i="6" s="1"/>
  <c r="AR24" i="6"/>
  <c r="X24" i="6" s="1"/>
  <c r="AR26" i="6"/>
  <c r="X26" i="6" s="1"/>
  <c r="AR15" i="6"/>
  <c r="X15" i="6" s="1"/>
  <c r="R3" i="1" a="1"/>
  <c r="R3" i="1" s="1"/>
  <c r="AJ6" i="1" a="1"/>
  <c r="AJ6" i="1" s="1"/>
  <c r="BB6" i="1" a="1"/>
  <c r="BB6" i="1" s="1"/>
  <c r="K6" i="1" a="1"/>
  <c r="K6" i="1" s="1"/>
  <c r="AV6" i="1" a="1"/>
  <c r="AV6" i="1" s="1"/>
  <c r="AH6" i="1" a="1"/>
  <c r="AH6" i="1" s="1"/>
  <c r="AS6" i="1" a="1"/>
  <c r="AS6" i="1" s="1"/>
  <c r="AW6" i="1" a="1"/>
  <c r="AW6" i="1" s="1"/>
  <c r="AK6" i="1" a="1"/>
  <c r="AK6" i="1" s="1"/>
  <c r="AA6" i="1" a="1"/>
  <c r="AA6" i="1" s="1"/>
  <c r="O6" i="1" a="1"/>
  <c r="O6" i="1" s="1"/>
  <c r="AG6" i="1" a="1"/>
  <c r="AG6" i="1" s="1"/>
  <c r="AD6" i="1" a="1"/>
  <c r="AD6" i="1" s="1"/>
  <c r="T6" i="1" s="1"/>
  <c r="AU6" i="1" a="1"/>
  <c r="AU6" i="1" s="1"/>
  <c r="N6" i="1" a="1"/>
  <c r="N6" i="1" s="1"/>
  <c r="AT6" i="1" a="1"/>
  <c r="AT6" i="1" s="1"/>
  <c r="BC6" i="1" a="1"/>
  <c r="BC6" i="1" s="1"/>
  <c r="AF6" i="1" a="1"/>
  <c r="AF6" i="1" s="1"/>
  <c r="M6" i="1" a="1"/>
  <c r="M6" i="1" s="1"/>
  <c r="L6" i="1" a="1"/>
  <c r="L6" i="1" s="1"/>
  <c r="AL6" i="1" a="1"/>
  <c r="AL6" i="1" s="1"/>
  <c r="AI6" i="1" a="1"/>
  <c r="AI6" i="1" s="1"/>
  <c r="BA6" i="1" a="1"/>
  <c r="BA6" i="1" s="1"/>
  <c r="AB6" i="1" a="1"/>
  <c r="AB6" i="1" s="1"/>
  <c r="AE6" i="1" a="1"/>
  <c r="AE6" i="1" s="1"/>
  <c r="AX6" i="1" s="1" a="1"/>
  <c r="AX6" i="1" s="1"/>
  <c r="J6" i="1" a="1"/>
  <c r="J6" i="1" s="1"/>
  <c r="R8" i="1"/>
  <c r="R11" i="1"/>
  <c r="R12" i="1"/>
  <c r="AK3" i="6" a="1"/>
  <c r="AK3" i="6" s="1"/>
  <c r="AJ3" i="6" a="1"/>
  <c r="AJ3" i="6" s="1"/>
  <c r="AI3" i="6" a="1"/>
  <c r="AI3" i="6" s="1"/>
  <c r="AO6" i="6" s="1"/>
  <c r="AA3" i="6" a="1"/>
  <c r="AA3" i="6" s="1"/>
  <c r="AF3" i="6" a="1"/>
  <c r="AF3" i="6" s="1"/>
  <c r="AG3" i="6" a="1"/>
  <c r="AG3" i="6" s="1"/>
  <c r="AH3" i="6" a="1"/>
  <c r="AH3" i="6" s="1"/>
  <c r="V6" i="6" s="1" a="1"/>
  <c r="V6" i="6" s="1"/>
  <c r="AB3" i="6" a="1"/>
  <c r="AB3" i="6" s="1"/>
  <c r="B29" i="20" l="1" a="1"/>
  <c r="B29" i="20" s="1"/>
  <c r="Q29" i="20" s="1" a="1"/>
  <c r="Q29" i="20" s="1"/>
  <c r="B26" i="20" a="1"/>
  <c r="B26" i="20" s="1"/>
  <c r="K26" i="20" s="1" a="1"/>
  <c r="K26" i="20" s="1"/>
  <c r="B30" i="20" a="1"/>
  <c r="B30" i="20" s="1"/>
  <c r="N30" i="20" s="1" a="1"/>
  <c r="N30" i="20" s="1"/>
  <c r="B27" i="20" a="1"/>
  <c r="B27" i="20" s="1"/>
  <c r="Q27" i="20" s="1" a="1"/>
  <c r="Q27" i="20" s="1"/>
  <c r="B24" i="20" a="1"/>
  <c r="B24" i="20" s="1"/>
  <c r="P24" i="20" s="1" a="1"/>
  <c r="P24" i="20" s="1"/>
  <c r="B23" i="20" a="1"/>
  <c r="B23" i="20" s="1"/>
  <c r="R23" i="20" s="1" a="1"/>
  <c r="R23" i="20" s="1"/>
  <c r="B22" i="20" a="1"/>
  <c r="B22" i="20" s="1"/>
  <c r="Q22" i="20" s="1" a="1"/>
  <c r="Q22" i="20" s="1"/>
  <c r="B31" i="20" a="1"/>
  <c r="B31" i="20" s="1"/>
  <c r="B118" i="20" s="1"/>
  <c r="S118" i="20" s="1"/>
  <c r="B25" i="20" a="1"/>
  <c r="B25" i="20" s="1"/>
  <c r="O25" i="20" s="1" a="1"/>
  <c r="O25" i="20" s="1"/>
  <c r="B28" i="20" a="1"/>
  <c r="B28" i="20" s="1"/>
  <c r="O28" i="20" s="1" a="1"/>
  <c r="O28" i="20" s="1"/>
  <c r="B21" i="20" a="1"/>
  <c r="B21" i="20" s="1"/>
  <c r="P21" i="20" s="1" a="1"/>
  <c r="P21" i="20" s="1"/>
  <c r="B20" i="20" a="1"/>
  <c r="B20" i="20" s="1"/>
  <c r="C20" i="20" s="1" a="1"/>
  <c r="C20" i="20" s="1"/>
  <c r="C107" i="20" s="1"/>
  <c r="B33" i="20" a="1"/>
  <c r="B33" i="20" s="1"/>
  <c r="C33" i="20" s="1" a="1"/>
  <c r="C33" i="20" s="1"/>
  <c r="C120" i="20" s="1"/>
  <c r="AP6" i="19"/>
  <c r="E93" i="20" s="1" a="1"/>
  <c r="E93" i="20" s="1"/>
  <c r="D7" i="20"/>
  <c r="B55" i="20"/>
  <c r="B119" i="20"/>
  <c r="S119" i="20" s="1"/>
  <c r="C32" i="20" a="1"/>
  <c r="C32" i="20" s="1"/>
  <c r="C119" i="20" s="1"/>
  <c r="K41" i="20"/>
  <c r="K104" i="20"/>
  <c r="K18" i="20" a="1"/>
  <c r="K18" i="20" s="1"/>
  <c r="K17" i="20" a="1"/>
  <c r="K17" i="20" s="1"/>
  <c r="K32" i="20" a="1"/>
  <c r="K32" i="20" s="1"/>
  <c r="Q41" i="20"/>
  <c r="Q104" i="20"/>
  <c r="Q17" i="20" a="1"/>
  <c r="Q17" i="20" s="1"/>
  <c r="Q18" i="20" a="1"/>
  <c r="Q18" i="20" s="1"/>
  <c r="Q34" i="20"/>
  <c r="Q35" i="20"/>
  <c r="Q32" i="20" a="1"/>
  <c r="Q32" i="20" s="1"/>
  <c r="Q37" i="20" a="1"/>
  <c r="Q37" i="20" s="1"/>
  <c r="Q36" i="20"/>
  <c r="G104" i="20"/>
  <c r="G41" i="20"/>
  <c r="G17" i="20" a="1"/>
  <c r="G17" i="20" s="1"/>
  <c r="G18" i="20" a="1"/>
  <c r="G18" i="20" s="1"/>
  <c r="G32" i="20" a="1"/>
  <c r="G32" i="20" s="1"/>
  <c r="P35" i="20"/>
  <c r="P41" i="20"/>
  <c r="P104" i="20"/>
  <c r="P36" i="20"/>
  <c r="P17" i="20" a="1"/>
  <c r="P17" i="20" s="1"/>
  <c r="P37" i="20" a="1"/>
  <c r="P37" i="20" s="1"/>
  <c r="P32" i="20" a="1"/>
  <c r="P32" i="20" s="1"/>
  <c r="P18" i="20" a="1"/>
  <c r="P18" i="20" s="1"/>
  <c r="P34" i="20"/>
  <c r="D104" i="20"/>
  <c r="D41" i="20"/>
  <c r="D18" i="20" a="1"/>
  <c r="D18" i="20" s="1"/>
  <c r="D17" i="20" a="1"/>
  <c r="D17" i="20" s="1"/>
  <c r="D32" i="20" a="1"/>
  <c r="D32" i="20" s="1"/>
  <c r="O41" i="20"/>
  <c r="O104" i="20"/>
  <c r="O34" i="20"/>
  <c r="O36" i="20"/>
  <c r="O35" i="20"/>
  <c r="O37" i="20" a="1"/>
  <c r="O37" i="20" s="1"/>
  <c r="O17" i="20" a="1"/>
  <c r="O17" i="20" s="1"/>
  <c r="O32" i="20" a="1"/>
  <c r="O32" i="20" s="1"/>
  <c r="O18" i="20" a="1"/>
  <c r="O18" i="20" s="1"/>
  <c r="H41" i="20"/>
  <c r="H104" i="20"/>
  <c r="H17" i="20" a="1"/>
  <c r="H17" i="20" s="1"/>
  <c r="H32" i="20" a="1"/>
  <c r="H32" i="20" s="1"/>
  <c r="H18" i="20" a="1"/>
  <c r="H18" i="20" s="1"/>
  <c r="F104" i="20"/>
  <c r="F41" i="20"/>
  <c r="F18" i="20" a="1"/>
  <c r="F18" i="20" s="1"/>
  <c r="F17" i="20" a="1"/>
  <c r="F17" i="20" s="1"/>
  <c r="F32" i="20" a="1"/>
  <c r="F32" i="20" s="1"/>
  <c r="L41" i="20"/>
  <c r="L104" i="20"/>
  <c r="L32" i="20" a="1"/>
  <c r="L32" i="20" s="1"/>
  <c r="L17" i="20" a="1"/>
  <c r="L17" i="20" s="1"/>
  <c r="L18" i="20" a="1"/>
  <c r="L18" i="20" s="1"/>
  <c r="N34" i="20"/>
  <c r="N41" i="20"/>
  <c r="N104" i="20"/>
  <c r="N36" i="20"/>
  <c r="N18" i="20" a="1"/>
  <c r="N18" i="20" s="1"/>
  <c r="N37" i="20" a="1"/>
  <c r="N37" i="20" s="1"/>
  <c r="N17" i="20" a="1"/>
  <c r="N17" i="20" s="1"/>
  <c r="N35" i="20"/>
  <c r="N32" i="20" a="1"/>
  <c r="N32" i="20" s="1"/>
  <c r="E104" i="20"/>
  <c r="E41" i="20"/>
  <c r="E17" i="20" a="1"/>
  <c r="E17" i="20" s="1"/>
  <c r="E18" i="20" a="1"/>
  <c r="E18" i="20" s="1"/>
  <c r="E32" i="20" a="1"/>
  <c r="E32" i="20" s="1"/>
  <c r="I41" i="20"/>
  <c r="I104" i="20"/>
  <c r="I17" i="20" a="1"/>
  <c r="I17" i="20" s="1"/>
  <c r="I32" i="20" a="1"/>
  <c r="I32" i="20" s="1"/>
  <c r="I18" i="20" a="1"/>
  <c r="I18" i="20" s="1"/>
  <c r="J41" i="20"/>
  <c r="J104" i="20"/>
  <c r="J18" i="20" a="1"/>
  <c r="J18" i="20" s="1"/>
  <c r="J17" i="20" a="1"/>
  <c r="J17" i="20" s="1"/>
  <c r="J32" i="20" a="1"/>
  <c r="J32" i="20" s="1"/>
  <c r="M41" i="20"/>
  <c r="M104" i="20"/>
  <c r="M17" i="20" a="1"/>
  <c r="M17" i="20" s="1"/>
  <c r="M18" i="20" a="1"/>
  <c r="M18" i="20" s="1"/>
  <c r="M32" i="20" a="1"/>
  <c r="M32" i="20" s="1"/>
  <c r="R35" i="20"/>
  <c r="R41" i="20"/>
  <c r="R104" i="20"/>
  <c r="R34" i="20"/>
  <c r="R36" i="20"/>
  <c r="R32" i="20" a="1"/>
  <c r="R32" i="20" s="1"/>
  <c r="R18" i="20" a="1"/>
  <c r="R18" i="20" s="1"/>
  <c r="R37" i="20" a="1"/>
  <c r="R37" i="20" s="1"/>
  <c r="R17" i="20" a="1"/>
  <c r="R17" i="20" s="1"/>
  <c r="AN8" i="1" a="1"/>
  <c r="AN8" i="1" s="1"/>
  <c r="AN11" i="1" a="1"/>
  <c r="AN11" i="1" s="1"/>
  <c r="AN10" i="1" a="1"/>
  <c r="AN10" i="1" s="1"/>
  <c r="AN7" i="1" a="1"/>
  <c r="AN7" i="1" s="1"/>
  <c r="AN12" i="1" a="1"/>
  <c r="AN12" i="1" s="1"/>
  <c r="AN9" i="1" a="1"/>
  <c r="AN9" i="1" s="1"/>
  <c r="P6" i="1" a="1"/>
  <c r="P6" i="1" s="1"/>
  <c r="AR6" i="6"/>
  <c r="AP6" i="6"/>
  <c r="AQ6" i="6"/>
  <c r="AH3" i="1" a="1"/>
  <c r="AH3" i="1" s="1"/>
  <c r="AG3" i="1" a="1"/>
  <c r="AG3" i="1" s="1"/>
  <c r="AA3" i="1" a="1"/>
  <c r="AA3" i="1" s="1"/>
  <c r="AJ3" i="1" a="1"/>
  <c r="AJ3" i="1" s="1"/>
  <c r="AI3" i="1" a="1"/>
  <c r="AI3" i="1" s="1"/>
  <c r="AF3" i="1" a="1"/>
  <c r="AF3" i="1" s="1"/>
  <c r="AB3" i="1" a="1"/>
  <c r="AB3" i="1" s="1"/>
  <c r="AK3" i="1" a="1"/>
  <c r="AK3" i="1" s="1"/>
  <c r="AN6" i="1" a="1"/>
  <c r="AN6" i="1" s="1"/>
  <c r="S3" i="1" a="1"/>
  <c r="S3" i="1" s="1"/>
  <c r="AR26" i="1"/>
  <c r="X26" i="1" s="1"/>
  <c r="AR23" i="1"/>
  <c r="X23" i="1" s="1"/>
  <c r="AR30" i="1"/>
  <c r="X30" i="1" s="1"/>
  <c r="AR16" i="1"/>
  <c r="X16" i="1" s="1"/>
  <c r="AR22" i="1"/>
  <c r="X22" i="1" s="1"/>
  <c r="AR20" i="1"/>
  <c r="X20" i="1" s="1"/>
  <c r="AR29" i="1"/>
  <c r="X29" i="1" s="1"/>
  <c r="AR18" i="1"/>
  <c r="X18" i="1" s="1"/>
  <c r="AR28" i="1"/>
  <c r="X28" i="1" s="1"/>
  <c r="AR25" i="1"/>
  <c r="X25" i="1" s="1"/>
  <c r="AR19" i="1"/>
  <c r="X19" i="1" s="1"/>
  <c r="AR15" i="1"/>
  <c r="X15" i="1" s="1"/>
  <c r="AR24" i="1"/>
  <c r="X24" i="1" s="1"/>
  <c r="AR21" i="1"/>
  <c r="X21" i="1" s="1"/>
  <c r="AR27" i="1"/>
  <c r="X27" i="1" s="1"/>
  <c r="AR13" i="1"/>
  <c r="X13" i="1" s="1"/>
  <c r="AR17" i="1"/>
  <c r="X17" i="1" s="1"/>
  <c r="AR14" i="1"/>
  <c r="X14" i="1" s="1"/>
  <c r="AY6" i="6"/>
  <c r="Q6" i="6" s="1"/>
  <c r="B113" i="20" l="1"/>
  <c r="AP10" i="1"/>
  <c r="AO6" i="1" a="1"/>
  <c r="AO6" i="1" s="1"/>
  <c r="AY6" i="1" s="1"/>
  <c r="R6" i="1" s="1"/>
  <c r="J29" i="20" a="1"/>
  <c r="J29" i="20" s="1"/>
  <c r="N29" i="20" a="1"/>
  <c r="N29" i="20" s="1"/>
  <c r="B116" i="20"/>
  <c r="S116" i="20" s="1"/>
  <c r="F29" i="20" a="1"/>
  <c r="F29" i="20" s="1"/>
  <c r="M29" i="20" a="1"/>
  <c r="M29" i="20" s="1"/>
  <c r="C26" i="20" a="1"/>
  <c r="C26" i="20" s="1"/>
  <c r="C113" i="20" s="1"/>
  <c r="B49" i="20"/>
  <c r="K49" i="20" s="1"/>
  <c r="P26" i="20" a="1"/>
  <c r="P26" i="20" s="1"/>
  <c r="R26" i="20" a="1"/>
  <c r="R26" i="20" s="1"/>
  <c r="P23" i="20" a="1"/>
  <c r="P23" i="20" s="1"/>
  <c r="R27" i="20" a="1"/>
  <c r="R27" i="20" s="1"/>
  <c r="Q26" i="20" a="1"/>
  <c r="Q26" i="20" s="1"/>
  <c r="N26" i="20" a="1"/>
  <c r="N26" i="20" s="1"/>
  <c r="P30" i="20" a="1"/>
  <c r="P30" i="20" s="1"/>
  <c r="C29" i="20" a="1"/>
  <c r="C29" i="20" s="1"/>
  <c r="C116" i="20" s="1"/>
  <c r="R29" i="20" a="1"/>
  <c r="R29" i="20" s="1"/>
  <c r="I26" i="20" a="1"/>
  <c r="I26" i="20" s="1"/>
  <c r="L29" i="20" a="1"/>
  <c r="L29" i="20" s="1"/>
  <c r="O29" i="20" a="1"/>
  <c r="O29" i="20" s="1"/>
  <c r="O26" i="20" a="1"/>
  <c r="O26" i="20" s="1"/>
  <c r="P29" i="20" a="1"/>
  <c r="P29" i="20" s="1"/>
  <c r="B50" i="20"/>
  <c r="R25" i="20" a="1"/>
  <c r="R25" i="20" s="1"/>
  <c r="N22" i="20" a="1"/>
  <c r="N22" i="20" s="1"/>
  <c r="M30" i="20" a="1"/>
  <c r="M30" i="20" s="1"/>
  <c r="G30" i="20" a="1"/>
  <c r="G30" i="20" s="1"/>
  <c r="R24" i="20" a="1"/>
  <c r="R24" i="20" s="1"/>
  <c r="B46" i="20"/>
  <c r="I30" i="20" a="1"/>
  <c r="I30" i="20" s="1"/>
  <c r="P27" i="20" a="1"/>
  <c r="P27" i="20" s="1"/>
  <c r="E28" i="20" a="1"/>
  <c r="E28" i="20" s="1"/>
  <c r="F31" i="20" a="1"/>
  <c r="F31" i="20" s="1"/>
  <c r="N31" i="20" a="1"/>
  <c r="N31" i="20" s="1"/>
  <c r="H30" i="20" a="1"/>
  <c r="H30" i="20" s="1"/>
  <c r="E29" i="20" a="1"/>
  <c r="E29" i="20" s="1"/>
  <c r="B52" i="20"/>
  <c r="N52" i="20" s="1"/>
  <c r="G29" i="20" a="1"/>
  <c r="G29" i="20" s="1"/>
  <c r="K29" i="20" a="1"/>
  <c r="K29" i="20" s="1"/>
  <c r="R28" i="20" a="1"/>
  <c r="R28" i="20" s="1"/>
  <c r="I29" i="20" a="1"/>
  <c r="I29" i="20" s="1"/>
  <c r="H29" i="20" a="1"/>
  <c r="H29" i="20" s="1"/>
  <c r="D29" i="20" a="1"/>
  <c r="D29" i="20" s="1"/>
  <c r="B114" i="20"/>
  <c r="K114" i="20" s="1" a="1"/>
  <c r="K114" i="20" s="1"/>
  <c r="I31" i="20" a="1"/>
  <c r="I31" i="20" s="1"/>
  <c r="O24" i="20" a="1"/>
  <c r="O24" i="20" s="1"/>
  <c r="B110" i="20"/>
  <c r="O110" i="20" s="1" a="1"/>
  <c r="O110" i="20" s="1"/>
  <c r="G31" i="20" a="1"/>
  <c r="G31" i="20" s="1"/>
  <c r="K31" i="20" a="1"/>
  <c r="K31" i="20" s="1"/>
  <c r="B44" i="20"/>
  <c r="C44" i="20" s="1" a="1"/>
  <c r="C44" i="20" s="1"/>
  <c r="N25" i="20" a="1"/>
  <c r="N25" i="20" s="1"/>
  <c r="F28" i="20" a="1"/>
  <c r="F28" i="20" s="1"/>
  <c r="P28" i="20" a="1"/>
  <c r="P28" i="20" s="1"/>
  <c r="C23" i="20" a="1"/>
  <c r="C23" i="20" s="1"/>
  <c r="C110" i="20" s="1"/>
  <c r="H93" i="20" a="1"/>
  <c r="H93" i="20" s="1"/>
  <c r="Q28" i="20" a="1"/>
  <c r="Q28" i="20" s="1"/>
  <c r="L21" i="20" a="1"/>
  <c r="L21" i="20" s="1"/>
  <c r="J33" i="20" a="1"/>
  <c r="J33" i="20" s="1"/>
  <c r="Q25" i="20" a="1"/>
  <c r="Q25" i="20" s="1"/>
  <c r="H94" i="20" a="1"/>
  <c r="H94" i="20" s="1"/>
  <c r="L28" i="20" a="1"/>
  <c r="L28" i="20" s="1"/>
  <c r="F97" i="20" a="1"/>
  <c r="F97" i="20" s="1"/>
  <c r="R22" i="20" a="1"/>
  <c r="R22" i="20" s="1"/>
  <c r="E31" i="20" a="1"/>
  <c r="E31" i="20" s="1"/>
  <c r="L31" i="20" a="1"/>
  <c r="L31" i="20" s="1"/>
  <c r="H28" i="20" a="1"/>
  <c r="H28" i="20" s="1"/>
  <c r="D33" i="20" a="1"/>
  <c r="D33" i="20" s="1"/>
  <c r="P31" i="20" a="1"/>
  <c r="P31" i="20" s="1"/>
  <c r="J81" i="20" a="1"/>
  <c r="J81" i="20" s="1"/>
  <c r="K81" i="20" s="1"/>
  <c r="J20" i="20" a="1"/>
  <c r="J20" i="20" s="1"/>
  <c r="H20" i="20" a="1"/>
  <c r="H20" i="20" s="1"/>
  <c r="D21" i="20" a="1"/>
  <c r="D21" i="20" s="1"/>
  <c r="J86" i="20" a="1"/>
  <c r="J86" i="20" s="1"/>
  <c r="K86" i="20" s="1"/>
  <c r="H24" i="20" a="1"/>
  <c r="H24" i="20" s="1"/>
  <c r="Q33" i="20" a="1"/>
  <c r="Q33" i="20" s="1"/>
  <c r="B120" i="20"/>
  <c r="S120" i="20" s="1"/>
  <c r="E97" i="20" a="1"/>
  <c r="E97" i="20" s="1"/>
  <c r="J28" i="20" a="1"/>
  <c r="J28" i="20" s="1"/>
  <c r="C28" i="20" a="1"/>
  <c r="C28" i="20" s="1"/>
  <c r="C115" i="20" s="1"/>
  <c r="J83" i="20" a="1"/>
  <c r="J83" i="20" s="1"/>
  <c r="K83" i="20" s="1"/>
  <c r="G20" i="20" a="1"/>
  <c r="G20" i="20" s="1"/>
  <c r="C25" i="20" a="1"/>
  <c r="C25" i="20" s="1"/>
  <c r="C112" i="20" s="1"/>
  <c r="I20" i="20" a="1"/>
  <c r="I20" i="20" s="1"/>
  <c r="O20" i="20" a="1"/>
  <c r="O20" i="20" s="1"/>
  <c r="Q21" i="20" a="1"/>
  <c r="Q21" i="20" s="1"/>
  <c r="B48" i="20"/>
  <c r="R48" i="20" s="1"/>
  <c r="I28" i="20" a="1"/>
  <c r="I28" i="20" s="1"/>
  <c r="K28" i="20" a="1"/>
  <c r="K28" i="20" s="1"/>
  <c r="B112" i="20"/>
  <c r="L112" i="20" s="1" a="1"/>
  <c r="L112" i="20" s="1"/>
  <c r="R33" i="20" a="1"/>
  <c r="R33" i="20" s="1"/>
  <c r="N20" i="20" a="1"/>
  <c r="N20" i="20" s="1"/>
  <c r="R31" i="20" a="1"/>
  <c r="R31" i="20" s="1"/>
  <c r="M31" i="20" a="1"/>
  <c r="M31" i="20" s="1"/>
  <c r="P33" i="20" a="1"/>
  <c r="P33" i="20" s="1"/>
  <c r="H31" i="20" a="1"/>
  <c r="H31" i="20" s="1"/>
  <c r="O31" i="20" a="1"/>
  <c r="O31" i="20" s="1"/>
  <c r="P20" i="20" a="1"/>
  <c r="P20" i="20" s="1"/>
  <c r="O21" i="20" a="1"/>
  <c r="O21" i="20" s="1"/>
  <c r="P25" i="20" a="1"/>
  <c r="P25" i="20" s="1"/>
  <c r="G28" i="20" a="1"/>
  <c r="G28" i="20" s="1"/>
  <c r="B51" i="20"/>
  <c r="E51" i="20" s="1"/>
  <c r="F98" i="20" a="1"/>
  <c r="F98" i="20" s="1"/>
  <c r="D28" i="20" a="1"/>
  <c r="D28" i="20" s="1"/>
  <c r="Q31" i="20" a="1"/>
  <c r="Q31" i="20" s="1"/>
  <c r="B47" i="20"/>
  <c r="Q47" i="20" s="1"/>
  <c r="M28" i="20" a="1"/>
  <c r="M28" i="20" s="1"/>
  <c r="N28" i="20" a="1"/>
  <c r="N28" i="20" s="1"/>
  <c r="O22" i="20" a="1"/>
  <c r="O22" i="20" s="1"/>
  <c r="D31" i="20" a="1"/>
  <c r="D31" i="20" s="1"/>
  <c r="Q24" i="20" a="1"/>
  <c r="Q24" i="20" s="1"/>
  <c r="B111" i="20"/>
  <c r="R111" i="20" s="1" a="1"/>
  <c r="R111" i="20" s="1"/>
  <c r="B108" i="20"/>
  <c r="M108" i="20" s="1" a="1"/>
  <c r="M108" i="20" s="1"/>
  <c r="N21" i="20" a="1"/>
  <c r="N21" i="20" s="1"/>
  <c r="F21" i="20" a="1"/>
  <c r="F21" i="20" s="1"/>
  <c r="M21" i="20" a="1"/>
  <c r="M21" i="20" s="1"/>
  <c r="O23" i="20" a="1"/>
  <c r="O23" i="20" s="1"/>
  <c r="Q23" i="20" a="1"/>
  <c r="Q23" i="20" s="1"/>
  <c r="C31" i="20" a="1"/>
  <c r="C31" i="20" s="1"/>
  <c r="C118" i="20" s="1"/>
  <c r="B54" i="20"/>
  <c r="S54" i="20" s="1" a="1"/>
  <c r="S54" i="20" s="1"/>
  <c r="R21" i="20" a="1"/>
  <c r="R21" i="20" s="1"/>
  <c r="J31" i="20" a="1"/>
  <c r="J31" i="20" s="1"/>
  <c r="N27" i="20" a="1"/>
  <c r="N27" i="20" s="1"/>
  <c r="B56" i="20"/>
  <c r="L56" i="20" s="1"/>
  <c r="N23" i="20" a="1"/>
  <c r="N23" i="20" s="1"/>
  <c r="L30" i="20" a="1"/>
  <c r="L30" i="20" s="1"/>
  <c r="O27" i="20" a="1"/>
  <c r="O27" i="20" s="1"/>
  <c r="P22" i="20" a="1"/>
  <c r="P22" i="20" s="1"/>
  <c r="C27" i="20" a="1"/>
  <c r="C27" i="20" s="1"/>
  <c r="C114" i="20" s="1"/>
  <c r="C24" i="20" a="1"/>
  <c r="C24" i="20" s="1"/>
  <c r="C111" i="20" s="1"/>
  <c r="F92" i="20" a="1"/>
  <c r="F92" i="20" s="1"/>
  <c r="C22" i="20" a="1"/>
  <c r="C22" i="20" s="1"/>
  <c r="C109" i="20" s="1"/>
  <c r="B117" i="20"/>
  <c r="S117" i="20" s="1"/>
  <c r="E30" i="20" a="1"/>
  <c r="E30" i="20" s="1"/>
  <c r="D23" i="20" a="1"/>
  <c r="D23" i="20" s="1"/>
  <c r="R30" i="20" a="1"/>
  <c r="R30" i="20" s="1"/>
  <c r="F24" i="20" a="1"/>
  <c r="F24" i="20" s="1"/>
  <c r="B109" i="20"/>
  <c r="D109" i="20" s="1" a="1"/>
  <c r="D109" i="20" s="1"/>
  <c r="D30" i="20" a="1"/>
  <c r="D30" i="20" s="1"/>
  <c r="N24" i="20" a="1"/>
  <c r="N24" i="20" s="1"/>
  <c r="O30" i="20" a="1"/>
  <c r="O30" i="20" s="1"/>
  <c r="B45" i="20"/>
  <c r="C45" i="20" s="1" a="1"/>
  <c r="C45" i="20" s="1"/>
  <c r="J30" i="20" a="1"/>
  <c r="J30" i="20" s="1"/>
  <c r="E21" i="20" a="1"/>
  <c r="E21" i="20" s="1"/>
  <c r="F30" i="20" a="1"/>
  <c r="F30" i="20" s="1"/>
  <c r="B53" i="20"/>
  <c r="L53" i="20" s="1"/>
  <c r="Q30" i="20" a="1"/>
  <c r="Q30" i="20" s="1"/>
  <c r="K30" i="20" a="1"/>
  <c r="K30" i="20" s="1"/>
  <c r="J85" i="20" a="1"/>
  <c r="J85" i="20" s="1"/>
  <c r="K85" i="20" s="1"/>
  <c r="C30" i="20" a="1"/>
  <c r="C30" i="20" s="1"/>
  <c r="C117" i="20" s="1"/>
  <c r="G96" i="20" a="1"/>
  <c r="G96" i="20" s="1"/>
  <c r="G92" i="20" a="1"/>
  <c r="G92" i="20" s="1"/>
  <c r="G95" i="20" a="1"/>
  <c r="G95" i="20" s="1"/>
  <c r="B115" i="20"/>
  <c r="S115" i="20" s="1"/>
  <c r="B43" i="20"/>
  <c r="C43" i="20" s="1" a="1"/>
  <c r="C43" i="20" s="1"/>
  <c r="M26" i="20" a="1"/>
  <c r="M26" i="20" s="1"/>
  <c r="M49" i="20" s="1"/>
  <c r="L24" i="20" a="1"/>
  <c r="L24" i="20" s="1"/>
  <c r="Q20" i="20" a="1"/>
  <c r="Q20" i="20" s="1"/>
  <c r="B107" i="20"/>
  <c r="R107" i="20" s="1" a="1"/>
  <c r="R107" i="20" s="1"/>
  <c r="D92" i="20" a="1"/>
  <c r="D92" i="20" s="1"/>
  <c r="G99" i="20" a="1"/>
  <c r="G99" i="20" s="1"/>
  <c r="D98" i="20" a="1"/>
  <c r="D98" i="20" s="1"/>
  <c r="F93" i="20" a="1"/>
  <c r="F93" i="20" s="1"/>
  <c r="J82" i="20" a="1"/>
  <c r="J82" i="20" s="1"/>
  <c r="K82" i="20" s="1"/>
  <c r="H97" i="20" a="1"/>
  <c r="H97" i="20" s="1"/>
  <c r="G98" i="20" a="1"/>
  <c r="G98" i="20" s="1"/>
  <c r="J23" i="20" a="1"/>
  <c r="J23" i="20" s="1"/>
  <c r="G33" i="20" a="1"/>
  <c r="G33" i="20" s="1"/>
  <c r="F94" i="20" a="1"/>
  <c r="F94" i="20" s="1"/>
  <c r="F33" i="20" a="1"/>
  <c r="F33" i="20" s="1"/>
  <c r="E98" i="20" a="1"/>
  <c r="E98" i="20" s="1"/>
  <c r="L33" i="20" a="1"/>
  <c r="L33" i="20" s="1"/>
  <c r="I33" i="20" a="1"/>
  <c r="I33" i="20" s="1"/>
  <c r="H99" i="20" a="1"/>
  <c r="H99" i="20" s="1"/>
  <c r="H96" i="20" a="1"/>
  <c r="H96" i="20" s="1"/>
  <c r="K21" i="20" a="1"/>
  <c r="K21" i="20" s="1"/>
  <c r="F96" i="20" a="1"/>
  <c r="F96" i="20" s="1"/>
  <c r="F99" i="20" a="1"/>
  <c r="F99" i="20" s="1"/>
  <c r="R20" i="20" a="1"/>
  <c r="R20" i="20" s="1"/>
  <c r="N33" i="20" a="1"/>
  <c r="N33" i="20" s="1"/>
  <c r="H33" i="20" a="1"/>
  <c r="H33" i="20" s="1"/>
  <c r="O33" i="20" a="1"/>
  <c r="O33" i="20" s="1"/>
  <c r="H98" i="20" a="1"/>
  <c r="H98" i="20" s="1"/>
  <c r="F95" i="20" a="1"/>
  <c r="F95" i="20" s="1"/>
  <c r="M24" i="20" a="1"/>
  <c r="M24" i="20" s="1"/>
  <c r="J84" i="20" a="1"/>
  <c r="J84" i="20" s="1"/>
  <c r="K84" i="20" s="1"/>
  <c r="J87" i="20" a="1"/>
  <c r="J87" i="20" s="1"/>
  <c r="K87" i="20" s="1"/>
  <c r="H95" i="20" a="1"/>
  <c r="H95" i="20" s="1"/>
  <c r="D97" i="20" a="1"/>
  <c r="D97" i="20" s="1"/>
  <c r="B19" i="20" a="1"/>
  <c r="B19" i="20" s="1"/>
  <c r="P19" i="20" s="1" a="1"/>
  <c r="P19" i="20" s="1"/>
  <c r="G97" i="20" a="1"/>
  <c r="G97" i="20" s="1"/>
  <c r="E33" i="20" a="1"/>
  <c r="E33" i="20" s="1"/>
  <c r="E25" i="20" a="1"/>
  <c r="E25" i="20" s="1"/>
  <c r="E48" i="20" s="1"/>
  <c r="E23" i="20" a="1"/>
  <c r="E23" i="20" s="1"/>
  <c r="D99" i="20" a="1"/>
  <c r="D99" i="20" s="1"/>
  <c r="E92" i="20" a="1"/>
  <c r="E92" i="20" s="1"/>
  <c r="M33" i="20" a="1"/>
  <c r="M33" i="20" s="1"/>
  <c r="E20" i="20" a="1"/>
  <c r="E20" i="20" s="1"/>
  <c r="E96" i="20" a="1"/>
  <c r="E96" i="20" s="1"/>
  <c r="G94" i="20" a="1"/>
  <c r="G94" i="20" s="1"/>
  <c r="H23" i="20" a="1"/>
  <c r="H23" i="20" s="1"/>
  <c r="G24" i="20" a="1"/>
  <c r="G24" i="20" s="1"/>
  <c r="C21" i="20" a="1"/>
  <c r="C21" i="20" s="1"/>
  <c r="C108" i="20" s="1"/>
  <c r="G93" i="20" a="1"/>
  <c r="G93" i="20" s="1"/>
  <c r="D93" i="20" a="1"/>
  <c r="D93" i="20" s="1"/>
  <c r="D94" i="20" a="1"/>
  <c r="D94" i="20" s="1"/>
  <c r="H92" i="20" a="1"/>
  <c r="H92" i="20" s="1"/>
  <c r="E94" i="20" a="1"/>
  <c r="E94" i="20" s="1"/>
  <c r="E99" i="20" a="1"/>
  <c r="E99" i="20" s="1"/>
  <c r="J26" i="20" a="1"/>
  <c r="J26" i="20" s="1"/>
  <c r="L25" i="20" a="1"/>
  <c r="L25" i="20" s="1"/>
  <c r="L48" i="20" s="1"/>
  <c r="J21" i="20" a="1"/>
  <c r="J21" i="20" s="1"/>
  <c r="D24" i="20" a="1"/>
  <c r="D24" i="20" s="1"/>
  <c r="K33" i="20" a="1"/>
  <c r="K33" i="20" s="1"/>
  <c r="D95" i="20" a="1"/>
  <c r="D95" i="20" s="1"/>
  <c r="D96" i="20" a="1"/>
  <c r="D96" i="20" s="1"/>
  <c r="E95" i="20" a="1"/>
  <c r="E95" i="20" s="1"/>
  <c r="E26" i="20" a="1"/>
  <c r="E26" i="20" s="1"/>
  <c r="E49" i="20" s="1"/>
  <c r="K25" i="20" a="1"/>
  <c r="K25" i="20" s="1"/>
  <c r="K48" i="20" s="1"/>
  <c r="G27" i="20" a="1"/>
  <c r="G27" i="20" s="1"/>
  <c r="G50" i="20" s="1"/>
  <c r="G21" i="20" a="1"/>
  <c r="G21" i="20" s="1"/>
  <c r="G44" i="20" s="1"/>
  <c r="K24" i="20" a="1"/>
  <c r="K24" i="20" s="1"/>
  <c r="G22" i="20" a="1"/>
  <c r="G22" i="20" s="1"/>
  <c r="G45" i="20" s="1"/>
  <c r="K23" i="20" a="1"/>
  <c r="K23" i="20" s="1"/>
  <c r="K22" i="20" a="1"/>
  <c r="K22" i="20" s="1"/>
  <c r="G26" i="20" a="1"/>
  <c r="G26" i="20" s="1"/>
  <c r="G49" i="20" s="1"/>
  <c r="K27" i="20" a="1"/>
  <c r="K27" i="20" s="1"/>
  <c r="D25" i="20" a="1"/>
  <c r="D25" i="20" s="1"/>
  <c r="D48" i="20" s="1"/>
  <c r="D26" i="20" a="1"/>
  <c r="D26" i="20" s="1"/>
  <c r="D49" i="20" s="1"/>
  <c r="G23" i="20" a="1"/>
  <c r="G23" i="20" s="1"/>
  <c r="G46" i="20" s="1"/>
  <c r="H22" i="20" a="1"/>
  <c r="H22" i="20" s="1"/>
  <c r="H45" i="20" s="1"/>
  <c r="H21" i="20" a="1"/>
  <c r="H21" i="20" s="1"/>
  <c r="I24" i="20" a="1"/>
  <c r="I24" i="20" s="1"/>
  <c r="H26" i="20" a="1"/>
  <c r="H26" i="20" s="1"/>
  <c r="H49" i="20" s="1"/>
  <c r="I23" i="20" a="1"/>
  <c r="I23" i="20" s="1"/>
  <c r="H27" i="20" a="1"/>
  <c r="H27" i="20" s="1"/>
  <c r="H50" i="20" s="1"/>
  <c r="F20" i="20" a="1"/>
  <c r="F20" i="20" s="1"/>
  <c r="F43" i="20" s="1"/>
  <c r="H25" i="20" a="1"/>
  <c r="H25" i="20" s="1"/>
  <c r="H48" i="20" s="1"/>
  <c r="I21" i="20" a="1"/>
  <c r="I21" i="20" s="1"/>
  <c r="E24" i="20" a="1"/>
  <c r="E24" i="20" s="1"/>
  <c r="E47" i="20" s="1"/>
  <c r="E22" i="20" a="1"/>
  <c r="E22" i="20" s="1"/>
  <c r="E45" i="20" s="1"/>
  <c r="E27" i="20" a="1"/>
  <c r="E27" i="20" s="1"/>
  <c r="E50" i="20" s="1"/>
  <c r="D27" i="20" a="1"/>
  <c r="D27" i="20" s="1"/>
  <c r="D50" i="20" s="1"/>
  <c r="G25" i="20" a="1"/>
  <c r="G25" i="20" s="1"/>
  <c r="M22" i="20" a="1"/>
  <c r="M22" i="20" s="1"/>
  <c r="M27" i="20" a="1"/>
  <c r="M27" i="20" s="1"/>
  <c r="M50" i="20" s="1"/>
  <c r="L26" i="20" a="1"/>
  <c r="L26" i="20" s="1"/>
  <c r="M20" i="20" a="1"/>
  <c r="M20" i="20" s="1"/>
  <c r="L23" i="20" a="1"/>
  <c r="L23" i="20" s="1"/>
  <c r="M25" i="20" a="1"/>
  <c r="M25" i="20" s="1"/>
  <c r="D22" i="20" a="1"/>
  <c r="D22" i="20" s="1"/>
  <c r="D45" i="20" s="1"/>
  <c r="M23" i="20" a="1"/>
  <c r="M23" i="20" s="1"/>
  <c r="F26" i="20" a="1"/>
  <c r="F26" i="20" s="1"/>
  <c r="F49" i="20" s="1"/>
  <c r="J25" i="20" a="1"/>
  <c r="J25" i="20" s="1"/>
  <c r="J48" i="20" s="1"/>
  <c r="I27" i="20" a="1"/>
  <c r="I27" i="20" s="1"/>
  <c r="I50" i="20" s="1"/>
  <c r="L27" i="20" a="1"/>
  <c r="L27" i="20" s="1"/>
  <c r="L50" i="20" s="1"/>
  <c r="J24" i="20" a="1"/>
  <c r="J24" i="20" s="1"/>
  <c r="J47" i="20" s="1"/>
  <c r="I22" i="20" a="1"/>
  <c r="I22" i="20" s="1"/>
  <c r="L22" i="20" a="1"/>
  <c r="L22" i="20" s="1"/>
  <c r="L45" i="20" s="1"/>
  <c r="J22" i="20" a="1"/>
  <c r="J22" i="20" s="1"/>
  <c r="J45" i="20" s="1"/>
  <c r="J27" i="20" a="1"/>
  <c r="J27" i="20" s="1"/>
  <c r="J50" i="20" s="1"/>
  <c r="F27" i="20" a="1"/>
  <c r="F27" i="20" s="1"/>
  <c r="F50" i="20" s="1"/>
  <c r="F22" i="20" a="1"/>
  <c r="F22" i="20" s="1"/>
  <c r="F45" i="20" s="1"/>
  <c r="I25" i="20" a="1"/>
  <c r="I25" i="20" s="1"/>
  <c r="F25" i="20" a="1"/>
  <c r="F25" i="20" s="1"/>
  <c r="F23" i="20" a="1"/>
  <c r="F23" i="20" s="1"/>
  <c r="D20" i="20" a="1"/>
  <c r="D20" i="20" s="1"/>
  <c r="K20" i="20" a="1"/>
  <c r="K20" i="20" s="1"/>
  <c r="L20" i="20" a="1"/>
  <c r="L20" i="20" s="1"/>
  <c r="C55" i="20" a="1"/>
  <c r="C55" i="20" s="1"/>
  <c r="T55" i="20" s="1"/>
  <c r="S55" i="20" a="1"/>
  <c r="S55" i="20" s="1"/>
  <c r="C48" i="20" a="1"/>
  <c r="C48" i="20" s="1"/>
  <c r="C53" i="20" a="1"/>
  <c r="C53" i="20" s="1"/>
  <c r="T53" i="20" s="1"/>
  <c r="S53" i="20" a="1"/>
  <c r="S53" i="20" s="1"/>
  <c r="C49" i="20" a="1"/>
  <c r="C49" i="20" s="1"/>
  <c r="S51" i="20" a="1"/>
  <c r="S51" i="20" s="1"/>
  <c r="C51" i="20" a="1"/>
  <c r="C51" i="20" s="1"/>
  <c r="T51" i="20" s="1"/>
  <c r="C54" i="20" a="1"/>
  <c r="C54" i="20" s="1"/>
  <c r="T54" i="20" s="1"/>
  <c r="C50" i="20" a="1"/>
  <c r="C50" i="20" s="1"/>
  <c r="H121" i="20"/>
  <c r="H105" i="20"/>
  <c r="H119" i="20" a="1"/>
  <c r="H119" i="20" s="1"/>
  <c r="H113" i="20" a="1"/>
  <c r="H113" i="20" s="1"/>
  <c r="H114" i="20" a="1"/>
  <c r="H114" i="20" s="1"/>
  <c r="H116" i="20" a="1"/>
  <c r="H116" i="20" s="1"/>
  <c r="H118" i="20" a="1"/>
  <c r="H118" i="20" s="1"/>
  <c r="M116" i="20" a="1"/>
  <c r="M116" i="20" s="1"/>
  <c r="M118" i="20" a="1"/>
  <c r="M118" i="20" s="1"/>
  <c r="M111" i="20" a="1"/>
  <c r="M111" i="20" s="1"/>
  <c r="M114" i="20" a="1"/>
  <c r="M114" i="20" s="1"/>
  <c r="M113" i="20" a="1"/>
  <c r="M113" i="20" s="1"/>
  <c r="M110" i="20" a="1"/>
  <c r="M110" i="20" s="1"/>
  <c r="M121" i="20"/>
  <c r="M105" i="20"/>
  <c r="M119" i="20" a="1"/>
  <c r="M119" i="20" s="1"/>
  <c r="F53" i="20"/>
  <c r="F56" i="20"/>
  <c r="F55" i="20"/>
  <c r="H56" i="20"/>
  <c r="H55" i="20"/>
  <c r="H51" i="20"/>
  <c r="D56" i="20"/>
  <c r="D51" i="20"/>
  <c r="D55" i="20"/>
  <c r="R121" i="20"/>
  <c r="R105" i="20"/>
  <c r="R119" i="20" a="1"/>
  <c r="R119" i="20" s="1"/>
  <c r="R114" i="20" a="1"/>
  <c r="R114" i="20" s="1"/>
  <c r="R116" i="20" a="1"/>
  <c r="R116" i="20" s="1"/>
  <c r="R118" i="20" a="1"/>
  <c r="R118" i="20" s="1"/>
  <c r="R113" i="20" a="1"/>
  <c r="R113" i="20" s="1"/>
  <c r="R57" i="20"/>
  <c r="R47" i="20"/>
  <c r="R51" i="20"/>
  <c r="R55" i="20"/>
  <c r="R49" i="20"/>
  <c r="R50" i="20"/>
  <c r="R45" i="20"/>
  <c r="M51" i="20"/>
  <c r="M55" i="20"/>
  <c r="M56" i="20"/>
  <c r="M53" i="20"/>
  <c r="I121" i="20"/>
  <c r="I119" i="20" a="1"/>
  <c r="I119" i="20" s="1"/>
  <c r="I105" i="20"/>
  <c r="I113" i="20" a="1"/>
  <c r="I113" i="20" s="1"/>
  <c r="I111" i="20" a="1"/>
  <c r="I111" i="20" s="1"/>
  <c r="I110" i="20" a="1"/>
  <c r="I110" i="20" s="1"/>
  <c r="I114" i="20" a="1"/>
  <c r="I114" i="20" s="1"/>
  <c r="I118" i="20" a="1"/>
  <c r="I118" i="20" s="1"/>
  <c r="I116" i="20" a="1"/>
  <c r="I116" i="20" s="1"/>
  <c r="E56" i="20"/>
  <c r="E55" i="20"/>
  <c r="F121" i="20"/>
  <c r="F114" i="20" a="1"/>
  <c r="F114" i="20" s="1"/>
  <c r="F116" i="20" a="1"/>
  <c r="F116" i="20" s="1"/>
  <c r="F113" i="20" a="1"/>
  <c r="F113" i="20" s="1"/>
  <c r="F105" i="20"/>
  <c r="F118" i="20" a="1"/>
  <c r="F118" i="20" s="1"/>
  <c r="F119" i="20" a="1"/>
  <c r="F119" i="20" s="1"/>
  <c r="D114" i="20" a="1"/>
  <c r="D114" i="20" s="1"/>
  <c r="D118" i="20" a="1"/>
  <c r="D118" i="20" s="1"/>
  <c r="D105" i="20"/>
  <c r="D116" i="20" a="1"/>
  <c r="D116" i="20" s="1"/>
  <c r="D119" i="20" a="1"/>
  <c r="D119" i="20" s="1"/>
  <c r="D107" i="20" a="1"/>
  <c r="D107" i="20" s="1"/>
  <c r="D113" i="20" a="1"/>
  <c r="D113" i="20" s="1"/>
  <c r="J121" i="20"/>
  <c r="J105" i="20"/>
  <c r="J113" i="20" a="1"/>
  <c r="J113" i="20" s="1"/>
  <c r="J116" i="20" a="1"/>
  <c r="J116" i="20" s="1"/>
  <c r="J117" i="20" a="1"/>
  <c r="J117" i="20" s="1"/>
  <c r="J111" i="20" a="1"/>
  <c r="J111" i="20" s="1"/>
  <c r="J118" i="20" a="1"/>
  <c r="J118" i="20" s="1"/>
  <c r="J119" i="20" a="1"/>
  <c r="J119" i="20" s="1"/>
  <c r="J114" i="20" a="1"/>
  <c r="J114" i="20" s="1"/>
  <c r="I56" i="20"/>
  <c r="I53" i="20"/>
  <c r="I55" i="20"/>
  <c r="E121" i="20"/>
  <c r="E105" i="20"/>
  <c r="E114" i="20" a="1"/>
  <c r="E114" i="20" s="1"/>
  <c r="E107" i="20" a="1"/>
  <c r="E107" i="20" s="1"/>
  <c r="E118" i="20" a="1"/>
  <c r="E118" i="20" s="1"/>
  <c r="E119" i="20" a="1"/>
  <c r="E119" i="20" s="1"/>
  <c r="E113" i="20" a="1"/>
  <c r="E113" i="20" s="1"/>
  <c r="E110" i="20" a="1"/>
  <c r="E110" i="20" s="1"/>
  <c r="O121" i="20"/>
  <c r="O119" i="20" a="1"/>
  <c r="O119" i="20" s="1"/>
  <c r="O114" i="20" a="1"/>
  <c r="O114" i="20" s="1"/>
  <c r="O105" i="20"/>
  <c r="O116" i="20" a="1"/>
  <c r="O116" i="20" s="1"/>
  <c r="O118" i="20" a="1"/>
  <c r="O118" i="20" s="1"/>
  <c r="O111" i="20" a="1"/>
  <c r="O111" i="20" s="1"/>
  <c r="O113" i="20" a="1"/>
  <c r="O113" i="20" s="1"/>
  <c r="L121" i="20"/>
  <c r="L114" i="20" a="1"/>
  <c r="L114" i="20" s="1"/>
  <c r="L116" i="20" a="1"/>
  <c r="L116" i="20" s="1"/>
  <c r="L113" i="20" a="1"/>
  <c r="L113" i="20" s="1"/>
  <c r="L119" i="20" a="1"/>
  <c r="L119" i="20" s="1"/>
  <c r="L118" i="20" a="1"/>
  <c r="L118" i="20" s="1"/>
  <c r="L105" i="20"/>
  <c r="J56" i="20"/>
  <c r="J51" i="20"/>
  <c r="J55" i="20"/>
  <c r="N121" i="20"/>
  <c r="N114" i="20" a="1"/>
  <c r="N114" i="20" s="1"/>
  <c r="N108" i="20" a="1"/>
  <c r="N108" i="20" s="1"/>
  <c r="N118" i="20" a="1"/>
  <c r="N118" i="20" s="1"/>
  <c r="N116" i="20" a="1"/>
  <c r="N116" i="20" s="1"/>
  <c r="N119" i="20" a="1"/>
  <c r="N119" i="20" s="1"/>
  <c r="N105" i="20"/>
  <c r="N111" i="20" a="1"/>
  <c r="N111" i="20" s="1"/>
  <c r="N113" i="20" a="1"/>
  <c r="N113" i="20" s="1"/>
  <c r="L55" i="20"/>
  <c r="L51" i="20"/>
  <c r="O55" i="20"/>
  <c r="O48" i="20"/>
  <c r="O50" i="20"/>
  <c r="O57" i="20"/>
  <c r="O56" i="20"/>
  <c r="O45" i="20"/>
  <c r="O49" i="20"/>
  <c r="O51" i="20"/>
  <c r="N55" i="20"/>
  <c r="N47" i="20"/>
  <c r="N51" i="20"/>
  <c r="N45" i="20"/>
  <c r="N50" i="20"/>
  <c r="N57" i="20"/>
  <c r="N46" i="20"/>
  <c r="P121" i="20"/>
  <c r="P105" i="20"/>
  <c r="P110" i="20" a="1"/>
  <c r="P110" i="20" s="1"/>
  <c r="P116" i="20" a="1"/>
  <c r="P116" i="20" s="1"/>
  <c r="P113" i="20" a="1"/>
  <c r="P113" i="20" s="1"/>
  <c r="P118" i="20" a="1"/>
  <c r="P118" i="20" s="1"/>
  <c r="P119" i="20" a="1"/>
  <c r="P119" i="20" s="1"/>
  <c r="G56" i="20"/>
  <c r="G55" i="20"/>
  <c r="P56" i="20"/>
  <c r="P55" i="20"/>
  <c r="P45" i="20"/>
  <c r="P57" i="20"/>
  <c r="P49" i="20"/>
  <c r="P50" i="20"/>
  <c r="P53" i="20"/>
  <c r="P48" i="20"/>
  <c r="G121" i="20"/>
  <c r="G105" i="20"/>
  <c r="G116" i="20" a="1"/>
  <c r="G116" i="20" s="1"/>
  <c r="G113" i="20" a="1"/>
  <c r="G113" i="20" s="1"/>
  <c r="G118" i="20" a="1"/>
  <c r="G118" i="20" s="1"/>
  <c r="G110" i="20" a="1"/>
  <c r="G110" i="20" s="1"/>
  <c r="G119" i="20" a="1"/>
  <c r="G119" i="20" s="1"/>
  <c r="K121" i="20"/>
  <c r="K105" i="20"/>
  <c r="K116" i="20" a="1"/>
  <c r="K116" i="20" s="1"/>
  <c r="K111" i="20" a="1"/>
  <c r="K111" i="20" s="1"/>
  <c r="K113" i="20" a="1"/>
  <c r="K113" i="20" s="1"/>
  <c r="K110" i="20" a="1"/>
  <c r="K110" i="20" s="1"/>
  <c r="K118" i="20" a="1"/>
  <c r="K118" i="20" s="1"/>
  <c r="K119" i="20" a="1"/>
  <c r="K119" i="20" s="1"/>
  <c r="Q56" i="20"/>
  <c r="Q55" i="20"/>
  <c r="Q45" i="20"/>
  <c r="Q50" i="20"/>
  <c r="Q49" i="20"/>
  <c r="Q53" i="20"/>
  <c r="Q57" i="20"/>
  <c r="Q48" i="20"/>
  <c r="Q121" i="20"/>
  <c r="Q114" i="20" a="1"/>
  <c r="Q114" i="20" s="1"/>
  <c r="Q105" i="20"/>
  <c r="Q116" i="20" a="1"/>
  <c r="Q116" i="20" s="1"/>
  <c r="Q113" i="20" a="1"/>
  <c r="Q113" i="20" s="1"/>
  <c r="Q118" i="20" a="1"/>
  <c r="Q118" i="20" s="1"/>
  <c r="Q119" i="20" a="1"/>
  <c r="Q119" i="20" s="1"/>
  <c r="K55" i="20"/>
  <c r="K56" i="20"/>
  <c r="K51" i="20"/>
  <c r="AP8" i="1"/>
  <c r="S8" i="1" s="1"/>
  <c r="AP11" i="1"/>
  <c r="AP12" i="1"/>
  <c r="AP7" i="1"/>
  <c r="AQ8" i="1"/>
  <c r="AQ10" i="1"/>
  <c r="AQ11" i="1"/>
  <c r="AQ12" i="1"/>
  <c r="AQ7" i="1"/>
  <c r="AQ9" i="1"/>
  <c r="AO10" i="1" a="1"/>
  <c r="AO10" i="1" s="1"/>
  <c r="AY10" i="1" s="1"/>
  <c r="Q10" i="1" s="1"/>
  <c r="S10" i="1" s="1"/>
  <c r="AO12" i="1" a="1"/>
  <c r="AO12" i="1" s="1"/>
  <c r="AO9" i="1" a="1"/>
  <c r="AO9" i="1" s="1"/>
  <c r="AY9" i="1" s="1"/>
  <c r="Q9" i="1" s="1"/>
  <c r="AO7" i="1" a="1"/>
  <c r="AO7" i="1" s="1"/>
  <c r="AO11" i="1" a="1"/>
  <c r="AO11" i="1" s="1"/>
  <c r="AP9" i="1"/>
  <c r="V6" i="1" a="1"/>
  <c r="V6" i="1" s="1"/>
  <c r="AR6" i="1" s="1"/>
  <c r="V9" i="1" a="1"/>
  <c r="V9" i="1" s="1"/>
  <c r="AR9" i="1" s="1"/>
  <c r="V11" i="1" a="1"/>
  <c r="V11" i="1" s="1"/>
  <c r="AR11" i="1" s="1"/>
  <c r="V8" i="1" a="1"/>
  <c r="V8" i="1" s="1"/>
  <c r="AR8" i="1" s="1"/>
  <c r="V12" i="1" a="1"/>
  <c r="V12" i="1" s="1"/>
  <c r="AR12" i="1" s="1"/>
  <c r="V10" i="1" a="1"/>
  <c r="V10" i="1" s="1"/>
  <c r="AR10" i="1" s="1"/>
  <c r="V7" i="1" a="1"/>
  <c r="V7" i="1" s="1"/>
  <c r="AR7" i="1" s="1"/>
  <c r="S6" i="6"/>
  <c r="U6" i="6" s="1"/>
  <c r="W6" i="6" s="1"/>
  <c r="AP6" i="1"/>
  <c r="AQ6" i="1"/>
  <c r="K117" i="20" l="1" a="1"/>
  <c r="K117" i="20" s="1"/>
  <c r="I49" i="20"/>
  <c r="Q6" i="1"/>
  <c r="S6" i="1" s="1"/>
  <c r="U6" i="1" s="1"/>
  <c r="W6" i="1" s="1"/>
  <c r="N56" i="20"/>
  <c r="R56" i="20"/>
  <c r="C56" i="20" a="1"/>
  <c r="C56" i="20" s="1"/>
  <c r="T56" i="20" s="1"/>
  <c r="S56" i="20" a="1"/>
  <c r="S56" i="20" s="1"/>
  <c r="I108" i="20" a="1"/>
  <c r="I108" i="20" s="1"/>
  <c r="R108" i="20" a="1"/>
  <c r="R108" i="20" s="1"/>
  <c r="F110" i="20" a="1"/>
  <c r="F110" i="20" s="1"/>
  <c r="Q108" i="20" a="1"/>
  <c r="Q108" i="20" s="1"/>
  <c r="Q110" i="20" a="1"/>
  <c r="Q110" i="20" s="1"/>
  <c r="P47" i="20"/>
  <c r="G53" i="20"/>
  <c r="G117" i="20" a="1"/>
  <c r="G117" i="20" s="1"/>
  <c r="D108" i="20" a="1"/>
  <c r="D108" i="20" s="1"/>
  <c r="R117" i="20" a="1"/>
  <c r="R117" i="20" s="1"/>
  <c r="I54" i="20"/>
  <c r="K50" i="20"/>
  <c r="S50" i="20" s="1" a="1"/>
  <c r="S50" i="20" s="1"/>
  <c r="T50" i="20" s="1"/>
  <c r="G108" i="20" a="1"/>
  <c r="G108" i="20" s="1"/>
  <c r="P108" i="20" a="1"/>
  <c r="P108" i="20" s="1"/>
  <c r="I117" i="20" a="1"/>
  <c r="I117" i="20" s="1"/>
  <c r="O108" i="20" a="1"/>
  <c r="O108" i="20" s="1"/>
  <c r="N107" i="20" a="1"/>
  <c r="N107" i="20" s="1"/>
  <c r="F107" i="20" a="1"/>
  <c r="F107" i="20" s="1"/>
  <c r="D54" i="20"/>
  <c r="H47" i="20"/>
  <c r="Q54" i="20"/>
  <c r="K53" i="20"/>
  <c r="F111" i="20" a="1"/>
  <c r="F111" i="20" s="1"/>
  <c r="H111" i="20" a="1"/>
  <c r="H111" i="20" s="1"/>
  <c r="G114" i="20" a="1"/>
  <c r="G114" i="20" s="1"/>
  <c r="P114" i="20" a="1"/>
  <c r="P114" i="20" s="1"/>
  <c r="D53" i="20"/>
  <c r="H107" i="20" a="1"/>
  <c r="H107" i="20" s="1"/>
  <c r="I47" i="20"/>
  <c r="O47" i="20"/>
  <c r="J108" i="20" a="1"/>
  <c r="J108" i="20" s="1"/>
  <c r="C47" i="20" a="1"/>
  <c r="C47" i="20" s="1"/>
  <c r="J53" i="20"/>
  <c r="N54" i="20"/>
  <c r="J54" i="20"/>
  <c r="E53" i="20"/>
  <c r="R53" i="20"/>
  <c r="D47" i="20"/>
  <c r="K54" i="20"/>
  <c r="P54" i="20"/>
  <c r="P111" i="20" a="1"/>
  <c r="P111" i="20" s="1"/>
  <c r="O53" i="20"/>
  <c r="E111" i="20" a="1"/>
  <c r="E111" i="20" s="1"/>
  <c r="H53" i="20"/>
  <c r="N53" i="20"/>
  <c r="F54" i="20"/>
  <c r="D52" i="20"/>
  <c r="P52" i="20"/>
  <c r="D117" i="20" a="1"/>
  <c r="D117" i="20" s="1"/>
  <c r="K108" i="20" a="1"/>
  <c r="K108" i="20" s="1"/>
  <c r="L54" i="20"/>
  <c r="L117" i="20" a="1"/>
  <c r="L117" i="20" s="1"/>
  <c r="N117" i="20" a="1"/>
  <c r="N117" i="20" s="1"/>
  <c r="H108" i="20" a="1"/>
  <c r="H108" i="20" s="1"/>
  <c r="L107" i="20" a="1"/>
  <c r="L107" i="20" s="1"/>
  <c r="E116" i="20" a="1"/>
  <c r="E116" i="20" s="1"/>
  <c r="Q115" i="20" a="1"/>
  <c r="Q115" i="20" s="1"/>
  <c r="H54" i="20"/>
  <c r="Q107" i="20" a="1"/>
  <c r="Q107" i="20" s="1"/>
  <c r="J107" i="20" a="1"/>
  <c r="J107" i="20" s="1"/>
  <c r="M107" i="20" a="1"/>
  <c r="M107" i="20" s="1"/>
  <c r="L47" i="20"/>
  <c r="F47" i="20"/>
  <c r="L46" i="20"/>
  <c r="E52" i="20"/>
  <c r="H52" i="20"/>
  <c r="F108" i="20" a="1"/>
  <c r="F108" i="20" s="1"/>
  <c r="H110" i="20" a="1"/>
  <c r="H110" i="20" s="1"/>
  <c r="N48" i="20"/>
  <c r="E108" i="20" a="1"/>
  <c r="E108" i="20" s="1"/>
  <c r="J110" i="20" a="1"/>
  <c r="J110" i="20" s="1"/>
  <c r="M48" i="20"/>
  <c r="L108" i="20" a="1"/>
  <c r="L108" i="20" s="1"/>
  <c r="E117" i="20" a="1"/>
  <c r="E117" i="20" s="1"/>
  <c r="H117" i="20" a="1"/>
  <c r="H117" i="20" s="1"/>
  <c r="F48" i="20"/>
  <c r="R110" i="20" a="1"/>
  <c r="R110" i="20" s="1"/>
  <c r="G48" i="20"/>
  <c r="N110" i="20" a="1"/>
  <c r="N110" i="20" s="1"/>
  <c r="L110" i="20" a="1"/>
  <c r="L110" i="20" s="1"/>
  <c r="I48" i="20"/>
  <c r="P117" i="20" a="1"/>
  <c r="P117" i="20" s="1"/>
  <c r="D110" i="20" a="1"/>
  <c r="D110" i="20" s="1"/>
  <c r="M54" i="20"/>
  <c r="M117" i="20" a="1"/>
  <c r="M117" i="20" s="1"/>
  <c r="Q120" i="20" a="1"/>
  <c r="Q120" i="20" s="1"/>
  <c r="H120" i="20" a="1"/>
  <c r="H120" i="20" s="1"/>
  <c r="F120" i="20" a="1"/>
  <c r="F120" i="20" s="1"/>
  <c r="J120" i="20" a="1"/>
  <c r="J120" i="20" s="1"/>
  <c r="F44" i="20"/>
  <c r="O112" i="20" a="1"/>
  <c r="O112" i="20" s="1"/>
  <c r="N115" i="20" a="1"/>
  <c r="N115" i="20" s="1"/>
  <c r="O120" i="20" a="1"/>
  <c r="O120" i="20" s="1"/>
  <c r="N112" i="20" a="1"/>
  <c r="N112" i="20" s="1"/>
  <c r="O52" i="20"/>
  <c r="P115" i="20" a="1"/>
  <c r="P115" i="20" s="1"/>
  <c r="K112" i="20" a="1"/>
  <c r="K112" i="20" s="1"/>
  <c r="R115" i="20" a="1"/>
  <c r="R115" i="20" s="1"/>
  <c r="H115" i="20" a="1"/>
  <c r="H115" i="20" s="1"/>
  <c r="D115" i="20" a="1"/>
  <c r="D115" i="20" s="1"/>
  <c r="U10" i="1"/>
  <c r="X10" i="1" s="1"/>
  <c r="G52" i="20"/>
  <c r="J52" i="20"/>
  <c r="N44" i="20"/>
  <c r="K52" i="20"/>
  <c r="D120" i="20" a="1"/>
  <c r="D120" i="20" s="1"/>
  <c r="F52" i="20"/>
  <c r="C52" i="20" a="1"/>
  <c r="C52" i="20" s="1"/>
  <c r="T52" i="20" s="1"/>
  <c r="E44" i="20"/>
  <c r="R52" i="20"/>
  <c r="J46" i="20"/>
  <c r="I44" i="20"/>
  <c r="D46" i="20"/>
  <c r="K44" i="20"/>
  <c r="M44" i="20"/>
  <c r="P44" i="20"/>
  <c r="E46" i="20"/>
  <c r="O44" i="20"/>
  <c r="R46" i="20"/>
  <c r="D44" i="20"/>
  <c r="I46" i="20"/>
  <c r="R44" i="20"/>
  <c r="P46" i="20"/>
  <c r="E120" i="20" a="1"/>
  <c r="E120" i="20" s="1"/>
  <c r="M112" i="20" a="1"/>
  <c r="M112" i="20" s="1"/>
  <c r="M46" i="20"/>
  <c r="H44" i="20"/>
  <c r="J44" i="20"/>
  <c r="K19" i="20" a="1"/>
  <c r="K19" i="20" s="1"/>
  <c r="K34" i="20" s="1"/>
  <c r="K36" i="20" s="1"/>
  <c r="Q44" i="20"/>
  <c r="G120" i="20" a="1"/>
  <c r="G120" i="20" s="1"/>
  <c r="M120" i="20" a="1"/>
  <c r="M120" i="20" s="1"/>
  <c r="G19" i="20" a="1"/>
  <c r="G19" i="20" s="1"/>
  <c r="G34" i="20" s="1"/>
  <c r="O46" i="20"/>
  <c r="F117" i="20" a="1"/>
  <c r="F117" i="20" s="1"/>
  <c r="C46" i="20" a="1"/>
  <c r="C46" i="20" s="1"/>
  <c r="N19" i="20" a="1"/>
  <c r="N19" i="20" s="1"/>
  <c r="L49" i="20"/>
  <c r="Q46" i="20"/>
  <c r="F46" i="20"/>
  <c r="R120" i="20" a="1"/>
  <c r="R120" i="20" s="1"/>
  <c r="K46" i="20"/>
  <c r="L44" i="20"/>
  <c r="H46" i="20"/>
  <c r="K107" i="20" a="1"/>
  <c r="K107" i="20" s="1"/>
  <c r="S52" i="20" a="1"/>
  <c r="S52" i="20" s="1"/>
  <c r="P120" i="20" a="1"/>
  <c r="P120" i="20" s="1"/>
  <c r="N49" i="20"/>
  <c r="I115" i="20" a="1"/>
  <c r="I115" i="20" s="1"/>
  <c r="L52" i="20"/>
  <c r="I107" i="20" a="1"/>
  <c r="I107" i="20" s="1"/>
  <c r="J49" i="20"/>
  <c r="Q52" i="20"/>
  <c r="P107" i="20" a="1"/>
  <c r="P107" i="20" s="1"/>
  <c r="O107" i="20" a="1"/>
  <c r="O107" i="20" s="1"/>
  <c r="I52" i="20"/>
  <c r="M52" i="20"/>
  <c r="M47" i="20"/>
  <c r="K47" i="20"/>
  <c r="G47" i="20"/>
  <c r="R43" i="20"/>
  <c r="Q111" i="20" a="1"/>
  <c r="Q111" i="20" s="1"/>
  <c r="K120" i="20" a="1"/>
  <c r="K120" i="20" s="1"/>
  <c r="L111" i="20" a="1"/>
  <c r="L111" i="20" s="1"/>
  <c r="D111" i="20" a="1"/>
  <c r="D111" i="20" s="1"/>
  <c r="E54" i="20"/>
  <c r="D43" i="20"/>
  <c r="I43" i="20"/>
  <c r="M115" i="20" a="1"/>
  <c r="M115" i="20" s="1"/>
  <c r="K43" i="20"/>
  <c r="G111" i="20" a="1"/>
  <c r="G111" i="20" s="1"/>
  <c r="G43" i="20"/>
  <c r="L109" i="20" a="1"/>
  <c r="L109" i="20" s="1"/>
  <c r="E115" i="20" a="1"/>
  <c r="E115" i="20" s="1"/>
  <c r="L115" i="20" a="1"/>
  <c r="L115" i="20" s="1"/>
  <c r="H43" i="20"/>
  <c r="S9" i="1"/>
  <c r="U9" i="1" s="1"/>
  <c r="X9" i="1" s="1"/>
  <c r="K115" i="20" a="1"/>
  <c r="K115" i="20" s="1"/>
  <c r="I112" i="20" a="1"/>
  <c r="I112" i="20" s="1"/>
  <c r="M19" i="20" a="1"/>
  <c r="M19" i="20" s="1"/>
  <c r="Q117" i="20" a="1"/>
  <c r="Q117" i="20" s="1"/>
  <c r="G107" i="20" a="1"/>
  <c r="G107" i="20" s="1"/>
  <c r="L120" i="20" a="1"/>
  <c r="L120" i="20" s="1"/>
  <c r="R54" i="20"/>
  <c r="R19" i="20" a="1"/>
  <c r="R19" i="20" s="1"/>
  <c r="M43" i="20"/>
  <c r="N120" i="20" a="1"/>
  <c r="N120" i="20" s="1"/>
  <c r="O117" i="20" a="1"/>
  <c r="O117" i="20" s="1"/>
  <c r="J115" i="20" a="1"/>
  <c r="J115" i="20" s="1"/>
  <c r="I120" i="20" a="1"/>
  <c r="I120" i="20" s="1"/>
  <c r="Q19" i="20" a="1"/>
  <c r="Q19" i="20" s="1"/>
  <c r="Q43" i="20"/>
  <c r="F109" i="20" a="1"/>
  <c r="F109" i="20" s="1"/>
  <c r="G54" i="20"/>
  <c r="O54" i="20"/>
  <c r="J19" i="20" a="1"/>
  <c r="J19" i="20" s="1"/>
  <c r="J34" i="20" s="1"/>
  <c r="J36" i="20" s="1"/>
  <c r="O115" i="20" a="1"/>
  <c r="O115" i="20" s="1"/>
  <c r="M45" i="20"/>
  <c r="K45" i="20"/>
  <c r="N109" i="20" a="1"/>
  <c r="N109" i="20" s="1"/>
  <c r="Q109" i="20" a="1"/>
  <c r="Q109" i="20" s="1"/>
  <c r="J109" i="20" a="1"/>
  <c r="J109" i="20" s="1"/>
  <c r="G115" i="20" a="1"/>
  <c r="G115" i="20" s="1"/>
  <c r="R112" i="20" a="1"/>
  <c r="R112" i="20" s="1"/>
  <c r="D19" i="20" a="1"/>
  <c r="D19" i="20" s="1"/>
  <c r="D34" i="20" s="1"/>
  <c r="D36" i="20" s="1"/>
  <c r="O109" i="20" a="1"/>
  <c r="O109" i="20" s="1"/>
  <c r="K109" i="20" a="1"/>
  <c r="K109" i="20" s="1"/>
  <c r="E109" i="20" a="1"/>
  <c r="E109" i="20" s="1"/>
  <c r="H112" i="20" a="1"/>
  <c r="H112" i="20" s="1"/>
  <c r="Q51" i="20"/>
  <c r="O43" i="20"/>
  <c r="I51" i="20"/>
  <c r="I45" i="20"/>
  <c r="E43" i="20"/>
  <c r="P43" i="20"/>
  <c r="J43" i="20"/>
  <c r="Q112" i="20" a="1"/>
  <c r="Q112" i="20" s="1"/>
  <c r="P51" i="20"/>
  <c r="P112" i="20" a="1"/>
  <c r="P112" i="20" s="1"/>
  <c r="F51" i="20"/>
  <c r="F19" i="20" a="1"/>
  <c r="F19" i="20" s="1"/>
  <c r="F37" i="20" s="1" a="1"/>
  <c r="F37" i="20" s="1"/>
  <c r="G51" i="20"/>
  <c r="N43" i="20"/>
  <c r="B106" i="20"/>
  <c r="I106" i="20" s="1" a="1"/>
  <c r="I106" i="20" s="1"/>
  <c r="D112" i="20" a="1"/>
  <c r="D112" i="20" s="1"/>
  <c r="C7" i="20"/>
  <c r="P109" i="20" a="1"/>
  <c r="P109" i="20" s="1"/>
  <c r="H109" i="20" a="1"/>
  <c r="H109" i="20" s="1"/>
  <c r="E112" i="20" a="1"/>
  <c r="E112" i="20" s="1"/>
  <c r="L19" i="20" a="1"/>
  <c r="L19" i="20" s="1"/>
  <c r="L34" i="20" s="1"/>
  <c r="L35" i="20" s="1"/>
  <c r="L57" i="20" s="1"/>
  <c r="G109" i="20" a="1"/>
  <c r="G109" i="20" s="1"/>
  <c r="I109" i="20" a="1"/>
  <c r="I109" i="20" s="1"/>
  <c r="M109" i="20" a="1"/>
  <c r="M109" i="20" s="1"/>
  <c r="B42" i="20"/>
  <c r="C42" i="20" s="1" a="1"/>
  <c r="C42" i="20" s="1"/>
  <c r="J112" i="20" a="1"/>
  <c r="J112" i="20" s="1"/>
  <c r="F112" i="20" a="1"/>
  <c r="F112" i="20" s="1"/>
  <c r="R109" i="20" a="1"/>
  <c r="R109" i="20" s="1"/>
  <c r="H19" i="20" a="1"/>
  <c r="H19" i="20" s="1"/>
  <c r="H34" i="20" s="1"/>
  <c r="F115" i="20" a="1"/>
  <c r="F115" i="20" s="1"/>
  <c r="C19" i="20" a="1"/>
  <c r="C19" i="20" s="1"/>
  <c r="C106" i="20" s="1"/>
  <c r="I19" i="20" a="1"/>
  <c r="I19" i="20" s="1"/>
  <c r="I37" i="20" s="1" a="1"/>
  <c r="I37" i="20" s="1"/>
  <c r="G112" i="20" a="1"/>
  <c r="G112" i="20" s="1"/>
  <c r="E19" i="20" a="1"/>
  <c r="E19" i="20" s="1"/>
  <c r="E34" i="20" s="1"/>
  <c r="E35" i="20" s="1"/>
  <c r="E57" i="20" s="1"/>
  <c r="O19" i="20" a="1"/>
  <c r="O19" i="20" s="1"/>
  <c r="S113" i="20"/>
  <c r="L43" i="20"/>
  <c r="U8" i="1"/>
  <c r="W8" i="1" s="1"/>
  <c r="AY11" i="1"/>
  <c r="Q11" i="1" s="1"/>
  <c r="S11" i="1" s="1"/>
  <c r="U11" i="1" s="1"/>
  <c r="W11" i="1" s="1"/>
  <c r="AY12" i="1"/>
  <c r="Q12" i="1" s="1"/>
  <c r="S12" i="1" s="1"/>
  <c r="U12" i="1" s="1"/>
  <c r="W12" i="1" s="1"/>
  <c r="AY7" i="1"/>
  <c r="R7" i="1" s="1"/>
  <c r="P3" i="6"/>
  <c r="X6" i="6"/>
  <c r="Q3" i="6" s="1"/>
  <c r="M37" i="20" l="1" a="1"/>
  <c r="M37" i="20" s="1"/>
  <c r="M34" i="20"/>
  <c r="M36" i="20" s="1"/>
  <c r="S114" i="20"/>
  <c r="S110" i="20"/>
  <c r="S108" i="20"/>
  <c r="S48" i="20" a="1"/>
  <c r="S48" i="20" s="1"/>
  <c r="T48" i="20" s="1"/>
  <c r="W10" i="1"/>
  <c r="Y10" i="1" s="1"/>
  <c r="S46" i="20" a="1"/>
  <c r="S46" i="20" s="1"/>
  <c r="T46" i="20" s="1"/>
  <c r="C57" i="20"/>
  <c r="C8" i="20" s="1"/>
  <c r="S44" i="20" a="1"/>
  <c r="S44" i="20" s="1"/>
  <c r="T44" i="20" s="1"/>
  <c r="X8" i="1"/>
  <c r="Y8" i="1" s="1"/>
  <c r="S47" i="20" a="1"/>
  <c r="S47" i="20" s="1"/>
  <c r="T47" i="20" s="1"/>
  <c r="K37" i="20" a="1"/>
  <c r="K37" i="20" s="1"/>
  <c r="G37" i="20" a="1"/>
  <c r="G37" i="20" s="1"/>
  <c r="S49" i="20" a="1"/>
  <c r="S49" i="20" s="1"/>
  <c r="T49" i="20" s="1"/>
  <c r="S111" i="20"/>
  <c r="S107" i="20"/>
  <c r="W9" i="1"/>
  <c r="Y9" i="1" s="1"/>
  <c r="J37" i="20" a="1"/>
  <c r="J37" i="20" s="1"/>
  <c r="S45" i="20" a="1"/>
  <c r="S45" i="20" s="1"/>
  <c r="T45" i="20" s="1"/>
  <c r="D37" i="20" a="1"/>
  <c r="D37" i="20" s="1"/>
  <c r="O106" i="20" a="1"/>
  <c r="O106" i="20" s="1"/>
  <c r="Q106" i="20" a="1"/>
  <c r="Q106" i="20" s="1"/>
  <c r="L106" i="20" a="1"/>
  <c r="L106" i="20" s="1"/>
  <c r="S43" i="20" a="1"/>
  <c r="S43" i="20" s="1"/>
  <c r="T43" i="20" s="1"/>
  <c r="F34" i="20"/>
  <c r="F35" i="20" s="1"/>
  <c r="F57" i="20" s="1"/>
  <c r="D106" i="20" a="1"/>
  <c r="D106" i="20" s="1"/>
  <c r="D121" i="20" s="1"/>
  <c r="D12" i="20" s="1" a="1"/>
  <c r="D12" i="20" s="1"/>
  <c r="R106" i="20" a="1"/>
  <c r="R106" i="20" s="1"/>
  <c r="E106" i="20" a="1"/>
  <c r="E106" i="20" s="1"/>
  <c r="J106" i="20" a="1"/>
  <c r="J106" i="20" s="1"/>
  <c r="G106" i="20" a="1"/>
  <c r="G106" i="20" s="1"/>
  <c r="F106" i="20" a="1"/>
  <c r="F106" i="20" s="1"/>
  <c r="M106" i="20" a="1"/>
  <c r="M106" i="20" s="1"/>
  <c r="N106" i="20" a="1"/>
  <c r="N106" i="20" s="1"/>
  <c r="K106" i="20" a="1"/>
  <c r="K106" i="20" s="1"/>
  <c r="P106" i="20" a="1"/>
  <c r="P106" i="20" s="1"/>
  <c r="H106" i="20" a="1"/>
  <c r="H106" i="20" s="1"/>
  <c r="J42" i="20"/>
  <c r="K42" i="20"/>
  <c r="O42" i="20"/>
  <c r="L37" i="20" a="1"/>
  <c r="L37" i="20" s="1"/>
  <c r="G42" i="20"/>
  <c r="D42" i="20"/>
  <c r="L42" i="20"/>
  <c r="F42" i="20"/>
  <c r="M42" i="20"/>
  <c r="N42" i="20"/>
  <c r="S109" i="20"/>
  <c r="J35" i="20"/>
  <c r="J57" i="20" s="1"/>
  <c r="S112" i="20"/>
  <c r="R42" i="20"/>
  <c r="H42" i="20"/>
  <c r="H37" i="20" a="1"/>
  <c r="H37" i="20" s="1"/>
  <c r="E42" i="20"/>
  <c r="E36" i="20"/>
  <c r="I42" i="20"/>
  <c r="I34" i="20"/>
  <c r="I36" i="20" s="1"/>
  <c r="E37" i="20" a="1"/>
  <c r="E37" i="20" s="1"/>
  <c r="Q42" i="20"/>
  <c r="P42" i="20"/>
  <c r="D35" i="20"/>
  <c r="D57" i="20" s="1"/>
  <c r="L36" i="20"/>
  <c r="H35" i="20"/>
  <c r="H57" i="20" s="1"/>
  <c r="H36" i="20"/>
  <c r="K35" i="20"/>
  <c r="K57" i="20" s="1"/>
  <c r="G36" i="20"/>
  <c r="G35" i="20"/>
  <c r="G57" i="20" s="1"/>
  <c r="Q7" i="1"/>
  <c r="S7" i="1" s="1"/>
  <c r="U7" i="1" s="1"/>
  <c r="W7" i="1" s="1"/>
  <c r="X12" i="1"/>
  <c r="Y12" i="1" s="1"/>
  <c r="X11" i="1"/>
  <c r="Y11" i="1" s="1"/>
  <c r="X6" i="1"/>
  <c r="Y6" i="1" s="1"/>
  <c r="Y6" i="6"/>
  <c r="P3" i="1" l="1"/>
  <c r="X7" i="1"/>
  <c r="Q3" i="1" s="1"/>
  <c r="M35" i="20"/>
  <c r="M57" i="20" s="1"/>
  <c r="F36" i="20"/>
  <c r="C9" i="20" s="1"/>
  <c r="S106" i="20"/>
  <c r="I35" i="20"/>
  <c r="I57" i="20" s="1"/>
  <c r="S42" i="20" a="1"/>
  <c r="S42" i="20" s="1"/>
  <c r="T42" i="20" s="1"/>
  <c r="C12" i="20" s="1" a="1"/>
  <c r="C12" i="20" s="1"/>
  <c r="D9" i="20"/>
  <c r="D10" i="20"/>
  <c r="S57" i="20" l="1" a="1"/>
  <c r="S57" i="20" s="1"/>
  <c r="T57" i="20" s="1"/>
  <c r="C11" i="20" s="1"/>
  <c r="Y7" i="1"/>
  <c r="B62" i="20" a="1"/>
  <c r="B62" i="20" s="1"/>
  <c r="C10"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Mike</author>
  </authors>
  <commentList>
    <comment ref="B2" authorId="0" shapeId="0" xr:uid="{09189D7B-76BC-4016-900E-2F97BE9AFE68}">
      <text>
        <r>
          <rPr>
            <b/>
            <sz val="9"/>
            <color indexed="81"/>
            <rFont val="Tahoma"/>
            <family val="2"/>
          </rPr>
          <t>Mike:</t>
        </r>
        <r>
          <rPr>
            <sz val="9"/>
            <color indexed="81"/>
            <rFont val="Tahoma"/>
            <family val="2"/>
          </rPr>
          <t xml:space="preserve">
Source: Wahapedia, Warhammer 40,000 11th edition Core Rules, section 24 (Abilities), https://wahapedia.ru/wh40k11ed/the-rules/core-rules/ — retrieved 2026-10-05. Rule summaries paraphrased.</t>
        </r>
      </text>
    </comment>
    <comment ref="N2" authorId="0" shapeId="0" xr:uid="{7531E376-CFC0-4B73-B595-5A4669BF7C9B}">
      <text>
        <r>
          <rPr>
            <b/>
            <sz val="9"/>
            <color indexed="81"/>
            <rFont val="Tahoma"/>
            <family val="2"/>
          </rPr>
          <t>Mike:</t>
        </r>
        <r>
          <rPr>
            <sz val="9"/>
            <color indexed="81"/>
            <rFont val="Tahoma"/>
            <family val="2"/>
          </rPr>
          <t xml:space="preserve">
Order must match the FACTIONBLOCK named formula (Formulas &gt; Name Manager). To add a faction: copy a faction tab, add its name here, and add its range to FACTIONBLOCK.</t>
        </r>
      </text>
    </comment>
    <comment ref="B63" authorId="0" shapeId="0" xr:uid="{52B7FC75-F037-46A9-9AD1-9D12914B4584}">
      <text>
        <r>
          <rPr>
            <b/>
            <sz val="9"/>
            <color indexed="81"/>
            <rFont val="Tahoma"/>
            <family val="2"/>
          </rPr>
          <t>Mike:</t>
        </r>
        <r>
          <rPr>
            <sz val="9"/>
            <color indexed="81"/>
            <rFont val="Tahoma"/>
            <family val="2"/>
          </rPr>
          <t xml:space="preserve">
Source: Wahapedia, Warhammer 40,000 11th edition Core Rules, section 15 (Core Stratagems), https://wahapedia.ru/wh40k11ed/the-rules/core-rules/ — retrieved 2026-10-05. Notes paraphrased; Modifier column is how the Sim interprets each stratagem.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<sst xmlns="http://schemas.openxmlformats.org/spreadsheetml/2006/main" count="1674" uniqueCount="632">
  <si>
    <t>Combat 40k Cheat Sheet – How To Use This Workbook</t>
  </si>
  <si>
    <t>This workbook works out the average damage a unit will do to an enemy unit in Warhammer 40,000 (11th edition), taking weapon keywords, faction rules, stratagems and battle conditions into account. You enter your units once on a faction tab, then pick attacker and target on the Sim tabs.</t>
  </si>
  <si>
    <t>1. What each tab is for</t>
  </si>
  <si>
    <t>Sim-Shooting</t>
  </si>
  <si>
    <t>Simulates your unit's ranged weapons shooting at a target.</t>
  </si>
  <si>
    <t>Sim-Fighting</t>
  </si>
  <si>
    <t>Simulates your unit's melee weapons fighting a target.</t>
  </si>
  <si>
    <t>Faction tabs</t>
  </si>
  <si>
    <t>DeathGuard, Space Marines, Drukhari, Daemons, T'Au, Imperial Guard, Sisters of Battle, Thousand Sons. Each holds that faction's units, weapons, faction rules and stratagems. Every unit here can be an attacker or a target.</t>
  </si>
  <si>
    <t>Keywords</t>
  </si>
  <si>
    <t>Reference list of every 11th edition keyword and the core stratagems, plus the Modifier Format Guide that explains how to write keywords so the simulator can read them.</t>
  </si>
  <si>
    <t>2. Adding a unit (on a faction tab)</t>
  </si>
  <si>
    <t>Step 2 – List its weapons</t>
  </si>
  <si>
    <t>Step 3 – Weapon profiles</t>
  </si>
  <si>
    <t>Tip</t>
  </si>
  <si>
    <t>A weapon profile only needs to be entered once per faction tab, even if several units carry it.</t>
  </si>
  <si>
    <t>3. Writing keywords (Modifier columns)</t>
  </si>
  <si>
    <t>Use exact names</t>
  </si>
  <si>
    <t>Write keywords exactly as they appear in the Keywords tab, e.g. Lethal Hits not Lethal.</t>
  </si>
  <si>
    <t>Separate with commas</t>
  </si>
  <si>
    <t>Blast, Lethal Hits</t>
  </si>
  <si>
    <t>Space before numbers</t>
  </si>
  <si>
    <t>Melta 2, Rapid Fire 1, Sustained Hits 1</t>
  </si>
  <si>
    <t>Anti and Feel No Pain</t>
  </si>
  <si>
    <t>Anti-Infantry 2+ and Feel No Pain 5+</t>
  </si>
  <si>
    <t>Stat changes</t>
  </si>
  <si>
    <t>Hit Modifier +1, Wound Modifier -1, AP Modifier -1, Damage Modifier -1, Attacks Modifier +1, Strength Modifier +1, BS Modifier -1 / WS Modifier -1 (minus improves), Toughness Modifier +1, Save Modifier +1, Critical Hits 5+, Critical Wounds 5+, Reroll Hits, Reroll Wounds, Reroll Hits 1 (re-roll 1s only). Full list and examples on the Keywords tab.</t>
  </si>
  <si>
    <t>Unit keywords</t>
  </si>
  <si>
    <t>Target keywords used by Anti go in the unit's Modifiers, e.g. Infantry, Feel No Pain 5+.</t>
  </si>
  <si>
    <t>4. Running a simulation (Sim-Shooting / Sim-Fighting)</t>
  </si>
  <si>
    <t>Step 1 – Pick the attacker</t>
  </si>
  <si>
    <t>B3: choose the attacking faction. B4: choose the attacking unit. Its weapons fill in automatically from row 6 down.</t>
  </si>
  <si>
    <t>Step 2 – Pick the target</t>
  </si>
  <si>
    <t>I4: choose the target unit from any faction tab. Targets are listed as Unit (Faction), e.g. Intercessor (Space Marines), so units with the same name in different factions don't get mixed up. Its stats appear in I6:N6.</t>
  </si>
  <si>
    <t>Step 3 – Set battle conditions</t>
  </si>
  <si>
    <t>Use the yellow Yes/No switches in rows 2–3. Shooting: Within Half Range (Melta, Rapid Fire), Attacker Stationary (Heavy), Target in Cover, Target Models (Blast), Attacker Damaged. Fighting: Charged This Turn (Lance), Target Models (Cleave), Attacker Damaged.</t>
  </si>
  <si>
    <t>Step 4 – Choose weapons</t>
  </si>
  <si>
    <t>Step 5 – Rules and stratagems</t>
  </si>
  <si>
    <t>Scroll down to the Attacker panel (from row 32) and Target panel (from row 50). Tick any faction rules or stratagems that are active. You can tick as many as you like; their effects stack. The Attacker Effects and Target Effects cells in the top row show everything currently active.</t>
  </si>
  <si>
    <t>Step 6 – Read the results</t>
  </si>
  <si>
    <t>5. Adding faction rules and stratagems</t>
  </si>
  <si>
    <t>On a faction tab, enter the Rule name, pick Applies To (Attacker = helps that faction's units attack, Target = helps them when being attacked), pick the Phase (Shooting, Fighting or Both), and write its effect in Modifier using the keyword format, e.g. Hit Modifier +1, Lethal Hits.</t>
  </si>
  <si>
    <t>Same idea as Faction Rules, with a CP cost and notes column.</t>
  </si>
  <si>
    <t>Core stratagems</t>
  </si>
  <si>
    <t>Generic stratagems everyone can use are on the Keywords tab (Core Stratagems table) and appear on every faction's Sim panels automatically.</t>
  </si>
  <si>
    <t>Averages, not dice</t>
  </si>
  <si>
    <t>Results are the average expected outcome, not a random roll. Random values use their average (D3 = 2, D6 = 3.5).</t>
  </si>
  <si>
    <t>Models Killed</t>
  </si>
  <si>
    <t>An estimate: each attack's damage is capped at the target's Wounds, so overkill isn't counted.</t>
  </si>
  <si>
    <t>Tick boxes stay put</t>
  </si>
  <si>
    <t>Tick boxes belong to the row, not the weapon or rule. Ticked rows are highlighted; a ticked row with nothing in it turns red, and the Check cell (R2) warns you. After changing unit, target or faction, glance down the ticks before reading results.</t>
  </si>
  <si>
    <t>Hidden helper columns</t>
  </si>
  <si>
    <t>The grouped columns to the right of the results (click + above the column letters) show the step-by-step working: keyword values, rolls needed to hit, wound and save. You don't need to edit them.</t>
  </si>
  <si>
    <t>Adding a new faction</t>
  </si>
  <si>
    <t>1) Right-click an existing faction tab &gt; Move or Copy &gt; Create a copy, rename it and clear its data. 2) Add the new name to the Factions table on the Keywords tab (N2). 3) In Formulas &gt; Name Manager, edit FACTIONBLOCK and add the new tab's range at the end, e.g. ,'New Faction'!$B$4:$AO$100 (same order as the Factions table). Everything else updates automatically.</t>
  </si>
  <si>
    <t>Not modelled</t>
  </si>
  <si>
    <t>Keywords that don't change damage (e.g. Assault, Deep Strike, Hazardous self-damage, Command Re-roll) are listed for reference but not included in the maths.</t>
  </si>
  <si>
    <t>Area</t>
  </si>
  <si>
    <t>How the simulator handles it</t>
  </si>
  <si>
    <t>What it means for you</t>
  </si>
  <si>
    <t>Random dice (D3, D6, 2D6, D6+1, D3-1)</t>
  </si>
  <si>
    <t>Uses the average result: D3 = 2, D6 = 3.5, D6+2 = 5.5, 2D6-1 = 6. Works in A, D and keyword values (e.g. Sustained Hits D3, Rapid Fire D6+1).</t>
  </si>
  <si>
    <t>Results are typical outcomes, not a dice roll. Real games will swing above and below.</t>
  </si>
  <si>
    <t>Random damage with a Damage Modifier</t>
  </si>
  <si>
    <t>The modifier is applied to the average, then kept at 1 or more (D3 with -1 = 1).</t>
  </si>
  <si>
    <t>Slightly understates damage. The true average of D3-1 (minimum 1) is 1.33.</t>
  </si>
  <si>
    <t>Overkill</t>
  </si>
  <si>
    <t>Each attack's damage is capped at the target's Wounds, using average damage.</t>
  </si>
  <si>
    <t>Close for fixed damage; approximate for random damage weapons.</t>
  </si>
  <si>
    <t>Works out attacks needed per model kill and divides; wounds carried over between attacks or weapons are ignored.</t>
  </si>
  <si>
    <t>Treat as an estimate. Total Models Killed is capped at Target Models.</t>
  </si>
  <si>
    <t>Feel No Pain</t>
  </si>
  <si>
    <t>Reduces expected damage by the chance of passing each roll.</t>
  </si>
  <si>
    <t>Accurate for total damage; the kills estimate is approximate.</t>
  </si>
  <si>
    <t>Battle conditions</t>
  </si>
  <si>
    <t>Half range, stationary, cover, charged and damaged apply to every weapon on the tab.</t>
  </si>
  <si>
    <t>Untick weapons that don't meet the condition, or run them separately.</t>
  </si>
  <si>
    <t>Target Models</t>
  </si>
  <si>
    <t>Typed in manually; not linked to the unit's size.</t>
  </si>
  <si>
    <t>Update it to match the target unit for Blast, Cleave and the kills cap.</t>
  </si>
  <si>
    <t>Blank target stats</t>
  </si>
  <si>
    <t>Blank Toughness is treated as 1 and a blank save as 2+.</t>
  </si>
  <si>
    <t>Fill in every target stat or results will be misleading.</t>
  </si>
  <si>
    <t>One profile per target</t>
  </si>
  <si>
    <t>The target uses one set of T, W, Sv and invulnerable save.</t>
  </si>
  <si>
    <t>Mixed units (e.g. a Character leading a squad) are not split into groups.</t>
  </si>
  <si>
    <t>Re-rolls</t>
  </si>
  <si>
    <t>Full re-rolls re-roll every failure; Reroll 1s re-rolls only 1s.</t>
  </si>
  <si>
    <t>Command Re-roll (a single dice) and once-per-battle effects are not modelled.</t>
  </si>
  <si>
    <t>Precision, Hazardous, Deadly Demise, movement and deployment abilities.</t>
  </si>
  <si>
    <t>Listed on the Keywords tab for reference only.</t>
  </si>
  <si>
    <t>Limits</t>
  </si>
  <si>
    <t>Up to 25 weapons per unit and 15 rules/stratagems per side. Unit names are looked up by name only.</t>
  </si>
  <si>
    <t>Give units unique names across all faction tabs.</t>
  </si>
  <si>
    <t>Faction</t>
  </si>
  <si>
    <t>Within Half Range?</t>
  </si>
  <si>
    <t>Attacker Stationary?</t>
  </si>
  <si>
    <t>Target in Cover?</t>
  </si>
  <si>
    <t>Attacker Damaged?</t>
  </si>
  <si>
    <t>Attacker Effects</t>
  </si>
  <si>
    <t>Target Effects</t>
  </si>
  <si>
    <t>Total Damage</t>
  </si>
  <si>
    <t>Total Models Killed</t>
  </si>
  <si>
    <t>Weapons in Use</t>
  </si>
  <si>
    <t>Check</t>
  </si>
  <si>
    <t>Target FNP</t>
  </si>
  <si>
    <t>Target Stealth</t>
  </si>
  <si>
    <t>Attacker Rule Mods</t>
  </si>
  <si>
    <t>Target Rule Mods</t>
  </si>
  <si>
    <t>Target Faction</t>
  </si>
  <si>
    <t>Target T Mod</t>
  </si>
  <si>
    <t>Target Save Mod</t>
  </si>
  <si>
    <t>Target Dmg Mod</t>
  </si>
  <si>
    <t>Target Hit Mod</t>
  </si>
  <si>
    <t>Target Wound Mod</t>
  </si>
  <si>
    <t>Target AP Mod</t>
  </si>
  <si>
    <t>DeathGuard</t>
  </si>
  <si>
    <t>Yes</t>
  </si>
  <si>
    <t>No</t>
  </si>
  <si>
    <t>Results</t>
  </si>
  <si>
    <t>Keyword Values (helper columns)</t>
  </si>
  <si>
    <t>Use</t>
  </si>
  <si>
    <t>Weapon</t>
  </si>
  <si>
    <t>A</t>
  </si>
  <si>
    <t>BS</t>
  </si>
  <si>
    <t>S</t>
  </si>
  <si>
    <t>AP</t>
  </si>
  <si>
    <t>D</t>
  </si>
  <si>
    <t>Modifier</t>
  </si>
  <si>
    <t>T</t>
  </si>
  <si>
    <t>W</t>
  </si>
  <si>
    <t>Sv</t>
  </si>
  <si>
    <t>InSv</t>
  </si>
  <si>
    <t>FNP</t>
  </si>
  <si>
    <t>Modifiers</t>
  </si>
  <si>
    <t>Attacks</t>
  </si>
  <si>
    <t>Hits</t>
  </si>
  <si>
    <t>Auto Wounds</t>
  </si>
  <si>
    <t>Wounds</t>
  </si>
  <si>
    <t>Mortal Wounds</t>
  </si>
  <si>
    <t>Unsaved</t>
  </si>
  <si>
    <t>Dmg per Attack</t>
  </si>
  <si>
    <t>Summary</t>
  </si>
  <si>
    <t>Torrent</t>
  </si>
  <si>
    <t>Lethal Hits</t>
  </si>
  <si>
    <t>Sustained Hits</t>
  </si>
  <si>
    <t>Dev Wounds</t>
  </si>
  <si>
    <t>Twin-Linked</t>
  </si>
  <si>
    <t>Lance</t>
  </si>
  <si>
    <t>Heavy</t>
  </si>
  <si>
    <t>Rapid Fire</t>
  </si>
  <si>
    <t>Blast</t>
  </si>
  <si>
    <t>Cleave</t>
  </si>
  <si>
    <t>Melta</t>
  </si>
  <si>
    <t>Ignores Cover</t>
  </si>
  <si>
    <t>Psychic</t>
  </si>
  <si>
    <t>Crit Wound On</t>
  </si>
  <si>
    <t>Hit Need</t>
  </si>
  <si>
    <t>Wound Need</t>
  </si>
  <si>
    <t>Save Need</t>
  </si>
  <si>
    <t>Attacks per Kill</t>
  </si>
  <si>
    <t>Hit Mod</t>
  </si>
  <si>
    <t>Wound Mod</t>
  </si>
  <si>
    <t>AP Mod</t>
  </si>
  <si>
    <t>Dmg Mod</t>
  </si>
  <si>
    <t>Hit Reroll</t>
  </si>
  <si>
    <t>Wound Reroll</t>
  </si>
  <si>
    <t>Crit Hit Chance</t>
  </si>
  <si>
    <t>Attacks Mod</t>
  </si>
  <si>
    <t>Strength Mod</t>
  </si>
  <si>
    <t>BS Mod</t>
  </si>
  <si>
    <t>Crit Hit On</t>
  </si>
  <si>
    <t>Save Mod (Attacker)</t>
  </si>
  <si>
    <t>Ranged Units</t>
  </si>
  <si>
    <t>Target Units</t>
  </si>
  <si>
    <t>Attacker Rules &amp; Stratagems (tick to apply)</t>
  </si>
  <si>
    <t>Rule / Stratagem</t>
  </si>
  <si>
    <t>Type</t>
  </si>
  <si>
    <t>Effect</t>
  </si>
  <si>
    <t>Target Rules &amp; Stratagems (tick to apply)</t>
  </si>
  <si>
    <t>Charged This Turn?</t>
  </si>
  <si>
    <t>Chaos Spawn</t>
  </si>
  <si>
    <t>Intercessor (Space Marines)</t>
  </si>
  <si>
    <t>WS Mod</t>
  </si>
  <si>
    <t>Melee Units</t>
  </si>
  <si>
    <t>Unit</t>
  </si>
  <si>
    <t xml:space="preserve"> Ranged Weapons</t>
  </si>
  <si>
    <t>Melee Weapons</t>
  </si>
  <si>
    <t>Faction Rules</t>
  </si>
  <si>
    <t>Faction Stratagems</t>
  </si>
  <si>
    <t>Name</t>
  </si>
  <si>
    <t>Rule</t>
  </si>
  <si>
    <t>Applies To</t>
  </si>
  <si>
    <t>Phase</t>
  </si>
  <si>
    <t>Stratagem</t>
  </si>
  <si>
    <t>CP</t>
  </si>
  <si>
    <t>Notes</t>
  </si>
  <si>
    <t>Myphitic Blight Hauler</t>
  </si>
  <si>
    <t>-</t>
  </si>
  <si>
    <t>Bile Spurt</t>
  </si>
  <si>
    <t>Ranged</t>
  </si>
  <si>
    <t>Bubotic Weapons</t>
  </si>
  <si>
    <t>Lethal hits</t>
  </si>
  <si>
    <t>Lord Of Contagion</t>
  </si>
  <si>
    <t>Attacker</t>
  </si>
  <si>
    <t>Fighting</t>
  </si>
  <si>
    <t>Sustained Hits 1, Lance</t>
  </si>
  <si>
    <t>Missile Launcher - frag</t>
  </si>
  <si>
    <t>D6</t>
  </si>
  <si>
    <t>Heavy Plague Weapon</t>
  </si>
  <si>
    <t>Missile Launcher - krak</t>
  </si>
  <si>
    <t>Plague Knives</t>
  </si>
  <si>
    <t>Multi-melta</t>
  </si>
  <si>
    <t>Melta 2, Lethal Hits</t>
  </si>
  <si>
    <t>Power Fist</t>
  </si>
  <si>
    <t>Gnashing Maw</t>
  </si>
  <si>
    <t>Melee</t>
  </si>
  <si>
    <t>Blight Launcher</t>
  </si>
  <si>
    <t>D3</t>
  </si>
  <si>
    <t>Manreaper - Strike</t>
  </si>
  <si>
    <t>Boltgun</t>
  </si>
  <si>
    <t>Manreaper - Sweep</t>
  </si>
  <si>
    <t>Plague Spewer</t>
  </si>
  <si>
    <t>Anti-Infantry 2+, Torrent</t>
  </si>
  <si>
    <t>Plasma Gun - Standard</t>
  </si>
  <si>
    <t>Rapid Fire 1</t>
  </si>
  <si>
    <t>Great Plague Blade</t>
  </si>
  <si>
    <t>Devastating Wounds, Lethal hits</t>
  </si>
  <si>
    <t>Plasma Gun - Supercharged</t>
  </si>
  <si>
    <t>Close Combat Weapon</t>
  </si>
  <si>
    <t>Plasma Pistol - Standard</t>
  </si>
  <si>
    <t>Lakrimae - Strike</t>
  </si>
  <si>
    <t>Plasma Pistol Supercharged</t>
  </si>
  <si>
    <t>Lakrimae - Sweep</t>
  </si>
  <si>
    <t>Plaguespurt Gauntlet</t>
  </si>
  <si>
    <t>Anti-Infantry 2+, Torrent, Ignores Cover, Pistol</t>
  </si>
  <si>
    <t>Hideous Mutations</t>
  </si>
  <si>
    <t>D6+2</t>
  </si>
  <si>
    <t>Lord of Contagion</t>
  </si>
  <si>
    <t>Lord of Poxes</t>
  </si>
  <si>
    <t>Tallyman</t>
  </si>
  <si>
    <t>Typhus</t>
  </si>
  <si>
    <t>Meele Weapons</t>
  </si>
  <si>
    <t>Intercessor</t>
  </si>
  <si>
    <t>Kabalite Warrior</t>
  </si>
  <si>
    <t>Ravager</t>
  </si>
  <si>
    <t>Guardsman</t>
  </si>
  <si>
    <t>Tempestus Scion</t>
  </si>
  <si>
    <t>Rapid Fire 1,Lethal hits,Sustained hits 1,Reroll Hits 1, Attacks Modifier +1,BS Modifier -1</t>
  </si>
  <si>
    <t>Meltagun</t>
  </si>
  <si>
    <t>Lethal hits,Sustained hits 1,Reroll Hits 1,BS Modifier -1</t>
  </si>
  <si>
    <t>Grenade launcher - krak</t>
  </si>
  <si>
    <t>Hot-shot volley gun</t>
  </si>
  <si>
    <t>Rapid Fire 2,Lethal hits,Sustained hits 1,Reroll Hits 1,Hit Modifier +1, Attacks Modifier +1,BS Modifier -1</t>
  </si>
  <si>
    <t>HWT</t>
  </si>
  <si>
    <t>K.H. Flamer</t>
  </si>
  <si>
    <t>Lascannon</t>
  </si>
  <si>
    <t>D6+1</t>
  </si>
  <si>
    <t>Heavy,Hit Modifier +1,Ignores Cover,BS Modifier -1,Reroll Hits 1</t>
  </si>
  <si>
    <t>Ignores Cover,Torrent</t>
  </si>
  <si>
    <t>Heavy Mortar</t>
  </si>
  <si>
    <t>D6+3</t>
  </si>
  <si>
    <t>Heavy,Reroll Hits 1</t>
  </si>
  <si>
    <t>Artillery Team</t>
  </si>
  <si>
    <t>Siege Cannon</t>
  </si>
  <si>
    <t>Heavy,Reroll Hits 1,Ignores Cover,BS Modifier -1</t>
  </si>
  <si>
    <t>Heavy Lascannon</t>
  </si>
  <si>
    <t>Heavy,Reroll Hits 1,Ignores Cover,BS Modifier -1,Sustained hits 1</t>
  </si>
  <si>
    <t>Field Ordinance Battery</t>
  </si>
  <si>
    <t>Keyword</t>
  </si>
  <si>
    <t>Category</t>
  </si>
  <si>
    <t>Format</t>
  </si>
  <si>
    <t>Rule Summary</t>
  </si>
  <si>
    <t>Sim Step</t>
  </si>
  <si>
    <t>Modelled in Sim?</t>
  </si>
  <si>
    <t>Rule Ref</t>
  </si>
  <si>
    <t>Modifier Format Guide</t>
  </si>
  <si>
    <t>Anti</t>
  </si>
  <si>
    <t>Both</t>
  </si>
  <si>
    <t>Anti-X Y+</t>
  </si>
  <si>
    <t>Unmodified wound roll of Y+ is a Critical Wound vs targets with keyword X.</t>
  </si>
  <si>
    <t>Wound</t>
  </si>
  <si>
    <t>24.03</t>
  </si>
  <si>
    <t>Example</t>
  </si>
  <si>
    <t>Assault</t>
  </si>
  <si>
    <t>Unit can use Assault Shooting (shoot after Advancing).</t>
  </si>
  <si>
    <t>None</t>
  </si>
  <si>
    <t>24.04</t>
  </si>
  <si>
    <t>Use the exact name from the Keyword column</t>
  </si>
  <si>
    <t>Lethal Hits (not Lethal)</t>
  </si>
  <si>
    <t>Space Marines</t>
  </si>
  <si>
    <t>Blast / Blast X</t>
  </si>
  <si>
    <t>+1 (or +X) attack dice per 5 models in the target unit (round down).</t>
  </si>
  <si>
    <t>24.05</t>
  </si>
  <si>
    <t>Separate multiple keywords with a comma and space</t>
  </si>
  <si>
    <t>Drukhari</t>
  </si>
  <si>
    <t>Cleave X</t>
  </si>
  <si>
    <t>+X attack dice per 5 models in the target unit, if all attacks target one unit.</t>
  </si>
  <si>
    <t>24.06</t>
  </si>
  <si>
    <t>Put a space before any value</t>
  </si>
  <si>
    <t>Daemons</t>
  </si>
  <si>
    <t>Close-Quarters</t>
  </si>
  <si>
    <t>Unit can use Close-Quarters Shooting while engaged; limits weapon choice with other shooting types.</t>
  </si>
  <si>
    <t>24.07</t>
  </si>
  <si>
    <t>Anti: target keyword after a hyphen, then a space and the roll needed with +</t>
  </si>
  <si>
    <t>Anti-Infantry 2+</t>
  </si>
  <si>
    <t>T'Au</t>
  </si>
  <si>
    <t>Devastating Wounds</t>
  </si>
  <si>
    <t>A Critical Wound ends the attack sequence and inflicts mortal wounds equal to the weapon's D.</t>
  </si>
  <si>
    <t>Save</t>
  </si>
  <si>
    <t>24.10</t>
  </si>
  <si>
    <t>Feel No Pain (unit Modifiers): space, then roll needed with +</t>
  </si>
  <si>
    <t>Feel No Pain 5+</t>
  </si>
  <si>
    <t>Imperial Guard</t>
  </si>
  <si>
    <t>Extra Attacks</t>
  </si>
  <si>
    <t>These weapons are used in addition to one other melee weapon.</t>
  </si>
  <si>
    <t>24.11</t>
  </si>
  <si>
    <t>Keywords with no value are written on their own</t>
  </si>
  <si>
    <t>Torrent, Heavy, Twin-Linked</t>
  </si>
  <si>
    <t>Sisters of Battle</t>
  </si>
  <si>
    <t>Hazardous</t>
  </si>
  <si>
    <t>After attacking, make one hazard roll per Hazardous weapon selected.</t>
  </si>
  <si>
    <t>24.15</t>
  </si>
  <si>
    <t>Stat modifiers: name, space, then signed number (they stack)</t>
  </si>
  <si>
    <t>Hit Modifier +1, AP Modifier -1</t>
  </si>
  <si>
    <t>Thousand Sons</t>
  </si>
  <si>
    <t>+1 to hit if unengaged, not set up this turn and no model moved more than 3".</t>
  </si>
  <si>
    <t>Hit</t>
  </si>
  <si>
    <t>24.16</t>
  </si>
  <si>
    <t>Rerolls: full, or add 1 for re-rolling 1s only</t>
  </si>
  <si>
    <t>Reroll Hits, Reroll Wounds 1</t>
  </si>
  <si>
    <t>Target cannot gain the benefit of cover, so the attacker's BS is not worsened.</t>
  </si>
  <si>
    <t>24.18</t>
  </si>
  <si>
    <t>BS/WS and AP use the characteristic's own direction: -1 is better</t>
  </si>
  <si>
    <t>BS Modifier -1 (3+ to 2+), AP Modifier -1 (-1 to -2)</t>
  </si>
  <si>
    <t>Indirect Fire</t>
  </si>
  <si>
    <t>Unit can use Indirect Shooting (no line of sight needed).</t>
  </si>
  <si>
    <t>24.19</t>
  </si>
  <si>
    <t>Critical Hits/Wounds: roll needed with +</t>
  </si>
  <si>
    <t>Critical Hits 5+, Critical Wounds 5+</t>
  </si>
  <si>
    <t>+1 to wound if the attacking unit charged this turn.</t>
  </si>
  <si>
    <t>24.21</t>
  </si>
  <si>
    <t>If the same keyword appears twice, the best value is used</t>
  </si>
  <si>
    <t>Sustained Hits 1 + Sustained Hits 2 = Sustained Hits 2</t>
  </si>
  <si>
    <t>A Critical Hit can automatically wound (no wound roll).</t>
  </si>
  <si>
    <t>24.23</t>
  </si>
  <si>
    <t>Melta X</t>
  </si>
  <si>
    <t>+X to D if the target is within half range.</t>
  </si>
  <si>
    <t>Damage</t>
  </si>
  <si>
    <t>24.25</t>
  </si>
  <si>
    <t>One Shot</t>
  </si>
  <si>
    <t>Weapon can only be used once per battle.</t>
  </si>
  <si>
    <t>24.26</t>
  </si>
  <si>
    <t>Pistol</t>
  </si>
  <si>
    <t>Identical to Close-Quarters for all rules purposes (being phased out).</t>
  </si>
  <si>
    <t>24.27</t>
  </si>
  <si>
    <t>Precision</t>
  </si>
  <si>
    <t>Attacks can be allocated to a visible Character in the target unit first.</t>
  </si>
  <si>
    <t>24.28</t>
  </si>
  <si>
    <t>Can ignore modifiers to BS/WS (including cover) and negative modifiers to the hit roll; counts as a psychic attack.</t>
  </si>
  <si>
    <t>24.29</t>
  </si>
  <si>
    <t>Rapid Fire X</t>
  </si>
  <si>
    <t>+X attack dice if the target is within half range.</t>
  </si>
  <si>
    <t>24.30</t>
  </si>
  <si>
    <t>Sustained Hits X</t>
  </si>
  <si>
    <t>A Critical Hit scores X additional hits.</t>
  </si>
  <si>
    <t>24.36</t>
  </si>
  <si>
    <t>Attacks automatically hit. Cannot also have Indirect Fire or Precision.</t>
  </si>
  <si>
    <t>24.37</t>
  </si>
  <si>
    <t>Can re-roll the wound roll.</t>
  </si>
  <si>
    <t>24.38</t>
  </si>
  <si>
    <t>Damaged</t>
  </si>
  <si>
    <t>Core</t>
  </si>
  <si>
    <t>Damaged X</t>
  </si>
  <si>
    <t>While remaining wounds are X or fewer, the model's attacks get -1 to hit.</t>
  </si>
  <si>
    <t>24.39</t>
  </si>
  <si>
    <t>Deadly Demise</t>
  </si>
  <si>
    <t>Deadly Demise X</t>
  </si>
  <si>
    <t>When destroyed, on a 6 each unit within 6" suffers X mortal wounds.</t>
  </si>
  <si>
    <t>24.08</t>
  </si>
  <si>
    <t>Deep Strike</t>
  </si>
  <si>
    <t>On an ingress move, can set up anywhere more than 8" horizontally from enemies.</t>
  </si>
  <si>
    <t>24.09</t>
  </si>
  <si>
    <t>Feel No Pain X+</t>
  </si>
  <si>
    <t>Each time a wound would be lost, roll a D6: on X+ it is not lost.</t>
  </si>
  <si>
    <t>24.12</t>
  </si>
  <si>
    <t>Fights First</t>
  </si>
  <si>
    <t>Unit fights in the Fights First step of the Fight phase.</t>
  </si>
  <si>
    <t>24.13</t>
  </si>
  <si>
    <t>Firing Deck</t>
  </si>
  <si>
    <t>Firing Deck X</t>
  </si>
  <si>
    <t>Transport can shoot with weapons from up to X embarked models.</t>
  </si>
  <si>
    <t>24.14</t>
  </si>
  <si>
    <t>Hover</t>
  </si>
  <si>
    <t>Don't subtract 2" from max distance when taking to the skies.</t>
  </si>
  <si>
    <t>24.17</t>
  </si>
  <si>
    <t>Infiltrators</t>
  </si>
  <si>
    <t>Deploy anywhere more than 8" from the enemy deployment zone and enemy units.</t>
  </si>
  <si>
    <t>24.20</t>
  </si>
  <si>
    <t>Leader</t>
  </si>
  <si>
    <t>Can be attached to a bodyguard unit before the battle.</t>
  </si>
  <si>
    <t>24.22</t>
  </si>
  <si>
    <t>Lone Operative</t>
  </si>
  <si>
    <t>Lone Operative / Lone Operative X"</t>
  </si>
  <si>
    <t>Unless attached, can't be seen or targeted by Indirect Fire beyond 12" (or X").</t>
  </si>
  <si>
    <t>24.24</t>
  </si>
  <si>
    <t>Scouts</t>
  </si>
  <si>
    <t>Scouts X"</t>
  </si>
  <si>
    <t>Pre-battle, can make a scout move of up to X" (or redeploy from strategic reserves).</t>
  </si>
  <si>
    <t>24.31</t>
  </si>
  <si>
    <t>Stealth</t>
  </si>
  <si>
    <t>If every model has it, unit gets the benefit of cover against ranged attacks (attacker's BS worsened by 1).</t>
  </si>
  <si>
    <t>24.33</t>
  </si>
  <si>
    <t>Super-Heavy Walker</t>
  </si>
  <si>
    <t>Can move through models (not Titanic) and terrain 4" or less in height.</t>
  </si>
  <si>
    <t>24.35</t>
  </si>
  <si>
    <t>Support</t>
  </si>
  <si>
    <t>Can be attached to a bodyguard alongside a Leader unit.</t>
  </si>
  <si>
    <t>24.34</t>
  </si>
  <si>
    <t>Hit Modifier</t>
  </si>
  <si>
    <t>Stat</t>
  </si>
  <si>
    <t>Hit Modifier +X / -X</t>
  </si>
  <si>
    <t>Adds X to the hit roll (total modifier capped at ±1).</t>
  </si>
  <si>
    <t>—</t>
  </si>
  <si>
    <t>Wound Modifier</t>
  </si>
  <si>
    <t>Wound Modifier +X / -X</t>
  </si>
  <si>
    <t>Adds X to the wound roll (total modifier capped at ±1).</t>
  </si>
  <si>
    <t>AP Modifier</t>
  </si>
  <si>
    <t>AP Modifier -X / +X</t>
  </si>
  <si>
    <t>Changes the weapon's AP by X (-1 makes AP -1 into AP -2).</t>
  </si>
  <si>
    <t>Damage Modifier</t>
  </si>
  <si>
    <t>Damage Modifier +X / -X</t>
  </si>
  <si>
    <t>Changes damage per attack by X (minimum 1). Use -1 on a Target rule for damage reduction.</t>
  </si>
  <si>
    <t>Toughness Modifier</t>
  </si>
  <si>
    <t>Toughness Modifier +X / -X</t>
  </si>
  <si>
    <t>Changes the target's T by X (minimum 1). Use on a Target rule.</t>
  </si>
  <si>
    <t>Save Modifier</t>
  </si>
  <si>
    <t>Save Modifier +X / -X</t>
  </si>
  <si>
    <t>On a target: +X improves its save, -X worsens it. On an attacker or weapon: -X worsens the target's save (e.g. a rule that worsens Sv by 1).</t>
  </si>
  <si>
    <t>Reroll Hits</t>
  </si>
  <si>
    <t>Reroll Hits / Reroll Hits 1</t>
  </si>
  <si>
    <t>Re-roll failed hit rolls, or only hit rolls of 1 when written as Reroll Hits 1.</t>
  </si>
  <si>
    <t>Reroll Wounds</t>
  </si>
  <si>
    <t>Reroll Wounds / Reroll Wounds 1</t>
  </si>
  <si>
    <t>Re-roll failed wound rolls, or only wound rolls of 1 when written as Reroll Wounds 1.</t>
  </si>
  <si>
    <t>Snap Shooting</t>
  </si>
  <si>
    <t>Hits only on an unmodified 6 (4+ if the unit remained stationary), ignoring BS and modifiers. Hit rolls cannot be re-rolled.</t>
  </si>
  <si>
    <t>15.09</t>
  </si>
  <si>
    <t>Attacks Modifier</t>
  </si>
  <si>
    <t>Attacks Modifier +X / -X</t>
  </si>
  <si>
    <t>Adds/subtracts X to the weapon's A characteristic (A cannot be less than 1).</t>
  </si>
  <si>
    <t>02.02.01</t>
  </si>
  <si>
    <t>Strength Modifier</t>
  </si>
  <si>
    <t>Strength Modifier +X / -X</t>
  </si>
  <si>
    <t>Adds/subtracts X to the weapon's S characteristic (S cannot be less than 1).</t>
  </si>
  <si>
    <t>BS Modifier</t>
  </si>
  <si>
    <t>BS Modifier -X / +X</t>
  </si>
  <si>
    <t>Changes the BS number: -1 improves (3+ to 2+), +1 worsens. BS stays between 2+ and 6+. Not limited by the ±1 hit roll cap.</t>
  </si>
  <si>
    <t>WS Modifier</t>
  </si>
  <si>
    <t>WS Modifier -X / +X</t>
  </si>
  <si>
    <t>Changes the WS number: -1 improves (3+ to 2+), +1 worsens. WS stays between 2+ and 6+. Not limited by the ±1 hit roll cap.</t>
  </si>
  <si>
    <t>Critical Hits</t>
  </si>
  <si>
    <t>Critical Hits X+</t>
  </si>
  <si>
    <t>Unmodified hit rolls of X+ are Critical Hits (and always hit). Lowest value applies. Not used when snap shooting.</t>
  </si>
  <si>
    <t>05.01</t>
  </si>
  <si>
    <t>Critical Wounds</t>
  </si>
  <si>
    <t>Critical Wounds X+</t>
  </si>
  <si>
    <t>Unmodified wound rolls of X+ are Critical Wounds (and always wound). Combines with Anti; lowest value applies.</t>
  </si>
  <si>
    <t>05.02</t>
  </si>
  <si>
    <t>Core Stratagems</t>
  </si>
  <si>
    <t>Command Re-roll</t>
  </si>
  <si>
    <t>Re-roll one hit, wound, damage or attacks roll. A single re-roll isn't modelled in the averages.</t>
  </si>
  <si>
    <t>Epic Challenge</t>
  </si>
  <si>
    <t>One Character's melee weapons gain Precision. No effect on damage maths.</t>
  </si>
  <si>
    <t>Explosives</t>
  </si>
  <si>
    <t>Shooting</t>
  </si>
  <si>
    <t>Separate grenade attack sequence; not modelled.</t>
  </si>
  <si>
    <t>Fire Overwatch</t>
  </si>
  <si>
    <t>Shoot using snap shooting: hits only on unmodified 6s, or 4+ if the unit remained stationary. No hit re-rolls.</t>
  </si>
  <si>
    <t>Counteroffensive</t>
  </si>
  <si>
    <t>Unit gains Fights First. No effect on damage maths.</t>
  </si>
  <si>
    <t>Smokescreen</t>
  </si>
  <si>
    <t>Target</t>
  </si>
  <si>
    <t>SMOKE unit gains the benefit of cover against ranged attacks.</t>
  </si>
  <si>
    <t>Insane Bravery</t>
  </si>
  <si>
    <t>Other</t>
  </si>
  <si>
    <t>Auto-pass a battle-shock roll.</t>
  </si>
  <si>
    <t>Crushing Impact</t>
  </si>
  <si>
    <t>Charge-phase mortal wounds from a Monster/Vehicle; not modelled.</t>
  </si>
  <si>
    <t>Rapid Ingress</t>
  </si>
  <si>
    <t>Ingress move at end of opponent's Movement phase.</t>
  </si>
  <si>
    <t>Heroic Intervention</t>
  </si>
  <si>
    <t>Charge at end of opponent's Charge phase.</t>
  </si>
  <si>
    <t>Qty</t>
  </si>
  <si>
    <t>Tick the Use box in column A next to each weapon you want included. Untick weapons the unit isn't firing or fighting with. In the Qty column (B) next to each tick box, enter how many of that weapon are being used (default 1) – attacks scale by this number.</t>
  </si>
  <si>
    <t>Each weapon row shows Attacks, Hits, Wounds, Mortal Wounds, Unsaved wounds, Damage and Models Killed. The totals for all ticked weapons are in P2:Q3 (Total Damage and Total Models Killed).</t>
  </si>
  <si>
    <t>M</t>
  </si>
  <si>
    <t>OC</t>
  </si>
  <si>
    <t>Ld</t>
  </si>
  <si>
    <t>Points</t>
  </si>
  <si>
    <t>Models</t>
  </si>
  <si>
    <t>Leader (can lead)</t>
  </si>
  <si>
    <t>Abilities</t>
  </si>
  <si>
    <t>Step 1 – Unit table (B:R)</t>
  </si>
  <si>
    <t>In column B type the unit's Name. In C:H enter its stats: T (Toughness), W (Wounds), Sv (Save), InSv (Invulnerable save, or - if none), FNP (Feel No Pain, or -), and Modifiers (unit keywords, e.g. Infantry, Stealth). In I:P add the rest of the datasheet: M (Move), OC, Ld (Leadership), Points, Models (models in the unit), Keywords (e.g. Infantry, Character, Vehicle), Leader (units this character can lead) and Abilities. Give every unit a unique name within its faction tab.</t>
  </si>
  <si>
    <t>Add the weapon's stats to the Ranged Weapons table (U:AA) or the Melee Weapons table (AD:AJ): Weapon name (must match column Q exactly), A, BS/WS, S, AP, D and Modifier. Random values such as D3 or D6 are fine.</t>
  </si>
  <si>
    <t>Faction Rules (AM:AP)</t>
  </si>
  <si>
    <t>Faction Stratagems (AR:AW)</t>
  </si>
  <si>
    <t>Blightloard Terminators, Deathshroud Terminators</t>
  </si>
  <si>
    <t>Vehicle, Smoke, Chaos, Nurgle, Daemon, Myphitic Blight Hauler</t>
  </si>
  <si>
    <t>Deep Strike
Silent Body Guard - While a character model is leading this unit, that character model has the feel no pain 4+ ability.
Death Approaches - In you rmovement phase, each time this unit is set up on the battlefield using the deep strike ability, it can be set up anywhere on the battlefield that is more than 6" horizontally away from all afflicted enemy units, and more than 8" horizontally away from all other enemy units.</t>
  </si>
  <si>
    <t>Deep Strike
Leader
Vector of disease - While this model is leading a unit melee weapons equipped by models in that unit have the sustained hits 1 and lance abilities.
Unholy resilience - The firest time a model with this ability is destroyed in a battle round, roll one D6 at the end of the phase. On a 2+ set that model back up on the battlefield as close as possible to where it was destroyed and not within engagement range of any enemty units with 3 wounds remaining. Each moidel can only be set up in ths way once per abttle.</t>
  </si>
  <si>
    <t>Leader
Gift of Poxes - Add 3" to the range of this models contagion range
Shroud of diseas - while this model is leading a unit, that unit cannot be targeted by ranged attacks unless the attacking model is within 18".</t>
  </si>
  <si>
    <t>Deadly Demise D3
Tank Hunters - In your shooting phase, each time a model in this unit makea n attack that targets a monster or vehicle unit, add 1 to thje hit roll and add 1 to the wound roll.</t>
  </si>
  <si>
    <t>Infantry, Battleline, Grenades, Chaos, Nurgle, Plague Marines</t>
  </si>
  <si>
    <t>Infused with the blessing of Nurgle - In your shooting phase, each time this unit is selected to shoot after this unit has shot, select one enemy unit hit by one or more of those attacks. Until the start of your next turn, that enemy unit is afflicted.</t>
  </si>
  <si>
    <t>Infantry, Character, Psyker, Epic Hero, chaos, Nurgle, Terminator, Typhus</t>
  </si>
  <si>
    <t>Deep Strike
Leader
Destroyer Hive - While this model is leading a unit, each time a melee attack targets that unit, subtract 1 from the hit roll.
Eater Plauge (Psychic)</t>
  </si>
  <si>
    <t>Infantry, Chaos, Nurgle, Terminator, Deathshroud Terminators</t>
  </si>
  <si>
    <t>Infantry, character, Grenades, Chaos, Nurgle, Terminator, Lord of Contagion</t>
  </si>
  <si>
    <t>Infantry, Character, Grenades, Chaos, Nurgle, Lord of Poxes</t>
  </si>
  <si>
    <t>Blightloard Terminators, Deathshroud Terminators, Poxwalkers</t>
  </si>
  <si>
    <t>Army Roster – Inputs</t>
  </si>
  <si>
    <t>Pick your army and the opponent here. Blue cells are inputs. Results tabs (Phase 4) read from this sheet.</t>
  </si>
  <si>
    <t>Settings</t>
  </si>
  <si>
    <t>My Faction</t>
  </si>
  <si>
    <t>Opponent Mode</t>
  </si>
  <si>
    <t>Generic profiles</t>
  </si>
  <si>
    <t>My Army</t>
  </si>
  <si>
    <t>Models (blank = datasheet)</t>
  </si>
  <si>
    <t>Datasheet Models</t>
  </si>
  <si>
    <t>Datasheet Points</t>
  </si>
  <si>
    <t>My Units (list)</t>
  </si>
  <si>
    <t>Total (ticked)</t>
  </si>
  <si>
    <t>Army-wide Rules &amp; Stratagems (tick to apply to every unit)</t>
  </si>
  <si>
    <t>Calc Helpers (used by results)</t>
  </si>
  <si>
    <t>Shooting Rule Mods</t>
  </si>
  <si>
    <t>Fighting Rule Mods</t>
  </si>
  <si>
    <t>Shooting Options {Half,Stat,Cover,Dmgd,Chg}</t>
  </si>
  <si>
    <t>Fighting Options {Half,Stat,Cover,Dmgd,Chg}</t>
  </si>
  <si>
    <t>Target Unit</t>
  </si>
  <si>
    <t>Extra Mods (e.g. Stealth)</t>
  </si>
  <si>
    <t>Opponent – Generic Profiles (used when Opponent Mode = Generic profiles)</t>
  </si>
  <si>
    <t>Profile</t>
  </si>
  <si>
    <t>Weight</t>
  </si>
  <si>
    <t>Horde Infantry (GEQ)</t>
  </si>
  <si>
    <t>Infantry</t>
  </si>
  <si>
    <t>Marine Infantry (MEQ)</t>
  </si>
  <si>
    <t>Terminator (TEQ)</t>
  </si>
  <si>
    <t>Infantry, Terminator</t>
  </si>
  <si>
    <t>Heavy Infantry</t>
  </si>
  <si>
    <t>Character (Infantry)</t>
  </si>
  <si>
    <t>Infantry, Character</t>
  </si>
  <si>
    <t>Light Vehicle</t>
  </si>
  <si>
    <t>Vehicle</t>
  </si>
  <si>
    <t>Monster</t>
  </si>
  <si>
    <t>Battle Tank</t>
  </si>
  <si>
    <t>Heavy Tank</t>
  </si>
  <si>
    <t>Knight / Titanic</t>
  </si>
  <si>
    <t>Vehicle, Titanic</t>
  </si>
  <si>
    <t>Active Target</t>
  </si>
  <si>
    <t>Active Unit</t>
  </si>
  <si>
    <t>Model Scale</t>
  </si>
  <si>
    <t>Helper columns – grouped; click + above to expand. Don't edit.</t>
  </si>
  <si>
    <t>6. Army Roster (Roster tab)</t>
  </si>
  <si>
    <t>Step 1 – Your army</t>
  </si>
  <si>
    <t>Pick My Faction (C5), then in the My Army table tick Use and choose each unit. Leave Models blank to use the datasheet count, or enter a different unit size – damage and points scale by Models ÷ Datasheet Models.</t>
  </si>
  <si>
    <t>Step 2 – Opponent</t>
  </si>
  <si>
    <t>Step 3 – Conditions &amp; army rules</t>
  </si>
  <si>
    <t>Phase (Shooting / Fighting / Both) and the Yes/No switches in C7:C11 apply to every unit. Tick army-wide rules and stratagems in the panel at N4 – they apply to every unit in the matching phase.</t>
  </si>
  <si>
    <t>Helper columns</t>
  </si>
  <si>
    <t>Grouped columns Z:BB hold the lists and calculation inputs used by the results tabs. Click + above the columns to expand; don't edit them.</t>
  </si>
  <si>
    <t>7. Good to know</t>
  </si>
  <si>
    <t>8. Approximations and limits</t>
  </si>
  <si>
    <t>In column Q list each weapon the unit carries, one per row under its name. In column R pick Ranged or Melee from the dropdown. This decides whether it appears on Sim-Shooting or Sim-Fighting. If a unit has several weapons, merge its Name cell down across those rows or leave the rows below the name blank. In column S (Qty) enter how many of that weapon the unit has (blank = 1); enter 0 for alternative profiles such as frag/krak so they aren't added together.</t>
  </si>
  <si>
    <t>Roster</t>
  </si>
  <si>
    <t>Lists your whole army and the opponent (real units or generic profiles) with shared battle conditions and army-wide rules. Feeds the army-level results.</t>
  </si>
  <si>
    <t>Opponent Faction</t>
  </si>
  <si>
    <t>Target List (opp. faction)</t>
  </si>
  <si>
    <t>Opponent – Real Roster (units from the Opponent Faction in C13; used when Opponent Mode = Real roster)</t>
  </si>
  <si>
    <t>Army Results – Roster Analysis</t>
  </si>
  <si>
    <t>1. Kill Grid – expected models killed in one turn (uses the Roster's switches and ticked army-wide rules)</t>
  </si>
  <si>
    <t>#</t>
  </si>
  <si>
    <t>My Unit ↓   Target →</t>
  </si>
  <si>
    <t>My Models</t>
  </si>
  <si>
    <t>Army total kills</t>
  </si>
  <si>
    <t>% of target destroyed</t>
  </si>
  <si>
    <t>Wiped in one turn?</t>
  </si>
  <si>
    <t>Best unit vs target</t>
  </si>
  <si>
    <t>2. % of Target Destroyed (heat map) &amp; Points Efficiency</t>
  </si>
  <si>
    <t>My Unit</t>
  </si>
  <si>
    <t>Weighted Avg % Destroyed</t>
  </si>
  <si>
    <t>Avg % per 100 pts</t>
  </si>
  <si>
    <t>Army (all ticked units)</t>
  </si>
  <si>
    <t>3. Gaps – targets your whole army can't wipe out in one turn</t>
  </si>
  <si>
    <t>Army % Destroyed</t>
  </si>
  <si>
    <t>Best Unit</t>
  </si>
  <si>
    <t>4. Role Scores – % of a benchmark unit your army destroys in one turn (edit the blue profiles)</t>
  </si>
  <si>
    <t>Role</t>
  </si>
  <si>
    <t>Anti-Horde</t>
  </si>
  <si>
    <t>Anti-Marine</t>
  </si>
  <si>
    <t>Anti-Elite</t>
  </si>
  <si>
    <t>Anti-Heavy Infantry</t>
  </si>
  <si>
    <t>Anti-Vehicle</t>
  </si>
  <si>
    <t>Anti-Monster</t>
  </si>
  <si>
    <t>Anti-Tank</t>
  </si>
  <si>
    <t>Army Kills (uncapped)</t>
  </si>
  <si>
    <t>Role Score (100% = wiped)</t>
  </si>
  <si>
    <t>5. Toughness / Save Coverage – expected damage your whole army deals (no invuln, FNP or keywords; damage not capped by wounds)</t>
  </si>
  <si>
    <t>T ↓  Sv →</t>
  </si>
  <si>
    <t>6. Reverse Durability – % of each of your units the opponent destroys in one turn (Real roster mode only; same switches, no opponent rules)</t>
  </si>
  <si>
    <t>My Unit ↓   Enemy →</t>
  </si>
  <si>
    <t>Enemy Models</t>
  </si>
  <si>
    <t>Total % (all enemies)</t>
  </si>
  <si>
    <t>Total threat (sum of %)</t>
  </si>
  <si>
    <t>Army Summary</t>
  </si>
  <si>
    <t>Opponent</t>
  </si>
  <si>
    <t>Units selected</t>
  </si>
  <si>
    <t>Enemy units wiped in one turn</t>
  </si>
  <si>
    <t>Avg % of each enemy unit destroyed</t>
  </si>
  <si>
    <t>Best unit (mine: % per 100 pts / theirs: biggest threat)</t>
  </si>
  <si>
    <t>Set Opponent Mode (C12). Real roster: pick the Opponent Faction (C13), then tick and choose enemy units from that faction in the Real Roster table; stats fill in automatically and you can override Models or add Extra Mods. Generic profiles: tick and edit the benchmark stat lines and their weights.</t>
  </si>
  <si>
    <t>Step 4 – Read the Results tab</t>
  </si>
  <si>
    <t>Army-wide analysis built from the Roster tab: kill grid, heat maps, gaps, role spider chart, points efficiency and reverse durability.</t>
  </si>
  <si>
    <t>Blue cells are editable; everything else is calculated from the Roster tab.</t>
  </si>
  <si>
    <t>Results shows: an Army Summary; 1) Kill Grid (expected models killed per unit vs each target, with army totals, one-turn wipe check and best unit); 2) % destroyed heat map with weighted average and % per 100 pts; 3) Gaps list; 4) Role Scores and spider chart (edit the blue benchmark profiles); 5) Toughness/Save coverage heat map; 6) Reverse Durability – how much of each of your units the opponent destroys (Real roster mode only). Phase Both = shoot then fight, kills added together. Charts: the Points Efficiency bar chart (next to Gaps) and the Role Profile spider chart. Heat maps run red (weak) to green (strong). On the Roster, the opponent section not in use is greyed out. Blue cells everywhere are inputs.</t>
  </si>
  <si>
    <t>Deathshroud Terminators</t>
  </si>
  <si>
    <t>Plague Marines (Ranged)</t>
  </si>
  <si>
    <t>Plague Marines (Meele)</t>
  </si>
  <si>
    <t>Plague Marines (Meele), Plague Marines (Ranged)</t>
  </si>
  <si>
    <t>Rogal Dorn Battle Tank</t>
  </si>
  <si>
    <t>Rogal Dorn Battle Tank (Imperial Guard)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</si>
</sst>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quot;+&quot;"/>
    <numFmt numFmtId="165" formatCode="0;\-0;;@"/>
    <numFmt numFmtId="166" formatCode="0.00;\-0.00;\-"/>
    <numFmt numFmtId="167" formatCode="0%;\-0%;\-"/>
    <numFmt numFmtId="168" formatCode="0.0%"/>
    <numFmt numFmtId="169" formatCode="0.0"/>
  </numFmts>
  <fonts count="23" x14ac:knownFonts="1">
    <font>
      <sz val="11"/>
      <color theme="1"/>
      <name val="Aptos Narrow"/>
      <family val="2"/>
      <scheme val="minor"/>
    </font>
    <font>
      <b/>
      <sz val="11"/>
      <color theme="1"/>
      <name val="Aptos Narrow"/>
      <family val="2"/>
      <scheme val="minor"/>
    </font>
    <font>
      <sz val="9"/>
      <color indexed="81"/>
      <name val="Tahoma"/>
      <family val="2"/>
    </font>
    <font>
      <b/>
      <sz val="9"/>
      <color indexed="81"/>
      <name val="Tahoma"/>
      <family val="2"/>
    </font>
    <font>
      <sz val="11"/>
      <color rgb="FF0000FF"/>
      <name val="Aptos Narrow"/>
      <family val="2"/>
      <scheme val="minor"/>
    </font>
    <font>
      <sz val="11"/>
      <color rgb="FF7F7F7F"/>
      <name val="Aptos Narrow"/>
      <family val="2"/>
      <scheme val="minor"/>
    </font>
    <font>
      <sz val="11"/>
      <color rgb="FF000000"/>
      <name val="Aptos Narrow"/>
      <family val="2"/>
      <scheme val="minor"/>
    </font>
    <font>
      <b/>
      <sz val="12"/>
      <color theme="1"/>
      <name val="Aptos Narrow"/>
      <family val="2"/>
      <scheme val="minor"/>
    </font>
    <font>
      <sz val="11"/>
      <color theme="1"/>
      <name val="Aptos Narrow"/>
      <family val="2"/>
      <scheme val="minor"/>
    </font>
    <font>
      <b/>
      <sz val="18"/>
      <color theme="1"/>
      <name val="Aptos Narrow"/>
      <family val="2"/>
      <scheme val="minor"/>
    </font>
    <font>
      <i/>
      <sz val="11"/>
      <color theme="1"/>
      <name val="Aptos Narrow"/>
      <family val="2"/>
      <scheme val="minor"/>
    </font>
    <font>
      <b/>
      <sz val="11"/>
      <color theme="1"/>
      <name val="Aptos Narrow"/>
      <family val="2"/>
      <scheme val="minor"/>
    </font>
    <font>
      <b/>
      <sz val="13"/>
      <color theme="1"/>
      <name val="Aptos Narrow"/>
      <family val="2"/>
      <scheme val="minor"/>
    </font>
    <font>
      <b/>
      <sz val="11"/>
      <color rgb="FF000000"/>
      <name val="Aptos Narrow"/>
      <family val="2"/>
      <scheme val="minor"/>
    </font>
    <font>
      <b/>
      <sz val="13"/>
      <color rgb="FF000000"/>
      <name val="Aptos Narrow"/>
      <family val="2"/>
      <scheme val="minor"/>
    </font>
    <font>
      <sz val="9"/>
      <color theme="1"/>
      <name val="Aptos Narrow"/>
      <family val="2"/>
      <scheme val="minor"/>
    </font>
    <font>
      <sz val="11"/>
      <color rgb="FF242424"/>
      <name val="Aptos Narrow"/>
      <family val="2"/>
    </font>
    <font>
      <i/>
      <sz val="11"/>
      <color rgb="FF7F7F7F"/>
      <name val="Aptos Narrow"/>
      <family val="2"/>
      <scheme val="minor"/>
    </font>
    <font>
      <b/>
      <sz val="16"/>
      <color theme="1"/>
      <name val="Aptos Narrow"/>
      <family val="2"/>
      <scheme val="minor"/>
    </font>
    <font>
      <i/>
      <sz val="11"/>
      <color theme="1"/>
      <name val="Aptos Narrow"/>
      <family val="2"/>
      <scheme val="minor"/>
    </font>
    <font>
      <i/>
      <sz val="11"/>
      <color rgb="FF595959"/>
      <name val="Aptos Narrow"/>
      <family val="2"/>
      <scheme val="minor"/>
    </font>
    <font>
      <sz val="8"/>
      <color rgb="FFA6A6A6"/>
      <name val="Aptos Narrow"/>
      <family val="2"/>
      <scheme val="minor"/>
    </font>
    <font>
      <i/>
      <sz val="11"/>
      <color rgb="FF9C0006"/>
      <name val="Aptos Narrow"/>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2" tint="-0.249977111117893"/>
        <bgColor indexed="64"/>
      </patternFill>
    </fill>
    <fill>
      <patternFill patternType="solid">
        <fgColor rgb="FFC6EFCE"/>
        <bgColor indexed="64"/>
      </patternFill>
    </fill>
    <fill>
      <patternFill patternType="solid">
        <fgColor rgb="FFFFF2CC"/>
        <bgColor indexed="64"/>
      </patternFill>
    </fill>
    <fill>
      <patternFill patternType="solid">
        <fgColor rgb="FFFFFFFF"/>
        <bgColor indexed="64"/>
      </patternFill>
    </fill>
    <fill>
      <patternFill patternType="solid">
        <fgColor rgb="FFEDEDED"/>
        <bgColor indexed="64"/>
      </patternFill>
    </fill>
    <fill>
      <patternFill patternType="solid">
        <fgColor rgb="FFE4DFEC"/>
        <bgColor indexed="64"/>
      </patternFill>
    </fill>
    <fill>
      <patternFill patternType="solid">
        <fgColor rgb="FFC1F0C8"/>
        <bgColor indexed="64"/>
      </patternFill>
    </fill>
    <fill>
      <patternFill patternType="solid">
        <fgColor rgb="FFADADAD"/>
        <bgColor indexed="64"/>
      </patternFill>
    </fill>
    <fill>
      <patternFill patternType="solid">
        <fgColor rgb="FFD9D9D9"/>
        <bgColor indexed="64"/>
      </patternFill>
    </fill>
  </fills>
  <borders count="17">
    <border>
      <left/>
      <right/>
      <top/>
      <bottom/>
      <diagonal/>
    </border>
    <border>
      <left/>
      <right style="thin">
        <color indexed="64"/>
      </right>
      <top/>
      <bottom/>
      <diagonal/>
    </border>
    <border>
      <left style="thin">
        <color indexed="64"/>
      </left>
      <right/>
      <top/>
      <bottom/>
      <diagonal/>
    </border>
    <border>
      <left/>
      <right/>
      <top/>
      <bottom style="thin">
        <color auto="1"/>
      </bottom>
      <diagonal/>
    </border>
    <border>
      <left/>
      <right style="thin">
        <color indexed="64"/>
      </right>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style="thin">
        <color rgb="FFBFBFBF"/>
      </top>
      <bottom style="thin">
        <color rgb="FFBFBFBF"/>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indexed="64"/>
      </bottom>
      <diagonal/>
    </border>
    <border>
      <left/>
      <right style="thin">
        <color rgb="FFBFBFBF"/>
      </right>
      <top style="thin">
        <color rgb="FFBFBFBF"/>
      </top>
      <bottom style="thin">
        <color indexed="64"/>
      </bottom>
      <diagonal/>
    </border>
    <border>
      <left/>
      <right/>
      <top style="thin">
        <color rgb="FFD9D9D9"/>
      </top>
      <bottom style="thin">
        <color rgb="FFD9D9D9"/>
      </bottom>
      <diagonal/>
    </border>
    <border>
      <left/>
      <right/>
      <top style="thin">
        <color rgb="FFD9D9D9"/>
      </top>
      <bottom/>
      <diagonal/>
    </border>
  </borders>
  <cellStyleXfs count="1">
    <xf numFmtId="0" fontId="0" fillId="0" borderId="0"/>
  </cellStyleXfs>
  <cellXfs count="135">
    <xf numFmtId="0" fontId="0" fillId="0" borderId="0" xfId="0"/>
    <xf numFmtId="0" fontId="0" fillId="0" borderId="1" xfId="0" applyBorder="1"/>
    <xf numFmtId="0" fontId="0" fillId="0" borderId="0" xfId="0" applyAlignment="1">
      <alignment horizontal="right"/>
    </xf>
    <xf numFmtId="0" fontId="0" fillId="0" borderId="0" xfId="0" applyAlignment="1">
      <alignment horizontal="left"/>
    </xf>
    <xf numFmtId="0" fontId="0" fillId="0" borderId="0" xfId="0" applyAlignment="1">
      <alignment vertical="center"/>
    </xf>
    <xf numFmtId="0" fontId="0" fillId="5" borderId="0" xfId="0" applyFill="1"/>
    <xf numFmtId="0" fontId="0" fillId="0" borderId="0" xfId="0" applyAlignment="1">
      <alignment horizontal="center"/>
    </xf>
    <xf numFmtId="0" fontId="1" fillId="6" borderId="0" xfId="0" applyFont="1" applyFill="1"/>
    <xf numFmtId="0" fontId="1" fillId="6" borderId="0" xfId="0" applyFont="1" applyFill="1" applyAlignment="1">
      <alignment vertical="center"/>
    </xf>
    <xf numFmtId="0" fontId="0" fillId="0" borderId="0" xfId="0" applyAlignment="1">
      <alignment vertical="center" wrapText="1"/>
    </xf>
    <xf numFmtId="49" fontId="0" fillId="0" borderId="0" xfId="0" applyNumberFormat="1" applyAlignment="1">
      <alignment horizontal="center" vertical="center"/>
    </xf>
    <xf numFmtId="0" fontId="1" fillId="0" borderId="3" xfId="0" applyFont="1" applyBorder="1"/>
    <xf numFmtId="0" fontId="1" fillId="5" borderId="0" xfId="0" applyFont="1" applyFill="1" applyAlignment="1">
      <alignment wrapText="1"/>
    </xf>
    <xf numFmtId="0" fontId="1" fillId="7" borderId="6" xfId="0" applyFont="1" applyFill="1" applyBorder="1" applyAlignment="1">
      <alignment horizontal="center" wrapText="1"/>
    </xf>
    <xf numFmtId="0" fontId="1" fillId="9" borderId="0" xfId="0" applyFont="1" applyFill="1" applyAlignment="1">
      <alignment horizontal="center" wrapText="1"/>
    </xf>
    <xf numFmtId="0" fontId="0" fillId="9" borderId="0" xfId="0" applyFill="1" applyAlignment="1">
      <alignment horizontal="center"/>
    </xf>
    <xf numFmtId="2" fontId="0" fillId="5" borderId="0" xfId="0" applyNumberFormat="1" applyFill="1" applyAlignment="1">
      <alignment horizontal="center"/>
    </xf>
    <xf numFmtId="0" fontId="5" fillId="5" borderId="0" xfId="0" applyFont="1" applyFill="1" applyAlignment="1">
      <alignment horizontal="center"/>
    </xf>
    <xf numFmtId="164" fontId="5" fillId="5" borderId="0" xfId="0" applyNumberFormat="1" applyFont="1" applyFill="1" applyAlignment="1">
      <alignment horizontal="center"/>
    </xf>
    <xf numFmtId="2" fontId="5" fillId="5" borderId="0" xfId="0" applyNumberFormat="1" applyFont="1" applyFill="1" applyAlignment="1">
      <alignment horizontal="center"/>
    </xf>
    <xf numFmtId="0" fontId="0" fillId="0" borderId="0" xfId="0" applyAlignment="1">
      <alignment wrapText="1"/>
    </xf>
    <xf numFmtId="0" fontId="0" fillId="5" borderId="0" xfId="0" applyFill="1" applyAlignment="1">
      <alignment wrapText="1"/>
    </xf>
    <xf numFmtId="0" fontId="0" fillId="0" borderId="0" xfId="0" quotePrefix="1"/>
    <xf numFmtId="0" fontId="4" fillId="8" borderId="5" xfId="0" applyFont="1" applyFill="1" applyBorder="1" applyAlignment="1">
      <alignment horizontal="center"/>
    </xf>
    <xf numFmtId="2" fontId="0" fillId="0" borderId="0" xfId="0" applyNumberFormat="1"/>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2" xfId="0" applyBorder="1"/>
    <xf numFmtId="0" fontId="0" fillId="0" borderId="1" xfId="0" applyBorder="1" applyAlignment="1">
      <alignment horizontal="left"/>
    </xf>
    <xf numFmtId="0" fontId="0" fillId="0" borderId="7" xfId="0" applyBorder="1"/>
    <xf numFmtId="0" fontId="0" fillId="0" borderId="3" xfId="0" applyBorder="1"/>
    <xf numFmtId="0" fontId="0" fillId="0" borderId="4" xfId="0" applyBorder="1"/>
    <xf numFmtId="2" fontId="0" fillId="0" borderId="3" xfId="0" applyNumberFormat="1" applyBorder="1"/>
    <xf numFmtId="0" fontId="0" fillId="0" borderId="4" xfId="0" applyBorder="1" applyAlignment="1">
      <alignment horizontal="left"/>
    </xf>
    <xf numFmtId="0" fontId="0" fillId="0" borderId="0" xfId="0" quotePrefix="1" applyAlignment="1">
      <alignment horizontal="center" vertical="center"/>
    </xf>
    <xf numFmtId="0" fontId="0" fillId="5" borderId="0" xfId="0" applyFill="1" applyAlignment="1">
      <alignment horizontal="center"/>
      <extLst>
        <ext xmlns:xfpb="http://schemas.microsoft.com/office/spreadsheetml/2022/featurepropertybag" uri="{C7286773-470A-42A8-94C5-96B5CB345126}">
          <xfpb:xfComplement i="0"/>
        </ext>
      </extLst>
    </xf>
    <xf numFmtId="0" fontId="7" fillId="0" borderId="0" xfId="0" applyFont="1"/>
    <xf numFmtId="0" fontId="0" fillId="0" borderId="0" xfId="0" applyAlignment="1">
      <alignment vertical="top" wrapText="1"/>
    </xf>
    <xf numFmtId="0" fontId="8" fillId="0" borderId="0" xfId="0" applyFont="1" applyAlignment="1">
      <alignment vertical="top" wrapText="1"/>
    </xf>
    <xf numFmtId="0" fontId="11" fillId="0" borderId="0" xfId="0" applyFont="1" applyAlignment="1">
      <alignment vertical="top" wrapText="1"/>
    </xf>
    <xf numFmtId="0" fontId="11" fillId="0" borderId="15" xfId="0" applyFont="1" applyBorder="1" applyAlignment="1">
      <alignment vertical="top" wrapText="1"/>
    </xf>
    <xf numFmtId="0" fontId="8" fillId="0" borderId="15" xfId="0" applyFont="1" applyBorder="1" applyAlignment="1">
      <alignment vertical="top" wrapText="1"/>
    </xf>
    <xf numFmtId="0" fontId="11" fillId="0" borderId="16" xfId="0" applyFont="1" applyBorder="1" applyAlignment="1">
      <alignment vertical="top" wrapText="1"/>
    </xf>
    <xf numFmtId="0" fontId="8" fillId="0" borderId="16" xfId="0" applyFont="1" applyBorder="1" applyAlignment="1">
      <alignment vertical="top" wrapText="1"/>
    </xf>
    <xf numFmtId="0" fontId="13" fillId="11" borderId="0" xfId="0" applyFont="1" applyFill="1" applyAlignment="1">
      <alignment vertical="top" wrapText="1"/>
    </xf>
    <xf numFmtId="0" fontId="1" fillId="0" borderId="0" xfId="0" applyFont="1" applyAlignment="1">
      <alignment vertical="top" wrapText="1"/>
    </xf>
    <xf numFmtId="49" fontId="0" fillId="5" borderId="0" xfId="0" applyNumberFormat="1" applyFill="1" applyAlignment="1">
      <alignment horizontal="center"/>
    </xf>
    <xf numFmtId="0" fontId="0" fillId="0" borderId="0" xfId="0" quotePrefix="1" applyAlignment="1">
      <alignment horizontal="right"/>
    </xf>
    <xf numFmtId="0" fontId="0" fillId="0" borderId="0" xfId="0" applyAlignment="1">
      <alignment horizontal="left" wrapText="1"/>
    </xf>
    <xf numFmtId="0" fontId="0" fillId="0" borderId="0" xfId="0" applyAlignment="1">
      <alignment horizontal="right" wrapText="1"/>
    </xf>
    <xf numFmtId="0" fontId="16" fillId="0" borderId="0" xfId="0" applyFont="1"/>
    <xf numFmtId="0" fontId="1" fillId="9" borderId="0" xfId="0" applyFont="1" applyFill="1" applyAlignment="1">
      <alignment horizontal="center"/>
    </xf>
    <xf numFmtId="0" fontId="1" fillId="10" borderId="0" xfId="0" applyFont="1" applyFill="1" applyAlignment="1">
      <alignment horizontal="center" wrapText="1"/>
    </xf>
    <xf numFmtId="0" fontId="0" fillId="0" borderId="0" xfId="0" applyAlignment="1">
      <alignment horizontal="center" vertical="center"/>
    </xf>
    <xf numFmtId="0" fontId="0" fillId="3" borderId="0" xfId="0" applyFill="1" applyAlignment="1">
      <alignment horizontal="center"/>
    </xf>
    <xf numFmtId="0" fontId="0" fillId="5" borderId="8" xfId="0" applyFill="1" applyBorder="1" applyAlignment="1">
      <alignment horizontal="center" wrapText="1"/>
    </xf>
    <xf numFmtId="1" fontId="4" fillId="5" borderId="2" xfId="0" applyNumberFormat="1" applyFont="1" applyFill="1" applyBorder="1" applyAlignment="1">
      <alignment horizontal="center"/>
    </xf>
    <xf numFmtId="1" fontId="4" fillId="5" borderId="7" xfId="0" applyNumberFormat="1" applyFont="1" applyFill="1" applyBorder="1" applyAlignment="1">
      <alignment horizontal="center"/>
    </xf>
    <xf numFmtId="0" fontId="0" fillId="0" borderId="0" xfId="0" quotePrefix="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quotePrefix="1" applyAlignment="1">
      <alignment horizontal="left" vertical="center" wrapText="1"/>
    </xf>
    <xf numFmtId="0" fontId="4" fillId="0" borderId="0" xfId="0" applyFont="1" applyAlignment="1">
      <alignment horizontal="center"/>
    </xf>
    <xf numFmtId="0" fontId="18" fillId="0" borderId="0" xfId="0" applyFont="1"/>
    <xf numFmtId="0" fontId="19" fillId="0" borderId="0" xfId="0" applyFont="1"/>
    <xf numFmtId="0" fontId="1" fillId="12" borderId="0" xfId="0" applyFont="1" applyFill="1"/>
    <xf numFmtId="0" fontId="1" fillId="13" borderId="0" xfId="0" applyFont="1" applyFill="1" applyAlignment="1">
      <alignment vertical="center" wrapText="1"/>
    </xf>
    <xf numFmtId="0" fontId="1" fillId="13" borderId="0" xfId="0" applyFont="1" applyFill="1" applyAlignment="1">
      <alignment horizontal="center" vertical="center" wrapText="1"/>
    </xf>
    <xf numFmtId="0" fontId="0" fillId="0" borderId="6" xfId="0" applyBorder="1"/>
    <xf numFmtId="0" fontId="4" fillId="0" borderId="6" xfId="0" applyFont="1" applyBorder="1" applyAlignment="1">
      <alignment horizontal="center"/>
    </xf>
    <xf numFmtId="0" fontId="1" fillId="13" borderId="6" xfId="0" applyFont="1" applyFill="1" applyBorder="1" applyAlignment="1">
      <alignment horizontal="center" vertical="center" wrapText="1"/>
    </xf>
    <xf numFmtId="0" fontId="4" fillId="0" borderId="6" xfId="0" applyFont="1" applyBorder="1"/>
    <xf numFmtId="0" fontId="1" fillId="0" borderId="6" xfId="0" applyFont="1" applyBorder="1"/>
    <xf numFmtId="0" fontId="0" fillId="0" borderId="6" xfId="0" applyBorder="1" applyAlignment="1">
      <alignment horizontal="center"/>
    </xf>
    <xf numFmtId="165" fontId="0" fillId="0" borderId="6" xfId="0" applyNumberFormat="1" applyBorder="1" applyAlignment="1">
      <alignment horizontal="center"/>
    </xf>
    <xf numFmtId="1" fontId="1" fillId="0" borderId="6" xfId="0" applyNumberFormat="1" applyFont="1" applyBorder="1"/>
    <xf numFmtId="0" fontId="20" fillId="0" borderId="0" xfId="0" applyFont="1"/>
    <xf numFmtId="0" fontId="1" fillId="13" borderId="0" xfId="0" applyFont="1" applyFill="1" applyAlignment="1">
      <alignment horizontal="center" vertical="center"/>
    </xf>
    <xf numFmtId="0" fontId="0" fillId="0" borderId="6" xfId="0" applyBorder="1" applyAlignment="1">
      <alignment horizontal="center"/>
      <extLst>
        <ext xmlns:xfpb="http://schemas.microsoft.com/office/spreadsheetml/2022/featurepropertybag" uri="{C7286773-470A-42A8-94C5-96B5CB345126}">
          <xfpb:xfComplement i="0"/>
        </ext>
      </extLst>
    </xf>
    <xf numFmtId="0" fontId="21" fillId="0" borderId="0" xfId="0" applyFont="1" applyAlignment="1">
      <alignment horizontal="center"/>
    </xf>
    <xf numFmtId="0" fontId="1" fillId="0" borderId="0" xfId="0" applyFont="1"/>
    <xf numFmtId="0" fontId="1" fillId="12" borderId="0" xfId="0" applyFont="1" applyFill="1" applyAlignment="1">
      <alignment horizontal="center"/>
    </xf>
    <xf numFmtId="164" fontId="1" fillId="13" borderId="0" xfId="0" applyNumberFormat="1" applyFont="1" applyFill="1" applyAlignment="1">
      <alignment horizontal="center" vertical="center" wrapText="1"/>
    </xf>
    <xf numFmtId="166" fontId="0" fillId="0" borderId="0" xfId="0" applyNumberFormat="1" applyAlignment="1">
      <alignment horizontal="center"/>
    </xf>
    <xf numFmtId="9"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1" fontId="0" fillId="0" borderId="0" xfId="0" applyNumberFormat="1" applyAlignment="1">
      <alignment horizontal="center"/>
    </xf>
    <xf numFmtId="9" fontId="0" fillId="0" borderId="0" xfId="0" applyNumberFormat="1"/>
    <xf numFmtId="2" fontId="0" fillId="0" borderId="0" xfId="0" applyNumberFormat="1" applyAlignment="1">
      <alignment horizontal="center"/>
    </xf>
    <xf numFmtId="169" fontId="0" fillId="0" borderId="0" xfId="0" applyNumberFormat="1" applyAlignment="1">
      <alignment horizontal="center"/>
    </xf>
    <xf numFmtId="0" fontId="4" fillId="8" borderId="0" xfId="0" applyFont="1" applyFill="1" applyAlignment="1">
      <alignment horizontal="center"/>
    </xf>
    <xf numFmtId="0" fontId="1" fillId="13" borderId="0" xfId="0" applyFont="1" applyFill="1" applyAlignment="1">
      <alignment horizontal="center"/>
    </xf>
    <xf numFmtId="0" fontId="22" fillId="0" borderId="0" xfId="0" applyFont="1"/>
    <xf numFmtId="0" fontId="0" fillId="0" borderId="0" xfId="0" applyAlignment="1">
      <alignment horizontal="center" vertical="center" wrapText="1"/>
    </xf>
    <xf numFmtId="0" fontId="4" fillId="8" borderId="0" xfId="0" applyFont="1" applyFill="1" applyAlignment="1">
      <alignment horizontal="center" shrinkToFit="1"/>
    </xf>
    <xf numFmtId="0" fontId="17" fillId="0" borderId="0" xfId="0" applyFont="1"/>
    <xf numFmtId="0" fontId="12" fillId="11" borderId="0" xfId="0" applyFont="1" applyFill="1" applyAlignment="1">
      <alignment vertical="top" wrapText="1"/>
    </xf>
    <xf numFmtId="0" fontId="14" fillId="11" borderId="0" xfId="0" applyFont="1" applyFill="1"/>
    <xf numFmtId="0" fontId="9" fillId="11" borderId="0" xfId="0" applyFont="1" applyFill="1" applyAlignment="1">
      <alignment vertical="center" wrapText="1"/>
    </xf>
    <xf numFmtId="0" fontId="10" fillId="0" borderId="0" xfId="0" applyFont="1" applyAlignment="1">
      <alignment vertical="top" wrapText="1"/>
    </xf>
    <xf numFmtId="0" fontId="1" fillId="6" borderId="0" xfId="0" applyFont="1" applyFill="1" applyAlignment="1">
      <alignment horizontal="center"/>
    </xf>
    <xf numFmtId="0" fontId="15" fillId="5" borderId="3" xfId="0" applyFont="1" applyFill="1" applyBorder="1" applyAlignment="1">
      <alignment horizontal="left" vertical="center" wrapText="1"/>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1" fillId="7" borderId="11" xfId="0" applyFont="1" applyFill="1" applyBorder="1" applyAlignment="1">
      <alignment horizontal="center" wrapText="1"/>
    </xf>
    <xf numFmtId="0" fontId="1" fillId="7" borderId="12" xfId="0" applyFont="1" applyFill="1" applyBorder="1" applyAlignment="1">
      <alignment horizontal="center" wrapText="1"/>
    </xf>
    <xf numFmtId="0" fontId="6" fillId="8" borderId="13" xfId="0" applyFont="1" applyFill="1" applyBorder="1" applyAlignment="1">
      <alignment horizontal="center" wrapText="1"/>
    </xf>
    <xf numFmtId="0" fontId="6" fillId="8" borderId="14" xfId="0" applyFont="1" applyFill="1" applyBorder="1" applyAlignment="1">
      <alignment horizontal="center" wrapText="1"/>
    </xf>
    <xf numFmtId="0" fontId="0" fillId="3" borderId="8" xfId="0" applyFill="1"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1" fillId="10" borderId="0" xfId="0" applyFont="1" applyFill="1" applyAlignment="1">
      <alignment horizontal="center" wrapText="1"/>
    </xf>
    <xf numFmtId="0" fontId="1" fillId="9" borderId="0" xfId="0" applyFont="1" applyFill="1" applyAlignment="1">
      <alignment horizont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0" fontId="0" fillId="2" borderId="9" xfId="0" applyFill="1" applyBorder="1" applyAlignment="1">
      <alignment horizontal="center"/>
    </xf>
    <xf numFmtId="0" fontId="0" fillId="2" borderId="1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0" borderId="0" xfId="0" applyAlignment="1">
      <alignment horizontal="center" vertical="center" wrapText="1"/>
    </xf>
    <xf numFmtId="0" fontId="0" fillId="0" borderId="0" xfId="0" applyAlignment="1">
      <alignment horizontal="left" vertical="center" wrapText="1"/>
    </xf>
    <xf numFmtId="0" fontId="0" fillId="3" borderId="0" xfId="0" applyFill="1" applyAlignment="1">
      <alignment horizontal="center"/>
    </xf>
    <xf numFmtId="0" fontId="6" fillId="11" borderId="0" xfId="0" applyFont="1" applyFill="1" applyAlignment="1">
      <alignment horizontal="center"/>
    </xf>
    <xf numFmtId="0" fontId="6" fillId="11" borderId="0" xfId="0" applyFont="1" applyFill="1"/>
    <xf numFmtId="0" fontId="0" fillId="11" borderId="0" xfId="0" applyFill="1" applyAlignment="1">
      <alignment horizontal="center"/>
    </xf>
  </cellXfs>
  <cellStyles count="1">
    <cellStyle name="Normal" xfId="0" builtinId="0"/>
  </cellStyles>
  <dxfs count="41">
    <dxf>
      <font>
        <color rgb="FF9C0006"/>
      </font>
      <fill>
        <patternFill patternType="solid">
          <fgColor indexed="64"/>
          <bgColor rgb="FFFFC7CE"/>
        </patternFill>
      </fill>
    </dxf>
    <dxf>
      <font>
        <color rgb="FF006100"/>
      </font>
      <fill>
        <patternFill patternType="solid">
          <fgColor indexed="64"/>
          <bgColor rgb="FFC6EFCE"/>
        </patternFill>
      </fill>
    </dxf>
    <dxf>
      <fill>
        <patternFill patternType="solid">
          <fgColor indexed="64"/>
          <bgColor rgb="FFFFC7CE"/>
        </patternFill>
      </fill>
    </dxf>
    <dxf>
      <fill>
        <patternFill patternType="solid">
          <fgColor indexed="64"/>
          <bgColor rgb="FFE2EFDA"/>
        </patternFill>
      </fill>
    </dxf>
    <dxf>
      <font>
        <color rgb="FFBFBFBF"/>
      </font>
      <fill>
        <patternFill patternType="solid">
          <fgColor indexed="64"/>
          <bgColor rgb="FFF2F2F2"/>
        </patternFill>
      </fill>
    </dxf>
    <dxf>
      <font>
        <color rgb="FFBFBFBF"/>
      </font>
      <fill>
        <patternFill patternType="solid">
          <fgColor indexed="64"/>
          <bgColor rgb="FFF2F2F2"/>
        </patternFill>
      </fill>
    </dxf>
    <dxf>
      <fill>
        <patternFill patternType="solid">
          <fgColor indexed="64"/>
          <bgColor rgb="FFFFC7CE"/>
        </patternFill>
      </fill>
    </dxf>
    <dxf>
      <fill>
        <patternFill patternType="solid">
          <fgColor indexed="64"/>
          <bgColor rgb="FFE2EFDA"/>
        </patternFill>
      </fill>
    </dxf>
    <dxf>
      <font>
        <color rgb="FF9C5700"/>
      </font>
      <fill>
        <patternFill patternType="solid">
          <fgColor indexed="64"/>
          <bgColor rgb="FFFFEB9C"/>
        </patternFill>
      </fill>
    </dxf>
    <dxf>
      <font>
        <color rgb="FFA6A6A6"/>
      </font>
    </dxf>
    <dxf>
      <fill>
        <patternFill patternType="solid">
          <fgColor indexed="64"/>
          <bgColor rgb="FFFFC7CE"/>
        </patternFill>
      </fill>
    </dxf>
    <dxf>
      <fill>
        <patternFill patternType="solid">
          <fgColor indexed="64"/>
          <bgColor rgb="FFE2EFDA"/>
        </patternFill>
      </fill>
    </dxf>
    <dxf>
      <fill>
        <patternFill patternType="solid">
          <fgColor indexed="64"/>
          <bgColor rgb="FFFFC7CE"/>
        </patternFill>
      </fill>
    </dxf>
    <dxf>
      <fill>
        <patternFill patternType="solid">
          <fgColor indexed="64"/>
          <bgColor rgb="FFE2EFDA"/>
        </patternFill>
      </fill>
    </dxf>
    <dxf>
      <font>
        <color rgb="FF9C5700"/>
      </font>
      <fill>
        <patternFill patternType="solid">
          <fgColor indexed="64"/>
          <bgColor rgb="FFFFEB9C"/>
        </patternFill>
      </fill>
    </dxf>
    <dxf>
      <font>
        <color rgb="FFA6A6A6"/>
      </font>
    </dxf>
    <dxf>
      <fill>
        <patternFill patternType="solid">
          <fgColor indexed="64"/>
          <bgColor rgb="FFFFC7CE"/>
        </patternFill>
      </fill>
    </dxf>
    <dxf>
      <fill>
        <patternFill patternType="solid">
          <fgColor indexed="64"/>
          <bgColor rgb="FFE2EFDA"/>
        </patternFill>
      </fill>
    </dxf>
    <dxf>
      <fill>
        <patternFill patternType="solid">
          <fgColor indexed="64"/>
          <bgColor rgb="FFFFC7CE"/>
        </patternFill>
      </fill>
    </dxf>
    <dxf>
      <fill>
        <patternFill patternType="solid">
          <fgColor indexed="64"/>
          <bgColor rgb="FFE2EFDA"/>
        </patternFill>
      </fill>
    </dxf>
    <dxf>
      <font>
        <b/>
      </font>
      <fill>
        <patternFill patternType="solid">
          <fgColor indexed="64"/>
          <bgColor rgb="FFC6EFCE"/>
        </patternFill>
      </fill>
    </dxf>
    <dxf>
      <alignment wrapText="1"/>
    </dxf>
    <dxf>
      <alignment horizontal="center"/>
    </dxf>
    <dxf>
      <alignment horizontal="center"/>
    </dxf>
    <dxf>
      <alignment horizontal="center"/>
    </dxf>
    <dxf>
      <font>
        <b/>
        <i val="0"/>
        <strike val="0"/>
        <condense val="0"/>
        <extend val="0"/>
        <outline val="0"/>
        <shadow val="0"/>
        <u val="none"/>
        <vertAlign val="baseline"/>
        <sz val="11"/>
        <color theme="1"/>
        <name val="Aptos Narrow"/>
        <family val="2"/>
        <scheme val="minor"/>
      </font>
      <fill>
        <patternFill patternType="solid">
          <fgColor indexed="64"/>
          <bgColor rgb="FFC6EFCE"/>
        </patternFill>
      </fill>
      <alignment horizontal="general" vertical="center" textRotation="0" wrapText="0" indent="0" justifyLastLine="0" shrinkToFit="0" readingOrder="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rgb="FFC6EFCE"/>
        </patternFill>
      </fill>
      <alignment horizontal="general" vertical="center" textRotation="0" wrapText="0" indent="0" justifyLastLine="0" shrinkToFit="0" readingOrder="0"/>
    </dxf>
    <dxf>
      <alignment vertical="top" wrapText="1"/>
    </dxf>
    <dxf>
      <alignment vertical="top" wrapText="1"/>
    </dxf>
    <dxf>
      <font>
        <b/>
      </font>
      <alignment vertical="top" wrapText="1"/>
    </dxf>
    <dxf>
      <alignment vertical="top" wrapText="1"/>
    </dxf>
    <dxf>
      <font>
        <b/>
        <color rgb="FF000000"/>
      </font>
      <fill>
        <patternFill patternType="solid">
          <fgColor indexed="64"/>
          <bgColor rgb="FFC1F0C8"/>
        </patternFill>
      </fill>
      <alignmen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Army Role Profile (100% = benchmark unit wiped)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Role Score</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Results!$B$81:$B$87</c:f>
              <c:strCache>
                <c:ptCount val="7"/>
                <c:pt idx="0">
                  <c:v>Anti-Horde</c:v>
                </c:pt>
                <c:pt idx="1">
                  <c:v>Anti-Marine</c:v>
                </c:pt>
                <c:pt idx="2">
                  <c:v>Anti-Elite</c:v>
                </c:pt>
                <c:pt idx="3">
                  <c:v>Anti-Heavy Infantry</c:v>
                </c:pt>
                <c:pt idx="4">
                  <c:v>Anti-Vehicle</c:v>
                </c:pt>
                <c:pt idx="5">
                  <c:v>Anti-Monster</c:v>
                </c:pt>
                <c:pt idx="6">
                  <c:v>Anti-Tank</c:v>
                </c:pt>
              </c:strCache>
            </c:strRef>
          </c:cat>
          <c:val>
            <c:numRef>
              <c:f>Results!$K$81:$K$87</c:f>
              <c:numCache>
                <c:formatCode>0%</c:formatCode>
                <c:ptCount val="7"/>
                <c:pt idx="0">
                  <c:v>5.674074074074074</c:v>
                </c:pt>
                <c:pt idx="1">
                  <c:v>5.552777777777778</c:v>
                </c:pt>
                <c:pt idx="2">
                  <c:v>2.4787037037037036</c:v>
                </c:pt>
                <c:pt idx="3">
                  <c:v>4.8091563786008242</c:v>
                </c:pt>
                <c:pt idx="4">
                  <c:v>3.1446759259259256</c:v>
                </c:pt>
                <c:pt idx="5">
                  <c:v>2.6732142857142858</c:v>
                </c:pt>
                <c:pt idx="6">
                  <c:v>1.6695601851851849</c:v>
                </c:pt>
              </c:numCache>
            </c:numRef>
          </c:val>
          <c:extLst>
            <c:ext xmlns:c16="http://schemas.microsoft.com/office/drawing/2014/chart" uri="{C3380CC4-5D6E-409C-BE32-E72D297353CC}">
              <c16:uniqueId val="{00000001-21ED-4482-9B69-EE9C8E761C6F}"/>
            </c:ext>
          </c:extLst>
        </c:ser>
        <c:dLbls>
          <c:showLegendKey val="0"/>
          <c:showVal val="0"/>
          <c:showCatName val="0"/>
          <c:showSerName val="0"/>
          <c:showPercent val="0"/>
          <c:showBubbleSize val="0"/>
        </c:dLbls>
        <c:axId val="846922128"/>
        <c:axId val="1427361231"/>
      </c:radarChart>
      <c:catAx>
        <c:axId val="84692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361231"/>
        <c:crosses val="autoZero"/>
        <c:auto val="1"/>
        <c:lblAlgn val="ctr"/>
        <c:lblOffset val="100"/>
        <c:noMultiLvlLbl val="0"/>
      </c:catAx>
      <c:valAx>
        <c:axId val="1427361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92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Points Efficiency – avg % of target destroyed per 100 pts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 per 100 pts</c:v>
          </c:tx>
          <c:spPr>
            <a:solidFill>
              <a:srgbClr val="5B9BD5"/>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Results!$B$42:$B$56</c:f>
              <c:strCache>
                <c:ptCount val="9"/>
                <c:pt idx="0">
                  <c:v>Plague Marines (Ranged)</c:v>
                </c:pt>
                <c:pt idx="1">
                  <c:v>Plague Marines (Meele)</c:v>
                </c:pt>
                <c:pt idx="2">
                  <c:v>Deathshroud Terminators</c:v>
                </c:pt>
                <c:pt idx="3">
                  <c:v>Lord of Contagion</c:v>
                </c:pt>
                <c:pt idx="4">
                  <c:v>Typhus</c:v>
                </c:pt>
                <c:pt idx="5">
                  <c:v>Myphitic Blight Hauler</c:v>
                </c:pt>
                <c:pt idx="6">
                  <c:v>Tallyman</c:v>
                </c:pt>
                <c:pt idx="7">
                  <c:v>Lord of Poxes</c:v>
                </c:pt>
                <c:pt idx="8">
                  <c:v>Chaos Spawn</c:v>
                </c:pt>
              </c:strCache>
            </c:strRef>
          </c:cat>
          <c:val>
            <c:numRef>
              <c:f>Results!$T$42:$T$56</c:f>
              <c:numCache>
                <c:formatCode>0.0%</c:formatCode>
                <c:ptCount val="15"/>
                <c:pt idx="0">
                  <c:v>0.32272503290360433</c:v>
                </c:pt>
                <c:pt idx="1">
                  <c:v>0.43229091014805293</c:v>
                </c:pt>
                <c:pt idx="2">
                  <c:v>0.5164171630838299</c:v>
                </c:pt>
                <c:pt idx="3">
                  <c:v>0.33249040521767798</c:v>
                </c:pt>
                <c:pt idx="4">
                  <c:v>0.75726999338110434</c:v>
                </c:pt>
                <c:pt idx="5">
                  <c:v>8.9320669583827492E-2</c:v>
                </c:pt>
                <c:pt idx="6">
                  <c:v>6.8127979702053768E-2</c:v>
                </c:pt>
                <c:pt idx="7">
                  <c:v>0.58537481037481043</c:v>
                </c:pt>
                <c:pt idx="8">
                  <c:v>0.24160466269841269</c:v>
                </c:pt>
                <c:pt idx="9">
                  <c:v>0</c:v>
                </c:pt>
                <c:pt idx="10">
                  <c:v>0</c:v>
                </c:pt>
                <c:pt idx="11">
                  <c:v>0</c:v>
                </c:pt>
                <c:pt idx="12">
                  <c:v>0</c:v>
                </c:pt>
                <c:pt idx="13">
                  <c:v>0</c:v>
                </c:pt>
                <c:pt idx="14">
                  <c:v>0</c:v>
                </c:pt>
              </c:numCache>
            </c:numRef>
          </c:val>
          <c:extLst>
            <c:ext xmlns:c16="http://schemas.microsoft.com/office/drawing/2014/chart" uri="{C3380CC4-5D6E-409C-BE32-E72D297353CC}">
              <c16:uniqueId val="{00000000-945A-48A3-8A25-B345AE9BB7DC}"/>
            </c:ext>
          </c:extLst>
        </c:ser>
        <c:dLbls>
          <c:showLegendKey val="0"/>
          <c:showVal val="0"/>
          <c:showCatName val="0"/>
          <c:showSerName val="0"/>
          <c:showPercent val="0"/>
          <c:showBubbleSize val="0"/>
        </c:dLbls>
        <c:gapWidth val="60"/>
        <c:axId val="1221973055"/>
        <c:axId val="1427338671"/>
      </c:barChart>
      <c:catAx>
        <c:axId val="122197305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338671"/>
        <c:crosses val="autoZero"/>
        <c:auto val="1"/>
        <c:lblAlgn val="ctr"/>
        <c:lblOffset val="100"/>
        <c:noMultiLvlLbl val="0"/>
      </c:catAx>
      <c:valAx>
        <c:axId val="1427338671"/>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97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0</xdr:colOff>
      <xdr:row>78</xdr:row>
      <xdr:rowOff>0</xdr:rowOff>
    </xdr:from>
    <xdr:to>
      <xdr:col>20</xdr:col>
      <xdr:colOff>0</xdr:colOff>
      <xdr:row>99</xdr:row>
      <xdr:rowOff>0</xdr:rowOff>
    </xdr:to>
    <xdr:graphicFrame macro="">
      <xdr:nvGraphicFramePr>
        <xdr:cNvPr id="2" name="RoleRadar">
          <a:extLst>
            <a:ext uri="{FF2B5EF4-FFF2-40B4-BE49-F238E27FC236}">
              <a16:creationId xmlns:a16="http://schemas.microsoft.com/office/drawing/2014/main" id="{4A4426D9-C8BE-7269-19CF-B54A79CD7A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58</xdr:row>
      <xdr:rowOff>0</xdr:rowOff>
    </xdr:from>
    <xdr:to>
      <xdr:col>18</xdr:col>
      <xdr:colOff>0</xdr:colOff>
      <xdr:row>76</xdr:row>
      <xdr:rowOff>0</xdr:rowOff>
    </xdr:to>
    <xdr:graphicFrame macro="">
      <xdr:nvGraphicFramePr>
        <xdr:cNvPr id="3" name="PointsEfficiency">
          <a:extLst>
            <a:ext uri="{FF2B5EF4-FFF2-40B4-BE49-F238E27FC236}">
              <a16:creationId xmlns:a16="http://schemas.microsoft.com/office/drawing/2014/main" id="{B8907A3E-9AB6-83E5-CE34-E9FF313D2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F1D424-E140-420C-A14A-A84B8566A550}" name="Approximations" displayName="Approximations" ref="B56:D68" totalsRowShown="0" headerRowDxfId="40" dataDxfId="39">
  <autoFilter ref="B56:D68" xr:uid="{39F1D424-E140-420C-A14A-A84B8566A550}">
    <filterColumn colId="0" hiddenButton="1"/>
    <filterColumn colId="1" hiddenButton="1"/>
    <filterColumn colId="2" hiddenButton="1"/>
  </autoFilter>
  <tableColumns count="3">
    <tableColumn id="1" xr3:uid="{511832BF-2AE5-4D45-9A5A-87E5C3857B64}" name="Area" dataDxfId="38"/>
    <tableColumn id="2" xr3:uid="{BE46303A-4930-43C4-A85A-A7D22F5E304D}" name="How the simulator handles it" dataDxfId="37"/>
    <tableColumn id="3" xr3:uid="{65F6B53A-6DE8-42DC-98E7-B74E385EE73B}" name="What it means for you" dataDxfId="36"/>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021EE7-945C-47CD-84C4-0D8AA0586114}" name="Keywords" displayName="Keywords" ref="B2:I53" totalsRowShown="0" headerRowDxfId="35" dataDxfId="34">
  <autoFilter ref="B2:I53" xr:uid="{7F021EE7-945C-47CD-84C4-0D8AA0586114}"/>
  <tableColumns count="8">
    <tableColumn id="1" xr3:uid="{4F75B3EB-9D61-4963-9962-F969741CF3CE}" name="Keyword" dataDxfId="33"/>
    <tableColumn id="2" xr3:uid="{AF9274EB-75D1-4CCC-B4DE-2B6AC5F76EA4}" name="Category" dataDxfId="32"/>
    <tableColumn id="3" xr3:uid="{6CA6F9C1-BAED-454F-AFF0-B245A87DD9EA}" name="Applies To" dataDxfId="31"/>
    <tableColumn id="4" xr3:uid="{3013DE56-6A6B-4F16-AC59-45FA32065BCD}" name="Format" dataDxfId="30"/>
    <tableColumn id="5" xr3:uid="{EA8D6ACF-95AE-47CB-B1B3-E3AB50E07F45}" name="Rule Summary" dataDxfId="29"/>
    <tableColumn id="6" xr3:uid="{B547C019-E652-4B3A-A629-0D8AF8951F5F}" name="Sim Step" dataDxfId="28"/>
    <tableColumn id="7" xr3:uid="{28BB7205-FBC5-4E2D-8CAD-A3A244F0C9F5}" name="Modelled in Sim?" dataDxfId="27"/>
    <tableColumn id="8" xr3:uid="{AB70E1B1-10AF-485B-9AA2-E6004D68DD35}" name="Rule Ref" dataDxfId="26"/>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4E9337-08F8-4FC4-AC85-D5C2FABA5B46}" name="CoreStratagems" displayName="CoreStratagems" ref="B63:G73" totalsRowShown="0" headerRowDxfId="25">
  <autoFilter ref="B63:G73" xr:uid="{374E9337-08F8-4FC4-AC85-D5C2FABA5B46}"/>
  <tableColumns count="6">
    <tableColumn id="1" xr3:uid="{743F69E1-5D82-4583-9224-08B3098A8BA0}" name="Stratagem"/>
    <tableColumn id="2" xr3:uid="{EC7484F2-FAEB-400C-84C7-A7EDBEFE96D6}" name="CP" dataDxfId="24"/>
    <tableColumn id="3" xr3:uid="{B9EB8982-A978-4B10-9E6E-008CDFC3D0B0}" name="Applies To" dataDxfId="23"/>
    <tableColumn id="4" xr3:uid="{7E19F3DB-9C66-48D3-B6AB-047DADCD6760}" name="Phase" dataDxfId="22"/>
    <tableColumn id="5" xr3:uid="{5CDCAC12-DAD3-4D58-BB31-A2B90A353341}" name="Modifier"/>
    <tableColumn id="6" xr3:uid="{08B376C9-CCE3-48EB-956D-57D1023E1B52}" name="Notes" dataDxfId="21"/>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FB9FD7-1EE3-4F07-AABF-6E38A673BED5}" name="Factions" displayName="Factions" ref="N2:N10" totalsRowShown="0" headerRowDxfId="20">
  <autoFilter ref="N2:N10" xr:uid="{2AFB9FD7-1EE3-4F07-AABF-6E38A673BED5}">
    <filterColumn colId="0" hiddenButton="1"/>
  </autoFilter>
  <tableColumns count="1">
    <tableColumn id="1" xr3:uid="{66DD4ABD-B95E-490C-A0AA-0A83D41A9054}" name="Fac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B1E43D3-315F-408E-ACA9-6B797B005027}">
  <we:reference id="wa200009404" version="1.0.0.8" store="en-US" storeType="OMEX"/>
  <we:alternateReferences>
    <we:reference id="WA200009404" version="1.0.0.8" store="WA200009404" storeType="OMEX"/>
  </we:alternateReferences>
  <we:properties>
    <we:property name="claude.fileId" value="&quot;f16639ae-f6e4-4ebf-81fc-f7821df3eca6&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vmlDrawing" Target="../drawings/vmlDrawing1.v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EF948-291F-4A01-8D0C-25ACAF424B08}">
  <sheetPr>
    <tabColor rgb="FF7030A0"/>
  </sheetPr>
  <dimension ref="B2:D68"/>
  <sheetViews>
    <sheetView showGridLines="0" workbookViewId="0">
      <selection activeCell="C23" sqref="C23"/>
    </sheetView>
  </sheetViews>
  <sheetFormatPr defaultRowHeight="15" x14ac:dyDescent="0.25"/>
  <cols>
    <col min="1" max="1" width="2.7109375" customWidth="1"/>
    <col min="2" max="2" width="35.28515625" customWidth="1"/>
    <col min="3" max="3" width="114.7109375" customWidth="1"/>
    <col min="4" max="4" width="70.28515625" customWidth="1"/>
  </cols>
  <sheetData>
    <row r="2" spans="2:3" ht="24" x14ac:dyDescent="0.25">
      <c r="B2" s="102" t="s">
        <v>0</v>
      </c>
      <c r="C2" s="102"/>
    </row>
    <row r="3" spans="2:3" ht="48" customHeight="1" x14ac:dyDescent="0.25">
      <c r="B3" s="103" t="s">
        <v>1</v>
      </c>
      <c r="C3" s="103"/>
    </row>
    <row r="4" spans="2:3" ht="15" customHeight="1" x14ac:dyDescent="0.25">
      <c r="B4" s="41"/>
      <c r="C4" s="41"/>
    </row>
    <row r="5" spans="2:3" ht="17.25" x14ac:dyDescent="0.25">
      <c r="B5" s="100" t="s">
        <v>2</v>
      </c>
      <c r="C5" s="100"/>
    </row>
    <row r="6" spans="2:3" x14ac:dyDescent="0.25">
      <c r="B6" s="42" t="s">
        <v>3</v>
      </c>
      <c r="C6" s="41" t="s">
        <v>4</v>
      </c>
    </row>
    <row r="7" spans="2:3" x14ac:dyDescent="0.25">
      <c r="B7" s="45" t="s">
        <v>5</v>
      </c>
      <c r="C7" s="46" t="s">
        <v>6</v>
      </c>
    </row>
    <row r="8" spans="2:3" ht="30" x14ac:dyDescent="0.25">
      <c r="B8" s="45" t="s">
        <v>575</v>
      </c>
      <c r="C8" s="46" t="s">
        <v>576</v>
      </c>
    </row>
    <row r="9" spans="2:3" ht="30" x14ac:dyDescent="0.25">
      <c r="B9" s="45" t="s">
        <v>119</v>
      </c>
      <c r="C9" s="46" t="s">
        <v>623</v>
      </c>
    </row>
    <row r="10" spans="2:3" ht="30" x14ac:dyDescent="0.25">
      <c r="B10" s="45" t="s">
        <v>7</v>
      </c>
      <c r="C10" s="46" t="s">
        <v>8</v>
      </c>
    </row>
    <row r="11" spans="2:3" ht="15" customHeight="1" x14ac:dyDescent="0.25">
      <c r="B11" s="43" t="s">
        <v>9</v>
      </c>
      <c r="C11" s="44" t="s">
        <v>10</v>
      </c>
    </row>
    <row r="12" spans="2:3" x14ac:dyDescent="0.25">
      <c r="B12" s="41"/>
      <c r="C12" s="41"/>
    </row>
    <row r="13" spans="2:3" ht="17.25" x14ac:dyDescent="0.25">
      <c r="B13" s="100" t="s">
        <v>11</v>
      </c>
      <c r="C13" s="100"/>
    </row>
    <row r="14" spans="2:3" ht="60" x14ac:dyDescent="0.25">
      <c r="B14" s="42" t="s">
        <v>503</v>
      </c>
      <c r="C14" s="41" t="s">
        <v>504</v>
      </c>
    </row>
    <row r="15" spans="2:3" ht="60" x14ac:dyDescent="0.25">
      <c r="B15" s="45" t="s">
        <v>12</v>
      </c>
      <c r="C15" s="46" t="s">
        <v>574</v>
      </c>
    </row>
    <row r="16" spans="2:3" ht="30" x14ac:dyDescent="0.25">
      <c r="B16" s="45" t="s">
        <v>13</v>
      </c>
      <c r="C16" s="46" t="s">
        <v>505</v>
      </c>
    </row>
    <row r="17" spans="2:3" ht="15" customHeight="1" x14ac:dyDescent="0.25">
      <c r="B17" s="43" t="s">
        <v>14</v>
      </c>
      <c r="C17" s="44" t="s">
        <v>15</v>
      </c>
    </row>
    <row r="18" spans="2:3" x14ac:dyDescent="0.25">
      <c r="B18" s="41"/>
      <c r="C18" s="41"/>
    </row>
    <row r="19" spans="2:3" ht="17.25" x14ac:dyDescent="0.25">
      <c r="B19" s="100" t="s">
        <v>16</v>
      </c>
      <c r="C19" s="100"/>
    </row>
    <row r="20" spans="2:3" x14ac:dyDescent="0.25">
      <c r="B20" s="42" t="s">
        <v>17</v>
      </c>
      <c r="C20" s="41" t="s">
        <v>18</v>
      </c>
    </row>
    <row r="21" spans="2:3" x14ac:dyDescent="0.25">
      <c r="B21" s="45" t="s">
        <v>19</v>
      </c>
      <c r="C21" s="46" t="s">
        <v>20</v>
      </c>
    </row>
    <row r="22" spans="2:3" x14ac:dyDescent="0.25">
      <c r="B22" s="45" t="s">
        <v>21</v>
      </c>
      <c r="C22" s="46" t="s">
        <v>22</v>
      </c>
    </row>
    <row r="23" spans="2:3" x14ac:dyDescent="0.25">
      <c r="B23" s="45" t="s">
        <v>23</v>
      </c>
      <c r="C23" s="46" t="s">
        <v>24</v>
      </c>
    </row>
    <row r="24" spans="2:3" ht="45" x14ac:dyDescent="0.25">
      <c r="B24" s="45" t="s">
        <v>25</v>
      </c>
      <c r="C24" s="46" t="s">
        <v>26</v>
      </c>
    </row>
    <row r="25" spans="2:3" ht="15" customHeight="1" x14ac:dyDescent="0.25">
      <c r="B25" s="43" t="s">
        <v>27</v>
      </c>
      <c r="C25" s="44" t="s">
        <v>28</v>
      </c>
    </row>
    <row r="26" spans="2:3" x14ac:dyDescent="0.25">
      <c r="B26" s="41"/>
      <c r="C26" s="41"/>
    </row>
    <row r="27" spans="2:3" ht="17.25" x14ac:dyDescent="0.25">
      <c r="B27" s="100" t="s">
        <v>29</v>
      </c>
      <c r="C27" s="100"/>
    </row>
    <row r="28" spans="2:3" x14ac:dyDescent="0.25">
      <c r="B28" s="42" t="s">
        <v>30</v>
      </c>
      <c r="C28" s="41" t="s">
        <v>31</v>
      </c>
    </row>
    <row r="29" spans="2:3" ht="30" x14ac:dyDescent="0.25">
      <c r="B29" s="45" t="s">
        <v>32</v>
      </c>
      <c r="C29" s="46" t="s">
        <v>33</v>
      </c>
    </row>
    <row r="30" spans="2:3" ht="45" x14ac:dyDescent="0.25">
      <c r="B30" s="45" t="s">
        <v>34</v>
      </c>
      <c r="C30" s="46" t="s">
        <v>35</v>
      </c>
    </row>
    <row r="31" spans="2:3" ht="30" x14ac:dyDescent="0.25">
      <c r="B31" s="45" t="s">
        <v>36</v>
      </c>
      <c r="C31" s="46" t="s">
        <v>494</v>
      </c>
    </row>
    <row r="32" spans="2:3" ht="45" x14ac:dyDescent="0.25">
      <c r="B32" s="45" t="s">
        <v>37</v>
      </c>
      <c r="C32" s="46" t="s">
        <v>38</v>
      </c>
    </row>
    <row r="33" spans="2:3" ht="15" customHeight="1" x14ac:dyDescent="0.25">
      <c r="B33" s="43" t="s">
        <v>39</v>
      </c>
      <c r="C33" s="44" t="s">
        <v>495</v>
      </c>
    </row>
    <row r="34" spans="2:3" x14ac:dyDescent="0.25">
      <c r="B34" s="41"/>
      <c r="C34" s="41"/>
    </row>
    <row r="35" spans="2:3" ht="17.25" x14ac:dyDescent="0.25">
      <c r="B35" s="100" t="s">
        <v>40</v>
      </c>
      <c r="C35" s="100"/>
    </row>
    <row r="36" spans="2:3" ht="45" x14ac:dyDescent="0.25">
      <c r="B36" s="42" t="s">
        <v>506</v>
      </c>
      <c r="C36" s="41" t="s">
        <v>41</v>
      </c>
    </row>
    <row r="37" spans="2:3" x14ac:dyDescent="0.25">
      <c r="B37" s="45" t="s">
        <v>507</v>
      </c>
      <c r="C37" s="46" t="s">
        <v>42</v>
      </c>
    </row>
    <row r="38" spans="2:3" ht="15" customHeight="1" x14ac:dyDescent="0.25">
      <c r="B38" s="43" t="s">
        <v>43</v>
      </c>
      <c r="C38" s="44" t="s">
        <v>44</v>
      </c>
    </row>
    <row r="39" spans="2:3" ht="15" customHeight="1" x14ac:dyDescent="0.25">
      <c r="B39" s="41"/>
      <c r="C39" s="41"/>
    </row>
    <row r="40" spans="2:3" ht="17.25" x14ac:dyDescent="0.25">
      <c r="B40" s="100" t="s">
        <v>564</v>
      </c>
      <c r="C40" s="100"/>
    </row>
    <row r="41" spans="2:3" ht="30" x14ac:dyDescent="0.25">
      <c r="B41" s="42" t="s">
        <v>565</v>
      </c>
      <c r="C41" s="41" t="s">
        <v>566</v>
      </c>
    </row>
    <row r="42" spans="2:3" ht="45" x14ac:dyDescent="0.25">
      <c r="B42" s="45" t="s">
        <v>567</v>
      </c>
      <c r="C42" s="46" t="s">
        <v>621</v>
      </c>
    </row>
    <row r="43" spans="2:3" ht="15" customHeight="1" x14ac:dyDescent="0.25">
      <c r="B43" s="43" t="s">
        <v>568</v>
      </c>
      <c r="C43" s="44" t="s">
        <v>569</v>
      </c>
    </row>
    <row r="44" spans="2:3" ht="15" customHeight="1" x14ac:dyDescent="0.25">
      <c r="B44" s="42" t="s">
        <v>570</v>
      </c>
      <c r="C44" s="41" t="s">
        <v>571</v>
      </c>
    </row>
    <row r="45" spans="2:3" ht="15" customHeight="1" x14ac:dyDescent="0.25">
      <c r="B45" s="42" t="s">
        <v>622</v>
      </c>
      <c r="C45" s="41" t="s">
        <v>625</v>
      </c>
    </row>
    <row r="47" spans="2:3" ht="17.25" x14ac:dyDescent="0.25">
      <c r="B47" s="100" t="s">
        <v>572</v>
      </c>
      <c r="C47" s="100"/>
    </row>
    <row r="48" spans="2:3" x14ac:dyDescent="0.25">
      <c r="B48" s="42" t="s">
        <v>45</v>
      </c>
      <c r="C48" s="41" t="s">
        <v>46</v>
      </c>
    </row>
    <row r="49" spans="2:4" x14ac:dyDescent="0.25">
      <c r="B49" s="45" t="s">
        <v>47</v>
      </c>
      <c r="C49" s="46" t="s">
        <v>48</v>
      </c>
    </row>
    <row r="50" spans="2:4" ht="30" x14ac:dyDescent="0.25">
      <c r="B50" s="45" t="s">
        <v>49</v>
      </c>
      <c r="C50" s="46" t="s">
        <v>50</v>
      </c>
    </row>
    <row r="51" spans="2:4" ht="30" x14ac:dyDescent="0.25">
      <c r="B51" s="45" t="s">
        <v>51</v>
      </c>
      <c r="C51" s="46" t="s">
        <v>52</v>
      </c>
    </row>
    <row r="52" spans="2:4" ht="45" x14ac:dyDescent="0.25">
      <c r="B52" s="45" t="s">
        <v>53</v>
      </c>
      <c r="C52" s="46" t="s">
        <v>54</v>
      </c>
    </row>
    <row r="53" spans="2:4" ht="15" customHeight="1" x14ac:dyDescent="0.25">
      <c r="B53" s="43" t="s">
        <v>55</v>
      </c>
      <c r="C53" s="44" t="s">
        <v>56</v>
      </c>
    </row>
    <row r="54" spans="2:4" ht="17.45" customHeight="1" x14ac:dyDescent="0.25"/>
    <row r="55" spans="2:4" ht="17.25" x14ac:dyDescent="0.3">
      <c r="B55" s="101" t="s">
        <v>573</v>
      </c>
      <c r="C55" s="101"/>
      <c r="D55" s="101"/>
    </row>
    <row r="56" spans="2:4" x14ac:dyDescent="0.25">
      <c r="B56" s="47" t="s">
        <v>57</v>
      </c>
      <c r="C56" s="47" t="s">
        <v>58</v>
      </c>
      <c r="D56" s="47" t="s">
        <v>59</v>
      </c>
    </row>
    <row r="57" spans="2:4" ht="30" x14ac:dyDescent="0.25">
      <c r="B57" s="48" t="s">
        <v>60</v>
      </c>
      <c r="C57" s="40" t="s">
        <v>61</v>
      </c>
      <c r="D57" s="40" t="s">
        <v>62</v>
      </c>
    </row>
    <row r="58" spans="2:4" ht="30" x14ac:dyDescent="0.25">
      <c r="B58" s="48" t="s">
        <v>63</v>
      </c>
      <c r="C58" s="40" t="s">
        <v>64</v>
      </c>
      <c r="D58" s="40" t="s">
        <v>65</v>
      </c>
    </row>
    <row r="59" spans="2:4" x14ac:dyDescent="0.25">
      <c r="B59" s="48" t="s">
        <v>66</v>
      </c>
      <c r="C59" s="40" t="s">
        <v>67</v>
      </c>
      <c r="D59" s="40" t="s">
        <v>68</v>
      </c>
    </row>
    <row r="60" spans="2:4" x14ac:dyDescent="0.25">
      <c r="B60" s="48" t="s">
        <v>47</v>
      </c>
      <c r="C60" s="40" t="s">
        <v>69</v>
      </c>
      <c r="D60" s="40" t="s">
        <v>70</v>
      </c>
    </row>
    <row r="61" spans="2:4" x14ac:dyDescent="0.25">
      <c r="B61" s="48" t="s">
        <v>71</v>
      </c>
      <c r="C61" s="40" t="s">
        <v>72</v>
      </c>
      <c r="D61" s="40" t="s">
        <v>73</v>
      </c>
    </row>
    <row r="62" spans="2:4" x14ac:dyDescent="0.25">
      <c r="B62" s="48" t="s">
        <v>74</v>
      </c>
      <c r="C62" s="40" t="s">
        <v>75</v>
      </c>
      <c r="D62" s="40" t="s">
        <v>76</v>
      </c>
    </row>
    <row r="63" spans="2:4" x14ac:dyDescent="0.25">
      <c r="B63" s="48" t="s">
        <v>77</v>
      </c>
      <c r="C63" s="40" t="s">
        <v>78</v>
      </c>
      <c r="D63" s="40" t="s">
        <v>79</v>
      </c>
    </row>
    <row r="64" spans="2:4" x14ac:dyDescent="0.25">
      <c r="B64" s="48" t="s">
        <v>80</v>
      </c>
      <c r="C64" s="40" t="s">
        <v>81</v>
      </c>
      <c r="D64" s="40" t="s">
        <v>82</v>
      </c>
    </row>
    <row r="65" spans="2:4" x14ac:dyDescent="0.25">
      <c r="B65" s="48" t="s">
        <v>83</v>
      </c>
      <c r="C65" s="40" t="s">
        <v>84</v>
      </c>
      <c r="D65" s="40" t="s">
        <v>85</v>
      </c>
    </row>
    <row r="66" spans="2:4" ht="30" x14ac:dyDescent="0.25">
      <c r="B66" s="48" t="s">
        <v>86</v>
      </c>
      <c r="C66" s="40" t="s">
        <v>87</v>
      </c>
      <c r="D66" s="40" t="s">
        <v>88</v>
      </c>
    </row>
    <row r="67" spans="2:4" x14ac:dyDescent="0.25">
      <c r="B67" s="48" t="s">
        <v>55</v>
      </c>
      <c r="C67" s="40" t="s">
        <v>89</v>
      </c>
      <c r="D67" s="40" t="s">
        <v>90</v>
      </c>
    </row>
    <row r="68" spans="2:4" x14ac:dyDescent="0.25">
      <c r="B68" s="48" t="s">
        <v>91</v>
      </c>
      <c r="C68" s="40" t="s">
        <v>92</v>
      </c>
      <c r="D68" s="40" t="s">
        <v>93</v>
      </c>
    </row>
  </sheetData>
  <mergeCells count="10">
    <mergeCell ref="B35:C35"/>
    <mergeCell ref="B47:C47"/>
    <mergeCell ref="B55:D55"/>
    <mergeCell ref="B2:C2"/>
    <mergeCell ref="B3:C3"/>
    <mergeCell ref="B5:C5"/>
    <mergeCell ref="B13:C13"/>
    <mergeCell ref="B19:C19"/>
    <mergeCell ref="B27:C27"/>
    <mergeCell ref="B40:C40"/>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620F9-EAE7-4A5C-ADCD-A5853B1BB364}">
  <sheetPr>
    <tabColor rgb="FF7030A0"/>
  </sheetPr>
  <dimension ref="B2:N73"/>
  <sheetViews>
    <sheetView workbookViewId="0">
      <pane ySplit="2" topLeftCell="A3" activePane="bottomLeft" state="frozen"/>
      <selection pane="bottomLeft" activeCell="I19" sqref="I19"/>
    </sheetView>
  </sheetViews>
  <sheetFormatPr defaultRowHeight="15" x14ac:dyDescent="0.25"/>
  <cols>
    <col min="2" max="2" width="20.28515625" customWidth="1"/>
    <col min="3" max="3" width="11.140625" customWidth="1"/>
    <col min="4" max="4" width="11.42578125" customWidth="1"/>
    <col min="5" max="5" width="24.140625" customWidth="1"/>
    <col min="6" max="6" width="70.28515625" customWidth="1"/>
    <col min="7" max="7" width="15.7109375" customWidth="1"/>
    <col min="8" max="8" width="17.140625" customWidth="1"/>
    <col min="9" max="9" width="10.28515625" customWidth="1"/>
    <col min="10" max="10" width="3.7109375" customWidth="1"/>
    <col min="11" max="11" width="70.28515625" customWidth="1"/>
    <col min="12" max="12" width="38.85546875" customWidth="1"/>
    <col min="14" max="14" width="22.28515625" customWidth="1"/>
  </cols>
  <sheetData>
    <row r="2" spans="2:14" x14ac:dyDescent="0.25">
      <c r="B2" s="8" t="s">
        <v>269</v>
      </c>
      <c r="C2" s="8" t="s">
        <v>270</v>
      </c>
      <c r="D2" s="8" t="s">
        <v>192</v>
      </c>
      <c r="E2" s="8" t="s">
        <v>271</v>
      </c>
      <c r="F2" s="8" t="s">
        <v>272</v>
      </c>
      <c r="G2" s="8" t="s">
        <v>273</v>
      </c>
      <c r="H2" s="8" t="s">
        <v>274</v>
      </c>
      <c r="I2" s="8" t="s">
        <v>275</v>
      </c>
      <c r="K2" s="104" t="s">
        <v>276</v>
      </c>
      <c r="L2" s="104"/>
      <c r="N2" s="7" t="s">
        <v>94</v>
      </c>
    </row>
    <row r="3" spans="2:14" x14ac:dyDescent="0.25">
      <c r="B3" s="4" t="s">
        <v>277</v>
      </c>
      <c r="C3" s="56" t="s">
        <v>122</v>
      </c>
      <c r="D3" s="56" t="s">
        <v>278</v>
      </c>
      <c r="E3" s="4" t="s">
        <v>279</v>
      </c>
      <c r="F3" s="9" t="s">
        <v>280</v>
      </c>
      <c r="G3" s="56" t="s">
        <v>281</v>
      </c>
      <c r="H3" s="56" t="s">
        <v>117</v>
      </c>
      <c r="I3" s="10" t="s">
        <v>282</v>
      </c>
      <c r="K3" s="11" t="s">
        <v>191</v>
      </c>
      <c r="L3" s="11" t="s">
        <v>283</v>
      </c>
      <c r="N3" t="s">
        <v>116</v>
      </c>
    </row>
    <row r="4" spans="2:14" x14ac:dyDescent="0.25">
      <c r="B4" s="4" t="s">
        <v>284</v>
      </c>
      <c r="C4" s="56" t="s">
        <v>122</v>
      </c>
      <c r="D4" s="56" t="s">
        <v>200</v>
      </c>
      <c r="E4" s="4" t="s">
        <v>284</v>
      </c>
      <c r="F4" s="9" t="s">
        <v>285</v>
      </c>
      <c r="G4" s="56" t="s">
        <v>286</v>
      </c>
      <c r="H4" s="56" t="s">
        <v>118</v>
      </c>
      <c r="I4" s="10" t="s">
        <v>287</v>
      </c>
      <c r="K4" t="s">
        <v>288</v>
      </c>
      <c r="L4" t="s">
        <v>289</v>
      </c>
      <c r="N4" t="s">
        <v>290</v>
      </c>
    </row>
    <row r="5" spans="2:14" x14ac:dyDescent="0.25">
      <c r="B5" s="4" t="s">
        <v>151</v>
      </c>
      <c r="C5" s="56" t="s">
        <v>122</v>
      </c>
      <c r="D5" s="56" t="s">
        <v>200</v>
      </c>
      <c r="E5" s="4" t="s">
        <v>291</v>
      </c>
      <c r="F5" s="9" t="s">
        <v>292</v>
      </c>
      <c r="G5" s="56" t="s">
        <v>135</v>
      </c>
      <c r="H5" s="56" t="s">
        <v>117</v>
      </c>
      <c r="I5" s="10" t="s">
        <v>293</v>
      </c>
      <c r="K5" t="s">
        <v>294</v>
      </c>
      <c r="L5" t="s">
        <v>20</v>
      </c>
      <c r="N5" t="s">
        <v>295</v>
      </c>
    </row>
    <row r="6" spans="2:14" x14ac:dyDescent="0.25">
      <c r="B6" s="4" t="s">
        <v>152</v>
      </c>
      <c r="C6" s="56" t="s">
        <v>122</v>
      </c>
      <c r="D6" s="56" t="s">
        <v>216</v>
      </c>
      <c r="E6" s="4" t="s">
        <v>296</v>
      </c>
      <c r="F6" s="9" t="s">
        <v>297</v>
      </c>
      <c r="G6" s="56" t="s">
        <v>135</v>
      </c>
      <c r="H6" s="56" t="s">
        <v>117</v>
      </c>
      <c r="I6" s="10" t="s">
        <v>298</v>
      </c>
      <c r="K6" t="s">
        <v>299</v>
      </c>
      <c r="L6" t="s">
        <v>22</v>
      </c>
      <c r="N6" t="s">
        <v>300</v>
      </c>
    </row>
    <row r="7" spans="2:14" ht="30" x14ac:dyDescent="0.25">
      <c r="B7" s="4" t="s">
        <v>301</v>
      </c>
      <c r="C7" s="56" t="s">
        <v>122</v>
      </c>
      <c r="D7" s="56" t="s">
        <v>200</v>
      </c>
      <c r="E7" s="4" t="s">
        <v>301</v>
      </c>
      <c r="F7" s="9" t="s">
        <v>302</v>
      </c>
      <c r="G7" s="56" t="s">
        <v>286</v>
      </c>
      <c r="H7" s="56" t="s">
        <v>118</v>
      </c>
      <c r="I7" s="10" t="s">
        <v>303</v>
      </c>
      <c r="K7" t="s">
        <v>304</v>
      </c>
      <c r="L7" t="s">
        <v>305</v>
      </c>
      <c r="N7" t="s">
        <v>306</v>
      </c>
    </row>
    <row r="8" spans="2:14" ht="30" x14ac:dyDescent="0.25">
      <c r="B8" s="4" t="s">
        <v>307</v>
      </c>
      <c r="C8" s="56" t="s">
        <v>122</v>
      </c>
      <c r="D8" s="56" t="s">
        <v>278</v>
      </c>
      <c r="E8" s="4" t="s">
        <v>307</v>
      </c>
      <c r="F8" s="9" t="s">
        <v>308</v>
      </c>
      <c r="G8" s="56" t="s">
        <v>309</v>
      </c>
      <c r="H8" s="56" t="s">
        <v>117</v>
      </c>
      <c r="I8" s="10" t="s">
        <v>310</v>
      </c>
      <c r="K8" t="s">
        <v>311</v>
      </c>
      <c r="L8" t="s">
        <v>312</v>
      </c>
      <c r="N8" t="s">
        <v>313</v>
      </c>
    </row>
    <row r="9" spans="2:14" x14ac:dyDescent="0.25">
      <c r="B9" s="4" t="s">
        <v>314</v>
      </c>
      <c r="C9" s="56" t="s">
        <v>122</v>
      </c>
      <c r="D9" s="56" t="s">
        <v>216</v>
      </c>
      <c r="E9" s="4" t="s">
        <v>314</v>
      </c>
      <c r="F9" s="9" t="s">
        <v>315</v>
      </c>
      <c r="G9" s="56" t="s">
        <v>286</v>
      </c>
      <c r="H9" s="56" t="s">
        <v>118</v>
      </c>
      <c r="I9" s="10" t="s">
        <v>316</v>
      </c>
      <c r="K9" t="s">
        <v>317</v>
      </c>
      <c r="L9" t="s">
        <v>318</v>
      </c>
      <c r="N9" t="s">
        <v>319</v>
      </c>
    </row>
    <row r="10" spans="2:14" x14ac:dyDescent="0.25">
      <c r="B10" s="4" t="s">
        <v>320</v>
      </c>
      <c r="C10" s="56" t="s">
        <v>122</v>
      </c>
      <c r="D10" s="56" t="s">
        <v>278</v>
      </c>
      <c r="E10" s="4" t="s">
        <v>320</v>
      </c>
      <c r="F10" s="9" t="s">
        <v>321</v>
      </c>
      <c r="G10" s="56" t="s">
        <v>286</v>
      </c>
      <c r="H10" s="56" t="s">
        <v>118</v>
      </c>
      <c r="I10" s="10" t="s">
        <v>322</v>
      </c>
      <c r="K10" t="s">
        <v>323</v>
      </c>
      <c r="L10" t="s">
        <v>324</v>
      </c>
      <c r="N10" t="s">
        <v>325</v>
      </c>
    </row>
    <row r="11" spans="2:14" ht="15" customHeight="1" x14ac:dyDescent="0.25">
      <c r="B11" s="4" t="s">
        <v>149</v>
      </c>
      <c r="C11" s="56" t="s">
        <v>122</v>
      </c>
      <c r="D11" s="56" t="s">
        <v>200</v>
      </c>
      <c r="E11" s="4" t="s">
        <v>149</v>
      </c>
      <c r="F11" s="9" t="s">
        <v>326</v>
      </c>
      <c r="G11" s="56" t="s">
        <v>327</v>
      </c>
      <c r="H11" s="56" t="s">
        <v>117</v>
      </c>
      <c r="I11" s="10" t="s">
        <v>328</v>
      </c>
      <c r="K11" t="s">
        <v>329</v>
      </c>
      <c r="L11" t="s">
        <v>330</v>
      </c>
    </row>
    <row r="12" spans="2:14" ht="30" x14ac:dyDescent="0.25">
      <c r="B12" s="4" t="s">
        <v>154</v>
      </c>
      <c r="C12" s="56" t="s">
        <v>122</v>
      </c>
      <c r="D12" s="56" t="s">
        <v>200</v>
      </c>
      <c r="E12" s="4" t="s">
        <v>154</v>
      </c>
      <c r="F12" s="9" t="s">
        <v>331</v>
      </c>
      <c r="G12" s="56" t="s">
        <v>327</v>
      </c>
      <c r="H12" s="56" t="s">
        <v>117</v>
      </c>
      <c r="I12" s="10" t="s">
        <v>332</v>
      </c>
      <c r="K12" s="20" t="s">
        <v>333</v>
      </c>
      <c r="L12" s="20" t="s">
        <v>334</v>
      </c>
    </row>
    <row r="13" spans="2:14" x14ac:dyDescent="0.25">
      <c r="B13" s="4" t="s">
        <v>335</v>
      </c>
      <c r="C13" s="56" t="s">
        <v>122</v>
      </c>
      <c r="D13" s="56" t="s">
        <v>200</v>
      </c>
      <c r="E13" s="4" t="s">
        <v>335</v>
      </c>
      <c r="F13" s="9" t="s">
        <v>336</v>
      </c>
      <c r="G13" s="56" t="s">
        <v>286</v>
      </c>
      <c r="H13" s="56" t="s">
        <v>118</v>
      </c>
      <c r="I13" s="10" t="s">
        <v>337</v>
      </c>
      <c r="K13" s="20" t="s">
        <v>338</v>
      </c>
      <c r="L13" s="20" t="s">
        <v>339</v>
      </c>
    </row>
    <row r="14" spans="2:14" ht="30" x14ac:dyDescent="0.25">
      <c r="B14" s="4" t="s">
        <v>148</v>
      </c>
      <c r="C14" s="56" t="s">
        <v>122</v>
      </c>
      <c r="D14" s="56" t="s">
        <v>278</v>
      </c>
      <c r="E14" s="4" t="s">
        <v>148</v>
      </c>
      <c r="F14" s="9" t="s">
        <v>340</v>
      </c>
      <c r="G14" s="56" t="s">
        <v>281</v>
      </c>
      <c r="H14" s="56" t="s">
        <v>117</v>
      </c>
      <c r="I14" s="10" t="s">
        <v>341</v>
      </c>
      <c r="K14" s="20" t="s">
        <v>342</v>
      </c>
      <c r="L14" s="20" t="s">
        <v>343</v>
      </c>
    </row>
    <row r="15" spans="2:14" x14ac:dyDescent="0.25">
      <c r="B15" s="4" t="s">
        <v>144</v>
      </c>
      <c r="C15" s="56" t="s">
        <v>122</v>
      </c>
      <c r="D15" s="56" t="s">
        <v>278</v>
      </c>
      <c r="E15" s="4" t="s">
        <v>144</v>
      </c>
      <c r="F15" s="9" t="s">
        <v>344</v>
      </c>
      <c r="G15" s="56" t="s">
        <v>327</v>
      </c>
      <c r="H15" s="56" t="s">
        <v>117</v>
      </c>
      <c r="I15" s="10" t="s">
        <v>345</v>
      </c>
    </row>
    <row r="16" spans="2:14" x14ac:dyDescent="0.25">
      <c r="B16" s="4" t="s">
        <v>153</v>
      </c>
      <c r="C16" s="56" t="s">
        <v>122</v>
      </c>
      <c r="D16" s="56" t="s">
        <v>200</v>
      </c>
      <c r="E16" s="4" t="s">
        <v>346</v>
      </c>
      <c r="F16" s="9" t="s">
        <v>347</v>
      </c>
      <c r="G16" s="56" t="s">
        <v>348</v>
      </c>
      <c r="H16" s="56" t="s">
        <v>117</v>
      </c>
      <c r="I16" s="10" t="s">
        <v>349</v>
      </c>
    </row>
    <row r="17" spans="2:9" x14ac:dyDescent="0.25">
      <c r="B17" s="4" t="s">
        <v>350</v>
      </c>
      <c r="C17" s="56" t="s">
        <v>122</v>
      </c>
      <c r="D17" s="56" t="s">
        <v>278</v>
      </c>
      <c r="E17" s="4" t="s">
        <v>350</v>
      </c>
      <c r="F17" s="9" t="s">
        <v>351</v>
      </c>
      <c r="G17" s="56" t="s">
        <v>286</v>
      </c>
      <c r="H17" s="56" t="s">
        <v>118</v>
      </c>
      <c r="I17" s="10" t="s">
        <v>352</v>
      </c>
    </row>
    <row r="18" spans="2:9" x14ac:dyDescent="0.25">
      <c r="B18" s="4" t="s">
        <v>353</v>
      </c>
      <c r="C18" s="56" t="s">
        <v>122</v>
      </c>
      <c r="D18" s="56" t="s">
        <v>200</v>
      </c>
      <c r="E18" s="4" t="s">
        <v>353</v>
      </c>
      <c r="F18" s="9" t="s">
        <v>354</v>
      </c>
      <c r="G18" s="56" t="s">
        <v>286</v>
      </c>
      <c r="H18" s="56" t="s">
        <v>118</v>
      </c>
      <c r="I18" s="10" t="s">
        <v>355</v>
      </c>
    </row>
    <row r="19" spans="2:9" x14ac:dyDescent="0.25">
      <c r="B19" s="4" t="s">
        <v>356</v>
      </c>
      <c r="C19" s="56" t="s">
        <v>122</v>
      </c>
      <c r="D19" s="56" t="s">
        <v>278</v>
      </c>
      <c r="E19" s="4" t="s">
        <v>356</v>
      </c>
      <c r="F19" s="9" t="s">
        <v>357</v>
      </c>
      <c r="G19" s="56" t="s">
        <v>286</v>
      </c>
      <c r="H19" s="56" t="s">
        <v>118</v>
      </c>
      <c r="I19" s="10" t="s">
        <v>358</v>
      </c>
    </row>
    <row r="20" spans="2:9" ht="30" x14ac:dyDescent="0.25">
      <c r="B20" s="4" t="s">
        <v>155</v>
      </c>
      <c r="C20" s="56" t="s">
        <v>122</v>
      </c>
      <c r="D20" s="56" t="s">
        <v>278</v>
      </c>
      <c r="E20" s="4" t="s">
        <v>155</v>
      </c>
      <c r="F20" s="9" t="s">
        <v>359</v>
      </c>
      <c r="G20" s="56" t="s">
        <v>327</v>
      </c>
      <c r="H20" s="56" t="s">
        <v>117</v>
      </c>
      <c r="I20" s="10" t="s">
        <v>360</v>
      </c>
    </row>
    <row r="21" spans="2:9" x14ac:dyDescent="0.25">
      <c r="B21" s="4" t="s">
        <v>150</v>
      </c>
      <c r="C21" s="56" t="s">
        <v>122</v>
      </c>
      <c r="D21" s="56" t="s">
        <v>200</v>
      </c>
      <c r="E21" s="4" t="s">
        <v>361</v>
      </c>
      <c r="F21" s="9" t="s">
        <v>362</v>
      </c>
      <c r="G21" s="56" t="s">
        <v>135</v>
      </c>
      <c r="H21" s="56" t="s">
        <v>117</v>
      </c>
      <c r="I21" s="10" t="s">
        <v>363</v>
      </c>
    </row>
    <row r="22" spans="2:9" x14ac:dyDescent="0.25">
      <c r="B22" s="4" t="s">
        <v>145</v>
      </c>
      <c r="C22" s="56" t="s">
        <v>122</v>
      </c>
      <c r="D22" s="56" t="s">
        <v>278</v>
      </c>
      <c r="E22" s="4" t="s">
        <v>364</v>
      </c>
      <c r="F22" s="9" t="s">
        <v>365</v>
      </c>
      <c r="G22" s="56" t="s">
        <v>327</v>
      </c>
      <c r="H22" s="56" t="s">
        <v>117</v>
      </c>
      <c r="I22" s="10" t="s">
        <v>366</v>
      </c>
    </row>
    <row r="23" spans="2:9" x14ac:dyDescent="0.25">
      <c r="B23" s="4" t="s">
        <v>143</v>
      </c>
      <c r="C23" s="56" t="s">
        <v>122</v>
      </c>
      <c r="D23" s="56" t="s">
        <v>200</v>
      </c>
      <c r="E23" s="4" t="s">
        <v>143</v>
      </c>
      <c r="F23" s="9" t="s">
        <v>367</v>
      </c>
      <c r="G23" s="56" t="s">
        <v>327</v>
      </c>
      <c r="H23" s="56" t="s">
        <v>117</v>
      </c>
      <c r="I23" s="10" t="s">
        <v>368</v>
      </c>
    </row>
    <row r="24" spans="2:9" x14ac:dyDescent="0.25">
      <c r="B24" s="4" t="s">
        <v>147</v>
      </c>
      <c r="C24" s="56" t="s">
        <v>122</v>
      </c>
      <c r="D24" s="56" t="s">
        <v>278</v>
      </c>
      <c r="E24" s="4" t="s">
        <v>147</v>
      </c>
      <c r="F24" s="9" t="s">
        <v>369</v>
      </c>
      <c r="G24" s="56" t="s">
        <v>281</v>
      </c>
      <c r="H24" s="56" t="s">
        <v>117</v>
      </c>
      <c r="I24" s="10" t="s">
        <v>370</v>
      </c>
    </row>
    <row r="25" spans="2:9" x14ac:dyDescent="0.25">
      <c r="B25" s="4" t="s">
        <v>371</v>
      </c>
      <c r="C25" s="56" t="s">
        <v>372</v>
      </c>
      <c r="D25" s="56" t="s">
        <v>185</v>
      </c>
      <c r="E25" s="4" t="s">
        <v>373</v>
      </c>
      <c r="F25" s="9" t="s">
        <v>374</v>
      </c>
      <c r="G25" s="56" t="s">
        <v>327</v>
      </c>
      <c r="H25" s="56" t="s">
        <v>117</v>
      </c>
      <c r="I25" s="10" t="s">
        <v>375</v>
      </c>
    </row>
    <row r="26" spans="2:9" x14ac:dyDescent="0.25">
      <c r="B26" s="4" t="s">
        <v>376</v>
      </c>
      <c r="C26" s="56" t="s">
        <v>372</v>
      </c>
      <c r="D26" s="56" t="s">
        <v>185</v>
      </c>
      <c r="E26" s="4" t="s">
        <v>377</v>
      </c>
      <c r="F26" s="9" t="s">
        <v>378</v>
      </c>
      <c r="G26" s="56" t="s">
        <v>286</v>
      </c>
      <c r="H26" s="56" t="s">
        <v>118</v>
      </c>
      <c r="I26" s="10" t="s">
        <v>379</v>
      </c>
    </row>
    <row r="27" spans="2:9" ht="30" x14ac:dyDescent="0.25">
      <c r="B27" s="4" t="s">
        <v>380</v>
      </c>
      <c r="C27" s="56" t="s">
        <v>372</v>
      </c>
      <c r="D27" s="56" t="s">
        <v>185</v>
      </c>
      <c r="E27" s="4" t="s">
        <v>380</v>
      </c>
      <c r="F27" s="9" t="s">
        <v>381</v>
      </c>
      <c r="G27" s="56" t="s">
        <v>286</v>
      </c>
      <c r="H27" s="56" t="s">
        <v>118</v>
      </c>
      <c r="I27" s="10" t="s">
        <v>382</v>
      </c>
    </row>
    <row r="28" spans="2:9" x14ac:dyDescent="0.25">
      <c r="B28" s="4" t="s">
        <v>71</v>
      </c>
      <c r="C28" s="56" t="s">
        <v>372</v>
      </c>
      <c r="D28" s="56" t="s">
        <v>185</v>
      </c>
      <c r="E28" s="4" t="s">
        <v>383</v>
      </c>
      <c r="F28" s="9" t="s">
        <v>384</v>
      </c>
      <c r="G28" s="56" t="s">
        <v>348</v>
      </c>
      <c r="H28" s="56" t="s">
        <v>117</v>
      </c>
      <c r="I28" s="10" t="s">
        <v>385</v>
      </c>
    </row>
    <row r="29" spans="2:9" x14ac:dyDescent="0.25">
      <c r="B29" s="4" t="s">
        <v>386</v>
      </c>
      <c r="C29" s="56" t="s">
        <v>372</v>
      </c>
      <c r="D29" s="56" t="s">
        <v>185</v>
      </c>
      <c r="E29" s="4" t="s">
        <v>386</v>
      </c>
      <c r="F29" s="9" t="s">
        <v>387</v>
      </c>
      <c r="G29" s="56" t="s">
        <v>286</v>
      </c>
      <c r="H29" s="56" t="s">
        <v>118</v>
      </c>
      <c r="I29" s="10" t="s">
        <v>388</v>
      </c>
    </row>
    <row r="30" spans="2:9" x14ac:dyDescent="0.25">
      <c r="B30" s="4" t="s">
        <v>389</v>
      </c>
      <c r="C30" s="56" t="s">
        <v>372</v>
      </c>
      <c r="D30" s="56" t="s">
        <v>185</v>
      </c>
      <c r="E30" s="4" t="s">
        <v>390</v>
      </c>
      <c r="F30" s="9" t="s">
        <v>391</v>
      </c>
      <c r="G30" s="56" t="s">
        <v>286</v>
      </c>
      <c r="H30" s="56" t="s">
        <v>118</v>
      </c>
      <c r="I30" s="10" t="s">
        <v>392</v>
      </c>
    </row>
    <row r="31" spans="2:9" x14ac:dyDescent="0.25">
      <c r="B31" s="4" t="s">
        <v>393</v>
      </c>
      <c r="C31" s="56" t="s">
        <v>372</v>
      </c>
      <c r="D31" s="56" t="s">
        <v>185</v>
      </c>
      <c r="E31" s="4" t="s">
        <v>393</v>
      </c>
      <c r="F31" s="9" t="s">
        <v>394</v>
      </c>
      <c r="G31" s="56" t="s">
        <v>286</v>
      </c>
      <c r="H31" s="56" t="s">
        <v>118</v>
      </c>
      <c r="I31" s="10" t="s">
        <v>395</v>
      </c>
    </row>
    <row r="32" spans="2:9" ht="30" x14ac:dyDescent="0.25">
      <c r="B32" s="4" t="s">
        <v>396</v>
      </c>
      <c r="C32" s="56" t="s">
        <v>372</v>
      </c>
      <c r="D32" s="56" t="s">
        <v>185</v>
      </c>
      <c r="E32" s="4" t="s">
        <v>396</v>
      </c>
      <c r="F32" s="9" t="s">
        <v>397</v>
      </c>
      <c r="G32" s="56" t="s">
        <v>286</v>
      </c>
      <c r="H32" s="56" t="s">
        <v>118</v>
      </c>
      <c r="I32" s="10" t="s">
        <v>398</v>
      </c>
    </row>
    <row r="33" spans="2:9" x14ac:dyDescent="0.25">
      <c r="B33" s="4" t="s">
        <v>399</v>
      </c>
      <c r="C33" s="56" t="s">
        <v>372</v>
      </c>
      <c r="D33" s="56" t="s">
        <v>185</v>
      </c>
      <c r="E33" s="4" t="s">
        <v>399</v>
      </c>
      <c r="F33" s="9" t="s">
        <v>400</v>
      </c>
      <c r="G33" s="56" t="s">
        <v>286</v>
      </c>
      <c r="H33" s="56" t="s">
        <v>118</v>
      </c>
      <c r="I33" s="10" t="s">
        <v>401</v>
      </c>
    </row>
    <row r="34" spans="2:9" x14ac:dyDescent="0.25">
      <c r="B34" s="4" t="s">
        <v>402</v>
      </c>
      <c r="C34" s="56" t="s">
        <v>372</v>
      </c>
      <c r="D34" s="56" t="s">
        <v>185</v>
      </c>
      <c r="E34" s="4" t="s">
        <v>403</v>
      </c>
      <c r="F34" s="9" t="s">
        <v>404</v>
      </c>
      <c r="G34" s="56" t="s">
        <v>286</v>
      </c>
      <c r="H34" s="56" t="s">
        <v>118</v>
      </c>
      <c r="I34" s="10" t="s">
        <v>405</v>
      </c>
    </row>
    <row r="35" spans="2:9" ht="30" x14ac:dyDescent="0.25">
      <c r="B35" s="4" t="s">
        <v>406</v>
      </c>
      <c r="C35" s="56" t="s">
        <v>372</v>
      </c>
      <c r="D35" s="56" t="s">
        <v>185</v>
      </c>
      <c r="E35" s="4" t="s">
        <v>407</v>
      </c>
      <c r="F35" s="9" t="s">
        <v>408</v>
      </c>
      <c r="G35" s="56" t="s">
        <v>286</v>
      </c>
      <c r="H35" s="56" t="s">
        <v>118</v>
      </c>
      <c r="I35" s="10" t="s">
        <v>409</v>
      </c>
    </row>
    <row r="36" spans="2:9" ht="30" x14ac:dyDescent="0.25">
      <c r="B36" s="4" t="s">
        <v>410</v>
      </c>
      <c r="C36" s="56" t="s">
        <v>372</v>
      </c>
      <c r="D36" s="56" t="s">
        <v>185</v>
      </c>
      <c r="E36" s="4" t="s">
        <v>410</v>
      </c>
      <c r="F36" s="9" t="s">
        <v>411</v>
      </c>
      <c r="G36" s="56" t="s">
        <v>327</v>
      </c>
      <c r="H36" s="56" t="s">
        <v>117</v>
      </c>
      <c r="I36" s="10" t="s">
        <v>412</v>
      </c>
    </row>
    <row r="37" spans="2:9" x14ac:dyDescent="0.25">
      <c r="B37" s="4" t="s">
        <v>413</v>
      </c>
      <c r="C37" s="56" t="s">
        <v>372</v>
      </c>
      <c r="D37" s="56" t="s">
        <v>185</v>
      </c>
      <c r="E37" s="4" t="s">
        <v>413</v>
      </c>
      <c r="F37" s="9" t="s">
        <v>414</v>
      </c>
      <c r="G37" s="56" t="s">
        <v>286</v>
      </c>
      <c r="H37" s="56" t="s">
        <v>118</v>
      </c>
      <c r="I37" s="10" t="s">
        <v>415</v>
      </c>
    </row>
    <row r="38" spans="2:9" x14ac:dyDescent="0.25">
      <c r="B38" s="4" t="s">
        <v>416</v>
      </c>
      <c r="C38" s="56" t="s">
        <v>372</v>
      </c>
      <c r="D38" s="56" t="s">
        <v>185</v>
      </c>
      <c r="E38" s="4" t="s">
        <v>416</v>
      </c>
      <c r="F38" s="9" t="s">
        <v>417</v>
      </c>
      <c r="G38" s="56" t="s">
        <v>286</v>
      </c>
      <c r="H38" s="56" t="s">
        <v>118</v>
      </c>
      <c r="I38" s="10" t="s">
        <v>418</v>
      </c>
    </row>
    <row r="39" spans="2:9" x14ac:dyDescent="0.25">
      <c r="B39" s="4" t="s">
        <v>419</v>
      </c>
      <c r="C39" s="56" t="s">
        <v>420</v>
      </c>
      <c r="D39" s="56" t="s">
        <v>278</v>
      </c>
      <c r="E39" s="4" t="s">
        <v>421</v>
      </c>
      <c r="F39" s="9" t="s">
        <v>422</v>
      </c>
      <c r="G39" s="56" t="s">
        <v>327</v>
      </c>
      <c r="H39" s="56" t="s">
        <v>117</v>
      </c>
      <c r="I39" s="10" t="s">
        <v>423</v>
      </c>
    </row>
    <row r="40" spans="2:9" x14ac:dyDescent="0.25">
      <c r="B40" s="4" t="s">
        <v>424</v>
      </c>
      <c r="C40" s="56" t="s">
        <v>420</v>
      </c>
      <c r="D40" s="56" t="s">
        <v>278</v>
      </c>
      <c r="E40" s="4" t="s">
        <v>425</v>
      </c>
      <c r="F40" s="9" t="s">
        <v>426</v>
      </c>
      <c r="G40" s="56" t="s">
        <v>281</v>
      </c>
      <c r="H40" s="56" t="s">
        <v>117</v>
      </c>
      <c r="I40" s="10" t="s">
        <v>423</v>
      </c>
    </row>
    <row r="41" spans="2:9" x14ac:dyDescent="0.25">
      <c r="B41" s="4" t="s">
        <v>427</v>
      </c>
      <c r="C41" s="56" t="s">
        <v>420</v>
      </c>
      <c r="D41" s="56" t="s">
        <v>278</v>
      </c>
      <c r="E41" s="4" t="s">
        <v>428</v>
      </c>
      <c r="F41" s="9" t="s">
        <v>429</v>
      </c>
      <c r="G41" s="56" t="s">
        <v>309</v>
      </c>
      <c r="H41" s="56" t="s">
        <v>117</v>
      </c>
      <c r="I41" s="10" t="s">
        <v>423</v>
      </c>
    </row>
    <row r="42" spans="2:9" ht="30" x14ac:dyDescent="0.25">
      <c r="B42" s="4" t="s">
        <v>430</v>
      </c>
      <c r="C42" s="56" t="s">
        <v>420</v>
      </c>
      <c r="D42" s="56" t="s">
        <v>278</v>
      </c>
      <c r="E42" s="4" t="s">
        <v>431</v>
      </c>
      <c r="F42" s="9" t="s">
        <v>432</v>
      </c>
      <c r="G42" s="56" t="s">
        <v>348</v>
      </c>
      <c r="H42" s="56" t="s">
        <v>117</v>
      </c>
      <c r="I42" s="10" t="s">
        <v>423</v>
      </c>
    </row>
    <row r="43" spans="2:9" x14ac:dyDescent="0.25">
      <c r="B43" s="4" t="s">
        <v>433</v>
      </c>
      <c r="C43" s="56" t="s">
        <v>420</v>
      </c>
      <c r="D43" s="56" t="s">
        <v>185</v>
      </c>
      <c r="E43" s="4" t="s">
        <v>434</v>
      </c>
      <c r="F43" s="9" t="s">
        <v>435</v>
      </c>
      <c r="G43" s="56" t="s">
        <v>281</v>
      </c>
      <c r="H43" s="56" t="s">
        <v>117</v>
      </c>
      <c r="I43" s="10" t="s">
        <v>423</v>
      </c>
    </row>
    <row r="44" spans="2:9" ht="30" x14ac:dyDescent="0.25">
      <c r="B44" s="4" t="s">
        <v>436</v>
      </c>
      <c r="C44" s="56" t="s">
        <v>420</v>
      </c>
      <c r="D44" s="56" t="s">
        <v>185</v>
      </c>
      <c r="E44" s="4" t="s">
        <v>437</v>
      </c>
      <c r="F44" s="9" t="s">
        <v>438</v>
      </c>
      <c r="G44" s="56" t="s">
        <v>309</v>
      </c>
      <c r="H44" s="56" t="s">
        <v>117</v>
      </c>
      <c r="I44" s="10" t="s">
        <v>423</v>
      </c>
    </row>
    <row r="45" spans="2:9" x14ac:dyDescent="0.25">
      <c r="B45" s="4" t="s">
        <v>439</v>
      </c>
      <c r="C45" s="56" t="s">
        <v>420</v>
      </c>
      <c r="D45" s="56" t="s">
        <v>278</v>
      </c>
      <c r="E45" s="4" t="s">
        <v>440</v>
      </c>
      <c r="F45" s="9" t="s">
        <v>441</v>
      </c>
      <c r="G45" s="56" t="s">
        <v>327</v>
      </c>
      <c r="H45" s="56" t="s">
        <v>117</v>
      </c>
      <c r="I45" s="10" t="s">
        <v>423</v>
      </c>
    </row>
    <row r="46" spans="2:9" ht="30" x14ac:dyDescent="0.25">
      <c r="B46" s="4" t="s">
        <v>442</v>
      </c>
      <c r="C46" s="56" t="s">
        <v>420</v>
      </c>
      <c r="D46" s="56" t="s">
        <v>278</v>
      </c>
      <c r="E46" s="4" t="s">
        <v>443</v>
      </c>
      <c r="F46" s="9" t="s">
        <v>444</v>
      </c>
      <c r="G46" s="56" t="s">
        <v>281</v>
      </c>
      <c r="H46" s="56" t="s">
        <v>117</v>
      </c>
      <c r="I46" s="10" t="s">
        <v>423</v>
      </c>
    </row>
    <row r="47" spans="2:9" ht="30" x14ac:dyDescent="0.25">
      <c r="B47" s="4" t="s">
        <v>445</v>
      </c>
      <c r="C47" s="56" t="s">
        <v>420</v>
      </c>
      <c r="D47" s="56" t="s">
        <v>200</v>
      </c>
      <c r="E47" s="4" t="s">
        <v>445</v>
      </c>
      <c r="F47" s="9" t="s">
        <v>446</v>
      </c>
      <c r="G47" s="56" t="s">
        <v>327</v>
      </c>
      <c r="H47" s="56" t="s">
        <v>117</v>
      </c>
      <c r="I47" s="10" t="s">
        <v>447</v>
      </c>
    </row>
    <row r="48" spans="2:9" x14ac:dyDescent="0.25">
      <c r="B48" s="4" t="s">
        <v>448</v>
      </c>
      <c r="C48" s="56" t="s">
        <v>420</v>
      </c>
      <c r="D48" s="56" t="s">
        <v>278</v>
      </c>
      <c r="E48" s="4" t="s">
        <v>449</v>
      </c>
      <c r="F48" s="9" t="s">
        <v>450</v>
      </c>
      <c r="G48" s="56" t="s">
        <v>135</v>
      </c>
      <c r="H48" s="56" t="s">
        <v>117</v>
      </c>
      <c r="I48" s="10" t="s">
        <v>451</v>
      </c>
    </row>
    <row r="49" spans="2:9" x14ac:dyDescent="0.25">
      <c r="B49" s="4" t="s">
        <v>452</v>
      </c>
      <c r="C49" s="56" t="s">
        <v>420</v>
      </c>
      <c r="D49" s="56" t="s">
        <v>278</v>
      </c>
      <c r="E49" s="4" t="s">
        <v>453</v>
      </c>
      <c r="F49" s="9" t="s">
        <v>454</v>
      </c>
      <c r="G49" s="56" t="s">
        <v>281</v>
      </c>
      <c r="H49" s="56" t="s">
        <v>117</v>
      </c>
      <c r="I49" s="10" t="s">
        <v>451</v>
      </c>
    </row>
    <row r="50" spans="2:9" ht="30" x14ac:dyDescent="0.25">
      <c r="B50" s="4" t="s">
        <v>455</v>
      </c>
      <c r="C50" s="56" t="s">
        <v>420</v>
      </c>
      <c r="D50" s="56" t="s">
        <v>200</v>
      </c>
      <c r="E50" s="4" t="s">
        <v>456</v>
      </c>
      <c r="F50" s="9" t="s">
        <v>457</v>
      </c>
      <c r="G50" s="56" t="s">
        <v>327</v>
      </c>
      <c r="H50" s="56" t="s">
        <v>117</v>
      </c>
      <c r="I50" s="10" t="s">
        <v>451</v>
      </c>
    </row>
    <row r="51" spans="2:9" ht="30" x14ac:dyDescent="0.25">
      <c r="B51" s="4" t="s">
        <v>458</v>
      </c>
      <c r="C51" s="56" t="s">
        <v>420</v>
      </c>
      <c r="D51" s="56" t="s">
        <v>216</v>
      </c>
      <c r="E51" s="4" t="s">
        <v>459</v>
      </c>
      <c r="F51" s="9" t="s">
        <v>460</v>
      </c>
      <c r="G51" s="56" t="s">
        <v>327</v>
      </c>
      <c r="H51" s="56" t="s">
        <v>117</v>
      </c>
      <c r="I51" s="10" t="s">
        <v>451</v>
      </c>
    </row>
    <row r="52" spans="2:9" ht="30" x14ac:dyDescent="0.25">
      <c r="B52" s="4" t="s">
        <v>461</v>
      </c>
      <c r="C52" s="56" t="s">
        <v>420</v>
      </c>
      <c r="D52" s="56" t="s">
        <v>278</v>
      </c>
      <c r="E52" s="4" t="s">
        <v>462</v>
      </c>
      <c r="F52" s="9" t="s">
        <v>463</v>
      </c>
      <c r="G52" s="56" t="s">
        <v>327</v>
      </c>
      <c r="H52" s="56" t="s">
        <v>117</v>
      </c>
      <c r="I52" s="10" t="s">
        <v>464</v>
      </c>
    </row>
    <row r="53" spans="2:9" ht="30" x14ac:dyDescent="0.25">
      <c r="B53" s="4" t="s">
        <v>465</v>
      </c>
      <c r="C53" s="56" t="s">
        <v>420</v>
      </c>
      <c r="D53" s="56" t="s">
        <v>278</v>
      </c>
      <c r="E53" s="4" t="s">
        <v>466</v>
      </c>
      <c r="F53" s="9" t="s">
        <v>467</v>
      </c>
      <c r="G53" s="56" t="s">
        <v>281</v>
      </c>
      <c r="H53" s="56" t="s">
        <v>117</v>
      </c>
      <c r="I53" s="10" t="s">
        <v>468</v>
      </c>
    </row>
    <row r="54" spans="2:9" x14ac:dyDescent="0.25">
      <c r="B54" s="4"/>
      <c r="C54" s="56"/>
      <c r="D54" s="56"/>
      <c r="E54" s="4"/>
      <c r="F54" s="9"/>
      <c r="G54" s="56"/>
      <c r="H54" s="56"/>
      <c r="I54" s="10"/>
    </row>
    <row r="55" spans="2:9" x14ac:dyDescent="0.25">
      <c r="B55" s="4"/>
      <c r="C55" s="56"/>
      <c r="D55" s="56"/>
      <c r="E55" s="4"/>
      <c r="F55" s="9"/>
      <c r="G55" s="56"/>
      <c r="H55" s="56"/>
      <c r="I55" s="10"/>
    </row>
    <row r="56" spans="2:9" x14ac:dyDescent="0.25">
      <c r="B56" s="4"/>
      <c r="C56" s="56"/>
      <c r="D56" s="56"/>
      <c r="E56" s="4"/>
      <c r="F56" s="9"/>
      <c r="G56" s="56"/>
      <c r="H56" s="56"/>
      <c r="I56" s="10"/>
    </row>
    <row r="57" spans="2:9" x14ac:dyDescent="0.25">
      <c r="B57" s="4"/>
      <c r="C57" s="56"/>
      <c r="D57" s="56"/>
      <c r="E57" s="4"/>
      <c r="F57" s="9"/>
      <c r="G57" s="56"/>
      <c r="H57" s="56"/>
      <c r="I57" s="10"/>
    </row>
    <row r="58" spans="2:9" x14ac:dyDescent="0.25">
      <c r="B58" s="4"/>
      <c r="C58" s="56"/>
      <c r="D58" s="56"/>
      <c r="E58" s="4"/>
      <c r="F58" s="9"/>
      <c r="G58" s="56"/>
      <c r="H58" s="56"/>
      <c r="I58" s="10"/>
    </row>
    <row r="59" spans="2:9" x14ac:dyDescent="0.25">
      <c r="B59" s="4"/>
      <c r="C59" s="56"/>
      <c r="D59" s="56"/>
      <c r="E59" s="4"/>
      <c r="F59" s="9"/>
      <c r="G59" s="56"/>
      <c r="H59" s="56"/>
      <c r="I59" s="10"/>
    </row>
    <row r="62" spans="2:9" ht="15.75" x14ac:dyDescent="0.25">
      <c r="B62" s="39" t="s">
        <v>469</v>
      </c>
    </row>
    <row r="63" spans="2:9" x14ac:dyDescent="0.25">
      <c r="B63" s="8" t="s">
        <v>194</v>
      </c>
      <c r="C63" s="8" t="s">
        <v>195</v>
      </c>
      <c r="D63" s="8" t="s">
        <v>192</v>
      </c>
      <c r="E63" s="8" t="s">
        <v>193</v>
      </c>
      <c r="F63" s="8" t="s">
        <v>128</v>
      </c>
      <c r="G63" s="8" t="s">
        <v>196</v>
      </c>
    </row>
    <row r="64" spans="2:9" ht="90" x14ac:dyDescent="0.25">
      <c r="B64" t="s">
        <v>470</v>
      </c>
      <c r="C64" s="6">
        <v>1</v>
      </c>
      <c r="D64" s="6" t="s">
        <v>204</v>
      </c>
      <c r="E64" s="6" t="s">
        <v>278</v>
      </c>
      <c r="G64" s="20" t="s">
        <v>471</v>
      </c>
    </row>
    <row r="65" spans="2:7" ht="75" x14ac:dyDescent="0.25">
      <c r="B65" t="s">
        <v>472</v>
      </c>
      <c r="C65" s="6">
        <v>1</v>
      </c>
      <c r="D65" s="6" t="s">
        <v>204</v>
      </c>
      <c r="E65" s="6" t="s">
        <v>205</v>
      </c>
      <c r="F65" t="s">
        <v>356</v>
      </c>
      <c r="G65" s="20" t="s">
        <v>473</v>
      </c>
    </row>
    <row r="66" spans="2:7" ht="60" x14ac:dyDescent="0.25">
      <c r="B66" t="s">
        <v>474</v>
      </c>
      <c r="C66" s="6">
        <v>1</v>
      </c>
      <c r="D66" s="6" t="s">
        <v>204</v>
      </c>
      <c r="E66" s="6" t="s">
        <v>475</v>
      </c>
      <c r="G66" s="20" t="s">
        <v>476</v>
      </c>
    </row>
    <row r="67" spans="2:7" ht="120" x14ac:dyDescent="0.25">
      <c r="B67" t="s">
        <v>477</v>
      </c>
      <c r="C67" s="6">
        <v>1</v>
      </c>
      <c r="D67" s="6" t="s">
        <v>204</v>
      </c>
      <c r="E67" s="6" t="s">
        <v>475</v>
      </c>
      <c r="F67" t="s">
        <v>445</v>
      </c>
      <c r="G67" s="20" t="s">
        <v>478</v>
      </c>
    </row>
    <row r="68" spans="2:7" ht="60" x14ac:dyDescent="0.25">
      <c r="B68" t="s">
        <v>479</v>
      </c>
      <c r="C68" s="6">
        <v>2</v>
      </c>
      <c r="D68" s="6" t="s">
        <v>204</v>
      </c>
      <c r="E68" s="6" t="s">
        <v>205</v>
      </c>
      <c r="G68" s="20" t="s">
        <v>480</v>
      </c>
    </row>
    <row r="69" spans="2:7" ht="60" x14ac:dyDescent="0.25">
      <c r="B69" t="s">
        <v>481</v>
      </c>
      <c r="C69" s="6">
        <v>1</v>
      </c>
      <c r="D69" s="6" t="s">
        <v>482</v>
      </c>
      <c r="E69" s="6" t="s">
        <v>475</v>
      </c>
      <c r="F69" t="s">
        <v>410</v>
      </c>
      <c r="G69" s="20" t="s">
        <v>483</v>
      </c>
    </row>
    <row r="70" spans="2:7" ht="45" x14ac:dyDescent="0.25">
      <c r="B70" t="s">
        <v>484</v>
      </c>
      <c r="C70" s="6">
        <v>1</v>
      </c>
      <c r="D70" s="6" t="s">
        <v>204</v>
      </c>
      <c r="E70" s="6" t="s">
        <v>485</v>
      </c>
      <c r="G70" s="20" t="s">
        <v>486</v>
      </c>
    </row>
    <row r="71" spans="2:7" ht="75" x14ac:dyDescent="0.25">
      <c r="B71" t="s">
        <v>487</v>
      </c>
      <c r="C71" s="6">
        <v>1</v>
      </c>
      <c r="D71" s="6" t="s">
        <v>204</v>
      </c>
      <c r="E71" s="6" t="s">
        <v>485</v>
      </c>
      <c r="G71" s="20" t="s">
        <v>488</v>
      </c>
    </row>
    <row r="72" spans="2:7" ht="75" x14ac:dyDescent="0.25">
      <c r="B72" t="s">
        <v>489</v>
      </c>
      <c r="C72" s="6">
        <v>1</v>
      </c>
      <c r="D72" s="6" t="s">
        <v>204</v>
      </c>
      <c r="E72" s="6" t="s">
        <v>485</v>
      </c>
      <c r="G72" s="20" t="s">
        <v>490</v>
      </c>
    </row>
    <row r="73" spans="2:7" ht="45" x14ac:dyDescent="0.25">
      <c r="B73" t="s">
        <v>491</v>
      </c>
      <c r="C73" s="6">
        <v>1</v>
      </c>
      <c r="D73" s="6" t="s">
        <v>204</v>
      </c>
      <c r="E73" s="6" t="s">
        <v>485</v>
      </c>
      <c r="G73" s="20" t="s">
        <v>492</v>
      </c>
    </row>
  </sheetData>
  <mergeCells count="1">
    <mergeCell ref="K2:L2"/>
  </mergeCells>
  <dataValidations count="2">
    <dataValidation type="list" allowBlank="1" showInputMessage="1" showErrorMessage="1" sqref="D64:D92" xr:uid="{50510017-6983-475C-BFAA-35C76015E12D}">
      <formula1>"Attacker,Target"</formula1>
    </dataValidation>
    <dataValidation type="list" allowBlank="1" showInputMessage="1" showErrorMessage="1" sqref="E64:E92" xr:uid="{738B6002-2E57-4AA6-A2B6-980C4593892B}">
      <formula1>"Shooting,Fighting,Both,Other"</formula1>
    </dataValidation>
  </dataValidations>
  <pageMargins left="0.7" right="0.7" top="0.75" bottom="0.75" header="0.3" footer="0.3"/>
  <legacyDrawing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12A20-F467-4732-B1C2-FC4190062036}">
  <sheetPr codeName="Sheet1">
    <tabColor theme="5"/>
  </sheetPr>
  <dimension ref="A2:BL66"/>
  <sheetViews>
    <sheetView topLeftCell="E1" workbookViewId="0">
      <selection activeCell="Q9" sqref="Q9"/>
    </sheetView>
  </sheetViews>
  <sheetFormatPr defaultColWidth="9.140625" defaultRowHeight="15" x14ac:dyDescent="0.25"/>
  <cols>
    <col min="1" max="1" width="5.28515625" style="5" bestFit="1" customWidth="1"/>
    <col min="2" max="2" width="6.7109375" style="5" customWidth="1"/>
    <col min="3" max="3" width="26.28515625" style="5" bestFit="1" customWidth="1"/>
    <col min="4" max="4" width="9.140625" style="5"/>
    <col min="5" max="8" width="13" style="5" customWidth="1"/>
    <col min="9" max="9" width="27.7109375" style="5" customWidth="1"/>
    <col min="10" max="13" width="9.140625" style="5" customWidth="1"/>
    <col min="14" max="15" width="9.140625" style="5"/>
    <col min="16" max="24" width="11.42578125" style="5" customWidth="1"/>
    <col min="25" max="25" width="27.7109375" style="5" customWidth="1"/>
    <col min="26" max="26" width="2.7109375" style="5" customWidth="1"/>
    <col min="27" max="51" width="9.7109375" style="5" customWidth="1"/>
    <col min="52" max="56" width="11.140625" style="5" customWidth="1"/>
    <col min="57" max="16384" width="9.140625" style="5"/>
  </cols>
  <sheetData>
    <row r="2" spans="1:64" ht="45" x14ac:dyDescent="0.25">
      <c r="C2" s="5" t="s">
        <v>94</v>
      </c>
      <c r="E2" s="13" t="s">
        <v>95</v>
      </c>
      <c r="F2" s="13" t="s">
        <v>96</v>
      </c>
      <c r="G2" s="13" t="s">
        <v>97</v>
      </c>
      <c r="H2" s="13" t="s">
        <v>77</v>
      </c>
      <c r="I2" s="13" t="s">
        <v>98</v>
      </c>
      <c r="J2" s="109" t="s">
        <v>99</v>
      </c>
      <c r="K2" s="110"/>
      <c r="L2" s="109" t="s">
        <v>100</v>
      </c>
      <c r="M2" s="110"/>
      <c r="P2" s="55" t="s">
        <v>101</v>
      </c>
      <c r="Q2" s="55" t="s">
        <v>102</v>
      </c>
      <c r="R2" s="55" t="s">
        <v>103</v>
      </c>
      <c r="S2" s="116" t="s">
        <v>104</v>
      </c>
      <c r="T2" s="116"/>
      <c r="U2" s="116"/>
      <c r="V2" s="116"/>
      <c r="W2" s="116"/>
      <c r="X2" s="116"/>
      <c r="Y2" s="116"/>
      <c r="AA2" s="14" t="s">
        <v>105</v>
      </c>
      <c r="AB2" s="14" t="s">
        <v>106</v>
      </c>
      <c r="AC2" s="14" t="s">
        <v>107</v>
      </c>
      <c r="AD2" s="14" t="s">
        <v>108</v>
      </c>
      <c r="AE2" s="14" t="s">
        <v>109</v>
      </c>
      <c r="AF2" s="14" t="s">
        <v>110</v>
      </c>
      <c r="AG2" s="14" t="s">
        <v>111</v>
      </c>
      <c r="AH2" s="14" t="s">
        <v>112</v>
      </c>
      <c r="AI2" s="14" t="s">
        <v>113</v>
      </c>
      <c r="AJ2" s="14" t="s">
        <v>114</v>
      </c>
      <c r="AK2" s="14" t="s">
        <v>115</v>
      </c>
    </row>
    <row r="3" spans="1:64" ht="30" customHeight="1" x14ac:dyDescent="0.25">
      <c r="C3" s="5" t="s">
        <v>116</v>
      </c>
      <c r="E3" s="23" t="s">
        <v>117</v>
      </c>
      <c r="F3" s="23" t="s">
        <v>117</v>
      </c>
      <c r="G3" s="23" t="s">
        <v>118</v>
      </c>
      <c r="H3" s="23">
        <v>10</v>
      </c>
      <c r="I3" s="23" t="s">
        <v>118</v>
      </c>
      <c r="J3" s="111" t="str">
        <f>IF($AC$3="","None ticked",$AC$3)</f>
        <v>None ticked</v>
      </c>
      <c r="K3" s="112"/>
      <c r="L3" s="111" t="str">
        <f>IF($AD$3="","None ticked",$AD$3)</f>
        <v>None ticked</v>
      </c>
      <c r="M3" s="112"/>
      <c r="P3" s="16">
        <f>SUM(W6:W30)</f>
        <v>3.666666666666667</v>
      </c>
      <c r="Q3" s="16">
        <f>MIN($H$3,SUM(X6:X30))</f>
        <v>0.2084241103848947</v>
      </c>
      <c r="R3" s="49" t="str" cm="1">
        <f t="array" ref="R3">SUMPRODUCT(($C$6:$C$30&lt;&gt;"")*($A$6:$A$30=TRUE))&amp;" of "&amp;COUNTIF($C$6:$C$30,"?*")</f>
        <v>7 of 7</v>
      </c>
      <c r="S3" s="105" t="str" cm="1">
        <f t="array" ref="S3">_xlfn.LET(_xlpm.nw,IFERROR(IF(INDEX(_xlfn.ANCHORARRAY($C$6),1)="",0,ROWS(_xlfn.ANCHORARRAY($C$6))),0),_xlpm.un,_xlfn._xlws.FILTER($C$6:$C$30,($C$6:$C$30&lt;&gt;"")*($A$6:$A$30=FALSE),""),_xlpm.ao,IFERROR(ROWS(OPTIONS($C$3,"Attacker","Shooting")),0),_xlpm.to,IFERROR(ROWS(OPTIONS($AE$3,"Target","Shooting")),0),_xlpm.bad,SUMPRODUCT(($A$34:$A$48=TRUE)*($C$34:$C$48=""))+SUMPRODUCT(($A$52:$A$66=TRUE)*($C$52:$C$66="")),_xlpm.w,_xlfn.TEXTJOIN(" | ",TRUE,IF($AE$3="","Target not found - pick a target in I4",""),IF(AND(_xlpm.nw&gt;0,$AE$3&lt;&gt;"",OR(N($J$6)&lt;=0,N($K$6)&lt;=0,NOT(ISNUMBER($L$6)))),"Target is missing T, W or Sv",""),IF(_xlpm.nw&gt;25,"Unit has "&amp;_xlpm.nw&amp;" weapons - only the first 25 are shown",""),IF(_xlpm.ao&gt;15,"Attacker has "&amp;_xlpm.ao&amp;" rules/stratagems - only 15 shown",""),IF(_xlpm.to&gt;15,"Target has "&amp;_xlpm.to&amp;" rules/stratagems - only 15 shown",""),IF(_xlpm.bad&gt;0,_xlpm.bad&amp;" ticked rule/stratagem row(s) are empty - untick them",""),IF(INDEX(_xlpm.un,1)&lt;&gt;"","Unticked: "&amp;_xlfn.TEXTJOIN(", ",TRUE,_xlpm.un),"")),IF(_xlpm.w="","OK - after changing unit, target or faction, re-check your ticks",_xlpm.w))</f>
        <v>OK - after changing unit, target or faction, re-check your ticks</v>
      </c>
      <c r="T3" s="105"/>
      <c r="U3" s="105"/>
      <c r="V3" s="105"/>
      <c r="W3" s="105"/>
      <c r="X3" s="105"/>
      <c r="Y3" s="105"/>
      <c r="AA3" s="15" cm="1">
        <f t="array" ref="AA3">_xlfn.LET(_xlpm.a,$N$6,_xlpm.b,KWMIN(($O$6&amp;", "&amp;$AD$3),"Feel No Pain"),MIN(IF(AND(ISNUMBER(_xlpm.a),_xlpm.a&gt;=2,_xlpm.a&lt;=6),_xlpm.a,7),IF(ISNUMBER(_xlpm.b),_xlpm.b,7)))</f>
        <v>7</v>
      </c>
      <c r="AB3" s="15" t="b" cm="1">
        <f t="array" ref="AB3">KW(($O$6&amp;", "&amp;$AD$3),"Stealth")=TRUE</f>
        <v>0</v>
      </c>
      <c r="AC3" s="15" t="str" cm="1">
        <f t="array" ref="AC3">_xlfn.TEXTJOIN(", ",TRUE,_xlfn._xlws.FILTER($E$34:$E$48,($A$34:$A$48=TRUE)*($C$34:$C$48&lt;&gt;""),""))</f>
        <v/>
      </c>
      <c r="AD3" s="15" t="str" cm="1">
        <f t="array" ref="AD3">_xlfn.TEXTJOIN(", ",TRUE,_xlfn._xlws.FILTER($E$52:$E$66,($A$52:$A$66=TRUE)*($C$52:$C$66&lt;&gt;""),""))</f>
        <v/>
      </c>
      <c r="AE3" s="15" t="str">
        <f>IFERROR(_xlfn.TEXTBEFORE(_xlfn.TEXTAFTER($J$4," (",-1),")",-1),"")</f>
        <v>Imperial Guard</v>
      </c>
      <c r="AF3" s="15" cm="1">
        <f t="array" ref="AF3">KWSUM(($O$6&amp;", "&amp;$AD$3),"Toughness Modifier")</f>
        <v>0</v>
      </c>
      <c r="AG3" s="15" cm="1">
        <f t="array" ref="AG3">KWSUM(($O$6&amp;", "&amp;$AD$3),"Save Modifier")</f>
        <v>0</v>
      </c>
      <c r="AH3" s="15" cm="1">
        <f t="array" ref="AH3">KWSUM(($O$6&amp;", "&amp;$AD$3),"Damage Modifier")</f>
        <v>0</v>
      </c>
      <c r="AI3" s="15" cm="1">
        <f t="array" ref="AI3">KWSUM(($O$6&amp;", "&amp;$AD$3),"Hit Modifier")</f>
        <v>0</v>
      </c>
      <c r="AJ3" s="15" cm="1">
        <f t="array" ref="AJ3">KWSUM(($O$6&amp;", "&amp;$AD$3),"Wound Modifier")</f>
        <v>0</v>
      </c>
      <c r="AK3" s="15" cm="1">
        <f t="array" ref="AK3">KWSUM(($O$6&amp;", "&amp;$AD$3),"AP Modifier")</f>
        <v>0</v>
      </c>
    </row>
    <row r="4" spans="1:64" x14ac:dyDescent="0.25">
      <c r="C4" s="113" t="s">
        <v>627</v>
      </c>
      <c r="D4" s="114"/>
      <c r="E4" s="114"/>
      <c r="F4" s="114"/>
      <c r="G4" s="114"/>
      <c r="H4" s="114"/>
      <c r="I4" s="115"/>
      <c r="J4" s="124" t="s">
        <v>631</v>
      </c>
      <c r="K4" s="124"/>
      <c r="L4" s="124"/>
      <c r="M4" s="124"/>
      <c r="N4" s="124"/>
      <c r="O4" s="125"/>
      <c r="P4" s="126" t="s">
        <v>119</v>
      </c>
      <c r="Q4" s="127"/>
      <c r="R4" s="127"/>
      <c r="S4" s="127"/>
      <c r="T4" s="127"/>
      <c r="U4" s="127"/>
      <c r="V4" s="127"/>
      <c r="W4" s="127"/>
      <c r="X4" s="127"/>
      <c r="Y4" s="128"/>
      <c r="AA4" s="117" t="s">
        <v>120</v>
      </c>
      <c r="AB4" s="117"/>
      <c r="AC4" s="117"/>
      <c r="AD4" s="117"/>
      <c r="AE4" s="117"/>
      <c r="AF4" s="117"/>
      <c r="AG4" s="117"/>
      <c r="AH4" s="117"/>
      <c r="AI4" s="117"/>
      <c r="AJ4" s="117"/>
      <c r="AK4" s="117"/>
      <c r="AL4" s="117"/>
      <c r="AM4" s="117"/>
      <c r="AN4" s="117"/>
      <c r="AO4" s="117"/>
      <c r="AP4" s="117"/>
      <c r="AQ4" s="117"/>
      <c r="AR4" s="117"/>
      <c r="AS4" s="54"/>
      <c r="AT4" s="54"/>
      <c r="AU4" s="54"/>
      <c r="AV4" s="54"/>
      <c r="AW4" s="54"/>
      <c r="AX4" s="54"/>
      <c r="AY4" s="54"/>
      <c r="AZ4" s="54"/>
      <c r="BA4" s="54"/>
      <c r="BB4" s="54"/>
      <c r="BC4" s="54"/>
      <c r="BD4" s="54"/>
    </row>
    <row r="5" spans="1:64" s="21" customFormat="1" ht="45" x14ac:dyDescent="0.25">
      <c r="A5" s="58" t="s">
        <v>121</v>
      </c>
      <c r="B5" s="58" t="s">
        <v>493</v>
      </c>
      <c r="C5" s="25" t="s">
        <v>122</v>
      </c>
      <c r="D5" s="26" t="s">
        <v>123</v>
      </c>
      <c r="E5" s="26" t="s">
        <v>124</v>
      </c>
      <c r="F5" s="26" t="s">
        <v>125</v>
      </c>
      <c r="G5" s="26" t="s">
        <v>126</v>
      </c>
      <c r="H5" s="26" t="s">
        <v>127</v>
      </c>
      <c r="I5" s="27" t="s">
        <v>128</v>
      </c>
      <c r="J5" s="25" t="s">
        <v>129</v>
      </c>
      <c r="K5" s="26" t="s">
        <v>130</v>
      </c>
      <c r="L5" s="26" t="s">
        <v>131</v>
      </c>
      <c r="M5" s="26" t="s">
        <v>132</v>
      </c>
      <c r="N5" s="26" t="s">
        <v>133</v>
      </c>
      <c r="O5" s="27" t="s">
        <v>134</v>
      </c>
      <c r="P5" s="28" t="s">
        <v>135</v>
      </c>
      <c r="Q5" s="28" t="s">
        <v>136</v>
      </c>
      <c r="R5" s="28" t="s">
        <v>137</v>
      </c>
      <c r="S5" s="28" t="s">
        <v>138</v>
      </c>
      <c r="T5" s="28" t="s">
        <v>139</v>
      </c>
      <c r="U5" s="28" t="s">
        <v>140</v>
      </c>
      <c r="V5" s="28" t="s">
        <v>141</v>
      </c>
      <c r="W5" s="28" t="s">
        <v>101</v>
      </c>
      <c r="X5" s="28" t="s">
        <v>47</v>
      </c>
      <c r="Y5" s="29" t="s">
        <v>142</v>
      </c>
      <c r="AA5" s="14" t="s">
        <v>143</v>
      </c>
      <c r="AB5" s="14" t="s">
        <v>144</v>
      </c>
      <c r="AC5" s="14" t="s">
        <v>145</v>
      </c>
      <c r="AD5" s="14" t="s">
        <v>146</v>
      </c>
      <c r="AE5" s="14" t="s">
        <v>147</v>
      </c>
      <c r="AF5" s="14" t="s">
        <v>148</v>
      </c>
      <c r="AG5" s="14" t="s">
        <v>149</v>
      </c>
      <c r="AH5" s="14" t="s">
        <v>150</v>
      </c>
      <c r="AI5" s="14" t="s">
        <v>151</v>
      </c>
      <c r="AJ5" s="14" t="s">
        <v>152</v>
      </c>
      <c r="AK5" s="14" t="s">
        <v>153</v>
      </c>
      <c r="AL5" s="14" t="s">
        <v>154</v>
      </c>
      <c r="AM5" s="14" t="s">
        <v>155</v>
      </c>
      <c r="AN5" s="14" t="s">
        <v>156</v>
      </c>
      <c r="AO5" s="14" t="s">
        <v>157</v>
      </c>
      <c r="AP5" s="14" t="s">
        <v>158</v>
      </c>
      <c r="AQ5" s="14" t="s">
        <v>159</v>
      </c>
      <c r="AR5" s="14" t="s">
        <v>160</v>
      </c>
      <c r="AS5" s="14" t="s">
        <v>161</v>
      </c>
      <c r="AT5" s="14" t="s">
        <v>162</v>
      </c>
      <c r="AU5" s="14" t="s">
        <v>163</v>
      </c>
      <c r="AV5" s="14" t="s">
        <v>164</v>
      </c>
      <c r="AW5" s="14" t="s">
        <v>165</v>
      </c>
      <c r="AX5" s="14" t="s">
        <v>166</v>
      </c>
      <c r="AY5" s="14" t="s">
        <v>167</v>
      </c>
      <c r="AZ5" s="14" t="s">
        <v>168</v>
      </c>
      <c r="BA5" s="14" t="s">
        <v>169</v>
      </c>
      <c r="BB5" s="14" t="s">
        <v>170</v>
      </c>
      <c r="BC5" s="14" t="s">
        <v>171</v>
      </c>
      <c r="BD5" s="14" t="s">
        <v>172</v>
      </c>
      <c r="BF5" s="12" t="s">
        <v>173</v>
      </c>
      <c r="BH5" s="12" t="s">
        <v>174</v>
      </c>
      <c r="BJ5" s="12"/>
      <c r="BK5" s="12"/>
      <c r="BL5" s="12"/>
    </row>
    <row r="6" spans="1:64" x14ac:dyDescent="0.25">
      <c r="A6" s="38" t="b">
        <v>1</v>
      </c>
      <c r="B6" s="59">
        <v>2</v>
      </c>
      <c r="C6" s="30" t="str" cm="1">
        <f t="array" ref="C6:I12">IFERROR(_xlfn.LET(_xlpm.k,_xlfn.XMATCH(TRIM($C$3),Factions[Faction]),_xlpm.u,$C$4,_xlpm.blk,FACTIONBLOCK(_xlpm.k),_xlpm.srcUnit,_xlfn.CHOOSECOLS(_xlpm.blk,1),_xlpm.srcWeapon,_xlfn.CHOOSECOLS(_xlpm.blk,16),_xlpm.srcType,_xlfn.CHOOSECOLS(_xlpm.blk,17),_xlpm.unitFill,_xlfn.SCAN("",_xlpm.srcUnit,_xlfn.LAMBDA(_xlpm.a,_xlpm.v,IF(_xlpm.v&lt;&gt;"",_xlpm.v,_xlpm.a))),_xlpm.names,_xlfn._xlws.FILTER(_xlpm.srcWeapon,(_xlpm.unitFill=_xlpm.u)*(_xlpm.srcWeapon&lt;&gt;"")*(_xlpm.srcType="Ranged")),_xlpm.stats,_xlfn.CHOOSECOLS(_xlpm.blk,_xlfn.SEQUENCE(1,7,20)),_xlpm.statNames,_xlfn.CHOOSECOLS(_xlpm.blk,20),_xlpm.idx,_xlfn.XMATCH(_xlpm.names,_xlpm.statNames),_xlpm.res,_xlfn.CHOOSEROWS(_xlpm.stats,_xlfn._xlws.FILTER(_xlpm.idx,ISNUMBER(_xlpm.idx))),IF(_xlpm.res="","",_xlpm.res)),"")</f>
        <v>Blight Launcher</v>
      </c>
      <c r="D6" s="2" t="str">
        <v>D3</v>
      </c>
      <c r="E6" s="2">
        <v>3</v>
      </c>
      <c r="F6" s="2">
        <v>6</v>
      </c>
      <c r="G6" s="2">
        <v>-1</v>
      </c>
      <c r="H6" s="2">
        <v>2</v>
      </c>
      <c r="I6" s="1" t="str">
        <v>Blast, Lethal Hits</v>
      </c>
      <c r="J6" s="120" cm="1">
        <f t="array" ref="J6">IF($C$6="","",_xlfn.XLOOKUP($J$4,_xlfn.CHOOSECOLS(AllTargets,1),_xlfn.CHOOSECOLS(AllTargets,COLUMN()-COLUMN($I$6)+1),""))</f>
        <v>12</v>
      </c>
      <c r="K6" s="122" cm="1">
        <f t="array" ref="K6">IF($C$6="","",_xlfn.XLOOKUP($J$4,_xlfn.CHOOSECOLS(AllTargets,1),_xlfn.CHOOSECOLS(AllTargets,COLUMN()-COLUMN($I$6)+1),""))</f>
        <v>17</v>
      </c>
      <c r="L6" s="122" cm="1">
        <f t="array" ref="L6">IF($C$6="","",_xlfn.XLOOKUP($J$4,_xlfn.CHOOSECOLS(AllTargets,1),_xlfn.CHOOSECOLS(AllTargets,COLUMN()-COLUMN($I$6)+1),""))</f>
        <v>2</v>
      </c>
      <c r="M6" s="122" t="str" cm="1">
        <f t="array" ref="M6">IF($C$6="","",_xlfn.XLOOKUP($J$4,_xlfn.CHOOSECOLS(AllTargets,1),_xlfn.CHOOSECOLS(AllTargets,COLUMN()-COLUMN($I$6)+1),""))</f>
        <v>-</v>
      </c>
      <c r="N6" s="122" t="str" cm="1">
        <f t="array" ref="N6">IF($C$6="","",_xlfn.XLOOKUP($J$4,_xlfn.CHOOSECOLS(AllTargets,1),_xlfn.CHOOSECOLS(AllTargets,COLUMN()-COLUMN($I$6)+1),""))</f>
        <v>-</v>
      </c>
      <c r="O6" s="118" t="str" cm="1">
        <f t="array" ref="O6">IF($C$6="","",_xlfn.XLOOKUP($J$4,_xlfn.CHOOSECOLS(AllTargets,1),_xlfn.CHOOSECOLS(AllTargets,COLUMN()-COLUMN($I$6)+1),""))</f>
        <v/>
      </c>
      <c r="P6" s="24" cm="1">
        <f t="array" ref="P6">IF(OR($C6="",NOT($A6)),"",N($B6)*(MAX(1,DICEAVG($D6)+$AZ6)+$AH6*($E$3="Yes")+($AI6+$AJ6)*INT($H$3/5)))</f>
        <v>8</v>
      </c>
      <c r="Q6" s="24">
        <f>IF(OR($C6="",NOT($A6)),"",IF($AA6,$P6,_xlfn.LET(_xlpm.p,MAX((7-$AO6)/6,(7-$BC6)/6),_xlpm.ph,IF($AW6=2,_xlpm.p+(1-_xlpm.p)*_xlpm.p,IF($AW6=1,_xlpm.p+_xlpm.p/6,_xlpm.p)),$P6*_xlpm.ph+$P6*$AY6*$AC6)))</f>
        <v>5.333333333333333</v>
      </c>
      <c r="R6" s="24">
        <f t="shared" ref="R6:R30" si="0">IF(OR($C6="",NOT($A6)),"",IF(AND($AB6,NOT($AA6)),$P6*$AY6,0))</f>
        <v>1.3333333333333333</v>
      </c>
      <c r="S6" s="24">
        <f t="shared" ref="S6:S30" si="1">IF(OR($C6="",NOT($A6)),"",_xlfn.LET(_xlpm.n,$Q6-$R6,_xlpm.pW,(7-$AP6)/6,_xlpm.pC,(7-$AN6)/6,_xlpm.pT,MAX(_xlpm.pW,_xlpm.pC),_xlpm.rr,$AX6,_xlpm.n*IF(_xlpm.rr=2,1-(1-_xlpm.pT)^2,IF(_xlpm.rr=1,_xlpm.pT+_xlpm.pT/6,_xlpm.pT))+$R6))</f>
        <v>2</v>
      </c>
      <c r="T6" s="24">
        <f t="shared" ref="T6:T30" si="2">IF(OR($C6="",NOT($A6)),"",IF($AD6,_xlfn.LET(_xlpm.n,$Q6-$R6,_xlpm.pW,(7-$AP6)/6,_xlpm.pC,(7-$AN6)/6,_xlpm.pT,MAX(_xlpm.pW,_xlpm.pC),_xlpm.rr,$AX6,_xlpm.n*IF(_xlpm.rr=2,_xlpm.pC+(1-_xlpm.pT)*_xlpm.pC,IF(_xlpm.rr=1,_xlpm.pC+_xlpm.pC/6,_xlpm.pC))),0))</f>
        <v>0</v>
      </c>
      <c r="U6" s="24">
        <f t="shared" ref="U6:U30" si="3">IF(OR($C6="",NOT($A6)),"",($S6-$T6)*($AQ6-1)/6)</f>
        <v>0.66666666666666663</v>
      </c>
      <c r="V6" s="24" cm="1">
        <f t="array" ref="V6">IF(OR($C6="",NOT($A6)),"",MAX(1,DICEAVG($H6)+$AK6*($E$3="Yes")+$AV6+$AH$3))</f>
        <v>2</v>
      </c>
      <c r="W6" s="24">
        <f t="shared" ref="W6:W30" si="4">IF(OR($C6="",NOT($A6)),"",($U6+$T6)*IF(N($K$6)&gt;0,MIN($V6,$K$6),$V6)*($AA$3-1)/6)</f>
        <v>1.3333333333333333</v>
      </c>
      <c r="X6" s="24">
        <f t="shared" ref="X6:X30" si="5">IF(OR($C6="",NOT($A6),$AR6=""),"",MIN($H$3,($U6+$T6)/$AR6))</f>
        <v>7.407407407407407E-2</v>
      </c>
      <c r="Y6" s="31" t="str">
        <f t="shared" ref="Y6:Y30" si="6">IF(OR($C6="",NOT($A6)),"",TEXT($W6,"0.00")&amp;" dmg"&amp;IF($X6="","",", "&amp;TEXT($X6,"0.00")&amp;" kills"))</f>
        <v>1.33 dmg, 0.07 kills</v>
      </c>
      <c r="AA6" s="17" t="b" cm="1">
        <f t="array" ref="AA6">IF($C6="","",KW(($I6&amp;", "&amp;$AC$3),"Torrent")=TRUE)</f>
        <v>0</v>
      </c>
      <c r="AB6" s="17" t="b" cm="1">
        <f t="array" ref="AB6">IF($C6="","",KW(($I6&amp;", "&amp;$AC$3),"Lethal Hits")=TRUE)</f>
        <v>1</v>
      </c>
      <c r="AC6" s="17" cm="1">
        <f t="array" ref="AC6">IF($C6="","",N(KW(($I6&amp;", "&amp;$AC$3),"Sustained Hits")))</f>
        <v>0</v>
      </c>
      <c r="AD6" s="17" t="b" cm="1">
        <f t="array" ref="AD6">IF($C6="","",KW(($I6&amp;", "&amp;$AC$3),"Devastating Wounds")=TRUE)</f>
        <v>0</v>
      </c>
      <c r="AE6" s="17" t="b" cm="1">
        <f t="array" ref="AE6">IF($C6="","",KW(($I6&amp;", "&amp;$AC$3),"Twin-Linked")=TRUE)</f>
        <v>0</v>
      </c>
      <c r="AF6" s="17" t="b" cm="1">
        <f t="array" ref="AF6">IF($C6="","",KW(($I6&amp;", "&amp;$AC$3),"Lance")=TRUE)</f>
        <v>0</v>
      </c>
      <c r="AG6" s="17" t="b" cm="1">
        <f t="array" ref="AG6">IF($C6="","",KW(($I6&amp;", "&amp;$AC$3),"Heavy")=TRUE)</f>
        <v>0</v>
      </c>
      <c r="AH6" s="17" cm="1">
        <f t="array" ref="AH6">IF($C6="","",N(KW(($I6&amp;", "&amp;$AC$3),"Rapid Fire")))</f>
        <v>0</v>
      </c>
      <c r="AI6" s="17" cm="1">
        <f t="array" ref="AI6">IF($C6="","",N(KW(($I6&amp;", "&amp;$AC$3),"Blast")))</f>
        <v>1</v>
      </c>
      <c r="AJ6" s="17" cm="1">
        <f t="array" ref="AJ6">IF($C6="","",N(KW(($I6&amp;", "&amp;$AC$3),"Cleave")))</f>
        <v>0</v>
      </c>
      <c r="AK6" s="17" cm="1">
        <f t="array" ref="AK6">IF($C6="","",N(KW(($I6&amp;", "&amp;$AC$3),"Melta")))</f>
        <v>0</v>
      </c>
      <c r="AL6" s="17" t="b" cm="1">
        <f t="array" ref="AL6">IF($C6="","",KW(($I6&amp;", "&amp;$AC$3),"Ignores Cover")=TRUE)</f>
        <v>0</v>
      </c>
      <c r="AM6" s="17" t="b" cm="1">
        <f t="array" ref="AM6">IF($C6="","",KW(($I6&amp;", "&amp;$AC$3),"Psychic")=TRUE)</f>
        <v>0</v>
      </c>
      <c r="AN6" s="18" cm="1">
        <f t="array" ref="AN6">IF($C6="","",_xlfn.LET(_xlpm.src,$I6&amp;", "&amp;$AC$3,_xlpm.a,KWANTI(_xlpm.src,($O$6&amp;", "&amp;$AD$3)),_xlpm.c,KWMIN(_xlpm.src,"Critical Wounds"),MIN(_xlpm.a,IF(ISNUMBER(_xlpm.c),MEDIAN(2,6,_xlpm.c),6))))</f>
        <v>6</v>
      </c>
      <c r="AO6" s="18" cm="1">
        <f t="array" ref="AO6">IF($C6="","",IF($AA6,0,_xlfn.LET(_xlpm.src,$I6&amp;", "&amp;$AC$3,_xlpm.stat,$F$3="Yes",IF(KW(_xlpm.src,"Snap Shooting")=TRUE,IF(_xlpm.stat,4,6),_xlfn.LET(_xlpm.psy,$AM6,_xlpm.hv,$AG6*_xlpm.stat,_xlpm.dmg,-($I$3="Yes"),_xlpm.am,$AS6,_xlpm.tm,$AI$3,_xlpm.mods,IF(_xlpm.psy,MAX(0,_xlpm.hv)+MAX(0,_xlpm.am)+MAX(0,_xlpm.tm),_xlpm.hv+_xlpm.dmg+_xlpm.am+_xlpm.tm),_xlpm.cov,AND(OR($G$3="Yes",$AB$3),NOT($AL6),NOT(_xlpm.psy)),_xlpm.bs,MIN(6,MAX(2,$E6+IF(_xlpm.psy,MIN(0,$BB6),$BB6+_xlpm.cov))),MEDIAN(2,6,_xlpm.bs-MAX(-1,MIN(1,_xlpm.mods))))))))</f>
        <v>3</v>
      </c>
      <c r="AP6" s="18">
        <f>IF($C6="","",_xlfn.LET(_xlpm.s,MAX(1,$F6+$BA6),_xlpm.t,MAX(1,N($J$6)+$AF$3),_xlpm.base,7-(1+(_xlpm.s&gt;=2*_xlpm.t)+(_xlpm.s&gt;_xlpm.t)+(_xlpm.s&gt;=_xlpm.t)+(_xlpm.s&gt;_xlpm.t/2)),MEDIAN(2,6,_xlpm.base-MAX(-1,MIN(1,$AT6+$AJ$3)))))</f>
        <v>6</v>
      </c>
      <c r="AQ6" s="18">
        <f>IF($C6="","",_xlfn.LET(_xlpm.ap,MIN(0,$G6+$AU6+$AK$3),_xlpm.arm,$L$6-_xlpm.ap-$AG$3-$BD6,_xlpm.inv,IF(ISNUMBER($M$6),$M$6,7),MEDIAN(2,7,MIN(_xlpm.arm,_xlpm.inv))))</f>
        <v>3</v>
      </c>
      <c r="AR6" s="19">
        <f t="shared" ref="AR6:AR30" si="7">IF(OR($C6="",N($K$6)&lt;=0),"",ROUNDUP($K$6/MIN($V6,$K$6),0)/(($AA$3-1)/6))</f>
        <v>9</v>
      </c>
      <c r="AS6" s="19" cm="1">
        <f t="array" ref="AS6">IF($C6="","",KWSUM(($I6&amp;", "&amp;$AC$3),"Hit Modifier"))</f>
        <v>0</v>
      </c>
      <c r="AT6" s="19" cm="1">
        <f t="array" ref="AT6">IF($C6="","",KWSUM(($I6&amp;", "&amp;$AC$3),"Wound Modifier"))</f>
        <v>0</v>
      </c>
      <c r="AU6" s="19" cm="1">
        <f t="array" ref="AU6">IF($C6="","",KWSUM(($I6&amp;", "&amp;$AC$3),"AP Modifier"))</f>
        <v>0</v>
      </c>
      <c r="AV6" s="19" cm="1">
        <f t="array" ref="AV6">IF($C6="","",KWSUM(($I6&amp;", "&amp;$AC$3),"Damage Modifier"))</f>
        <v>0</v>
      </c>
      <c r="AW6" s="19" cm="1">
        <f t="array" ref="AW6">IF($C6="","",_xlfn.LET(_xlpm.src,$I6&amp;", "&amp;$AC$3,IF(KW(_xlpm.src,"Snap Shooting")=TRUE,0,_xlfn.LET(_xlpm.full,ISNUMBER(_xlfn.XMATCH("Reroll Hits",TRIM(_xlfn.TEXTSPLIT(_xlpm.src,",")))),_xlpm.r,KW(_xlpm.src,"Reroll Hits"),IF(_xlpm.full,2,IF(N(_xlpm.r)&gt;=1,1,0))))))</f>
        <v>0</v>
      </c>
      <c r="AX6" s="19" cm="1">
        <f t="array" ref="AX6">IF($C6="","",_xlfn.LET(_xlpm.src,$I6&amp;", "&amp;$AC$3,_xlpm.full,OR($AE6,ISNUMBER(_xlfn.XMATCH("Reroll Wounds",TRIM(_xlfn.TEXTSPLIT(_xlpm.src,","))))),_xlpm.r,KW(_xlpm.src,"Reroll Wounds"),IF(_xlpm.full,2,IF(N(_xlpm.r)&gt;=1,1,0))))</f>
        <v>0</v>
      </c>
      <c r="AY6" s="19">
        <f>IF($C6="","",IF($AA6,0,_xlfn.LET(_xlpm.pc,(7-$BC6)/6,_xlpm.p,MAX((7-$AO6)/6,_xlpm.pc),IF($AW6=2,_xlpm.pc+(1-_xlpm.p)*_xlpm.pc,IF($AW6=1,_xlpm.pc+_xlpm.pc/6,_xlpm.pc)))))</f>
        <v>0.16666666666666666</v>
      </c>
      <c r="AZ6" s="19" cm="1">
        <f t="array" ref="AZ6">IF($C6="","",KWSUM($I6&amp;", "&amp;$AC$3,"Attacks Modifier"))</f>
        <v>0</v>
      </c>
      <c r="BA6" s="19" cm="1">
        <f t="array" ref="BA6">IF($C6="","",KWSUM($I6&amp;", "&amp;$AC$3,"Strength Modifier"))</f>
        <v>0</v>
      </c>
      <c r="BB6" s="19" cm="1">
        <f t="array" ref="BB6">IF($C6="","",KWSUM($I6&amp;", "&amp;$AC$3,"BS Modifier"))</f>
        <v>0</v>
      </c>
      <c r="BC6" s="19" cm="1">
        <f t="array" ref="BC6">IF($C6="","",_xlfn.LET(_xlpm.src,$I6&amp;", "&amp;$AC$3,_xlpm.c,KWMIN(_xlpm.src,"Critical Hits"),IF(KW(_xlpm.src,"Snap Shooting")=TRUE,6,IF(ISNUMBER(_xlpm.c),MEDIAN(2,6,_xlpm.c),6))))</f>
        <v>6</v>
      </c>
      <c r="BD6" s="19" cm="1">
        <f t="array" ref="BD6">IF($C6="","",KWSUM($I6&amp;", "&amp;$AC$3,"Save Modifier"))</f>
        <v>0</v>
      </c>
      <c r="BF6" s="5" t="str" cm="1">
        <f t="array" ref="BF6:BF11">_xlfn.LET(_xlpm.k,_xlfn.XMATCH(TRIM($C$3),Factions[Faction]),_xlpm.blk,FACTIONBLOCK(_xlpm.k),_xlpm.unitFill,_xlfn.SCAN("",_xlfn.CHOOSECOLS(_xlpm.blk,1),_xlfn.LAMBDA(_xlpm.a,_xlpm.v,IF(_xlpm.v&lt;&gt;"",_xlpm.v,_xlpm.a))),IFERROR(_xlfn.UNIQUE(_xlfn._xlws.FILTER(_xlpm.unitFill,(_xlpm.unitFill&lt;&gt;"")*(_xlfn.CHOOSECOLS(_xlpm.blk,17)="Ranged"))),"No ranged units"))</f>
        <v>Myphitic Blight Hauler</v>
      </c>
      <c r="BH6" s="5" t="str" cm="1">
        <f t="array" ref="BH6:BH23">_xlfn.LET(_xlpm.n,_xlfn.CHOOSECOLS(AllTargets,1),_xlfn.UNIQUE(_xlfn._xlws.FILTER(_xlpm.n,_xlpm.n&lt;&gt;"")))</f>
        <v>Myphitic Blight Hauler (DeathGuard)</v>
      </c>
    </row>
    <row r="7" spans="1:64" x14ac:dyDescent="0.25">
      <c r="A7" s="38" t="b">
        <v>1</v>
      </c>
      <c r="B7" s="59">
        <v>3</v>
      </c>
      <c r="C7" s="30" t="str">
        <v>Boltgun</v>
      </c>
      <c r="D7" s="2">
        <v>2</v>
      </c>
      <c r="E7" s="2">
        <v>3</v>
      </c>
      <c r="F7" s="2">
        <v>5</v>
      </c>
      <c r="G7" s="2">
        <v>-1</v>
      </c>
      <c r="H7" s="2">
        <v>1</v>
      </c>
      <c r="I7" s="1" t="str">
        <v>Lethal Hits</v>
      </c>
      <c r="J7" s="120"/>
      <c r="K7" s="122"/>
      <c r="L7" s="122"/>
      <c r="M7" s="122"/>
      <c r="N7" s="122"/>
      <c r="O7" s="118"/>
      <c r="P7" s="24" cm="1">
        <f t="array" ref="P7">IF(OR($C7="",NOT($A7)),"",N($B7)*(MAX(1,DICEAVG($D7)+$AZ7)+$AH7*($E$3="Yes")+($AI7+$AJ7)*INT($H$3/5)))</f>
        <v>6</v>
      </c>
      <c r="Q7" s="24">
        <f>IF(OR($C7="",NOT($A7)),"",IF($AA7,$P7,_xlfn.LET(_xlpm.p,MAX((7-$AO7)/6,(7-$BC7)/6),_xlpm.ph,IF($AW7=2,_xlpm.p+(1-_xlpm.p)*_xlpm.p,IF($AW7=1,_xlpm.p+_xlpm.p/6,_xlpm.p)),$P7*_xlpm.ph+$P7*$AY7*$AC7)))</f>
        <v>4</v>
      </c>
      <c r="R7" s="24">
        <f t="shared" si="0"/>
        <v>1</v>
      </c>
      <c r="S7" s="24">
        <f t="shared" si="1"/>
        <v>1.5</v>
      </c>
      <c r="T7" s="24">
        <f t="shared" si="2"/>
        <v>0</v>
      </c>
      <c r="U7" s="24">
        <f t="shared" si="3"/>
        <v>0.5</v>
      </c>
      <c r="V7" s="24" cm="1">
        <f t="array" ref="V7">IF(OR($C7="",NOT($A7)),"",MAX(1,DICEAVG($H7)+$AK7*($E$3="Yes")+$AV7+$AH$3))</f>
        <v>1</v>
      </c>
      <c r="W7" s="24">
        <f t="shared" si="4"/>
        <v>0.5</v>
      </c>
      <c r="X7" s="24">
        <f t="shared" si="5"/>
        <v>2.9411764705882353E-2</v>
      </c>
      <c r="Y7" s="31" t="str">
        <f t="shared" si="6"/>
        <v>0.50 dmg, 0.03 kills</v>
      </c>
      <c r="AA7" s="17" t="b" cm="1">
        <f t="array" ref="AA7">IF($C7="","",KW(($I7&amp;", "&amp;$AC$3),"Torrent")=TRUE)</f>
        <v>0</v>
      </c>
      <c r="AB7" s="17" t="b" cm="1">
        <f t="array" ref="AB7">IF($C7="","",KW(($I7&amp;", "&amp;$AC$3),"Lethal Hits")=TRUE)</f>
        <v>1</v>
      </c>
      <c r="AC7" s="17" cm="1">
        <f t="array" ref="AC7">IF($C7="","",N(KW(($I7&amp;", "&amp;$AC$3),"Sustained Hits")))</f>
        <v>0</v>
      </c>
      <c r="AD7" s="17" t="b" cm="1">
        <f t="array" ref="AD7">IF($C7="","",KW(($I7&amp;", "&amp;$AC$3),"Devastating Wounds")=TRUE)</f>
        <v>0</v>
      </c>
      <c r="AE7" s="17" t="b" cm="1">
        <f t="array" ref="AE7">IF($C7="","",KW(($I7&amp;", "&amp;$AC$3),"Twin-Linked")=TRUE)</f>
        <v>0</v>
      </c>
      <c r="AF7" s="17" t="b" cm="1">
        <f t="array" ref="AF7">IF($C7="","",KW(($I7&amp;", "&amp;$AC$3),"Lance")=TRUE)</f>
        <v>0</v>
      </c>
      <c r="AG7" s="17" t="b" cm="1">
        <f t="array" ref="AG7">IF($C7="","",KW(($I7&amp;", "&amp;$AC$3),"Heavy")=TRUE)</f>
        <v>0</v>
      </c>
      <c r="AH7" s="17" cm="1">
        <f t="array" ref="AH7">IF($C7="","",N(KW(($I7&amp;", "&amp;$AC$3),"Rapid Fire")))</f>
        <v>0</v>
      </c>
      <c r="AI7" s="17" cm="1">
        <f t="array" ref="AI7">IF($C7="","",N(KW(($I7&amp;", "&amp;$AC$3),"Blast")))</f>
        <v>0</v>
      </c>
      <c r="AJ7" s="17" cm="1">
        <f t="array" ref="AJ7">IF($C7="","",N(KW(($I7&amp;", "&amp;$AC$3),"Cleave")))</f>
        <v>0</v>
      </c>
      <c r="AK7" s="17" cm="1">
        <f t="array" ref="AK7">IF($C7="","",N(KW(($I7&amp;", "&amp;$AC$3),"Melta")))</f>
        <v>0</v>
      </c>
      <c r="AL7" s="17" t="b" cm="1">
        <f t="array" ref="AL7">IF($C7="","",KW(($I7&amp;", "&amp;$AC$3),"Ignores Cover")=TRUE)</f>
        <v>0</v>
      </c>
      <c r="AM7" s="17" t="b" cm="1">
        <f t="array" ref="AM7">IF($C7="","",KW(($I7&amp;", "&amp;$AC$3),"Psychic")=TRUE)</f>
        <v>0</v>
      </c>
      <c r="AN7" s="18" cm="1">
        <f t="array" ref="AN7">IF($C7="","",_xlfn.LET(_xlpm.src,$I7&amp;", "&amp;$AC$3,_xlpm.a,KWANTI(_xlpm.src,($O$6&amp;", "&amp;$AD$3)),_xlpm.c,KWMIN(_xlpm.src,"Critical Wounds"),MIN(_xlpm.a,IF(ISNUMBER(_xlpm.c),MEDIAN(2,6,_xlpm.c),6))))</f>
        <v>6</v>
      </c>
      <c r="AO7" s="18" cm="1">
        <f t="array" ref="AO7">IF($C7="","",IF($AA7,0,_xlfn.LET(_xlpm.src,$I7&amp;", "&amp;$AC$3,_xlpm.stat,$F$3="Yes",IF(KW(_xlpm.src,"Snap Shooting")=TRUE,IF(_xlpm.stat,4,6),_xlfn.LET(_xlpm.psy,$AM7,_xlpm.hv,$AG7*_xlpm.stat,_xlpm.dmg,-($I$3="Yes"),_xlpm.am,$AS7,_xlpm.tm,$AI$3,_xlpm.mods,IF(_xlpm.psy,MAX(0,_xlpm.hv)+MAX(0,_xlpm.am)+MAX(0,_xlpm.tm),_xlpm.hv+_xlpm.dmg+_xlpm.am+_xlpm.tm),_xlpm.cov,AND(OR($G$3="Yes",$AB$3),NOT($AL7),NOT(_xlpm.psy)),_xlpm.bs,MIN(6,MAX(2,$E7+IF(_xlpm.psy,MIN(0,$BB7),$BB7+_xlpm.cov))),MEDIAN(2,6,_xlpm.bs-MAX(-1,MIN(1,_xlpm.mods))))))))</f>
        <v>3</v>
      </c>
      <c r="AP7" s="18">
        <f t="shared" ref="AP7:AP30" si="8">IF($C7="","",_xlfn.LET(_xlpm.s,MAX(1,$F7+$BA7),_xlpm.t,MAX(1,N($J$6)+$AF$3),_xlpm.base,7-(1+(_xlpm.s&gt;=2*_xlpm.t)+(_xlpm.s&gt;_xlpm.t)+(_xlpm.s&gt;=_xlpm.t)+(_xlpm.s&gt;_xlpm.t/2)),MEDIAN(2,6,_xlpm.base-MAX(-1,MIN(1,$AT7+$AJ$3)))))</f>
        <v>6</v>
      </c>
      <c r="AQ7" s="18">
        <f t="shared" ref="AQ7:AQ30" si="9">IF($C7="","",_xlfn.LET(_xlpm.ap,MIN(0,$G7+$AU7+$AK$3),_xlpm.arm,$L$6-_xlpm.ap-$AG$3-$BD7,_xlpm.inv,IF(ISNUMBER($M$6),$M$6,7),MEDIAN(2,7,MIN(_xlpm.arm,_xlpm.inv))))</f>
        <v>3</v>
      </c>
      <c r="AR7" s="19">
        <f t="shared" si="7"/>
        <v>17</v>
      </c>
      <c r="AS7" s="19" cm="1">
        <f t="array" ref="AS7">IF($C7="","",KWSUM(($I7&amp;", "&amp;$AC$3),"Hit Modifier"))</f>
        <v>0</v>
      </c>
      <c r="AT7" s="19" cm="1">
        <f t="array" ref="AT7">IF($C7="","",KWSUM(($I7&amp;", "&amp;$AC$3),"Wound Modifier"))</f>
        <v>0</v>
      </c>
      <c r="AU7" s="19" cm="1">
        <f t="array" ref="AU7">IF($C7="","",KWSUM(($I7&amp;", "&amp;$AC$3),"AP Modifier"))</f>
        <v>0</v>
      </c>
      <c r="AV7" s="19" cm="1">
        <f t="array" ref="AV7">IF($C7="","",KWSUM(($I7&amp;", "&amp;$AC$3),"Damage Modifier"))</f>
        <v>0</v>
      </c>
      <c r="AW7" s="19" cm="1">
        <f t="array" ref="AW7">IF($C7="","",_xlfn.LET(_xlpm.src,$I7&amp;", "&amp;$AC$3,IF(KW(_xlpm.src,"Snap Shooting")=TRUE,0,_xlfn.LET(_xlpm.full,ISNUMBER(_xlfn.XMATCH("Reroll Hits",TRIM(_xlfn.TEXTSPLIT(_xlpm.src,",")))),_xlpm.r,KW(_xlpm.src,"Reroll Hits"),IF(_xlpm.full,2,IF(N(_xlpm.r)&gt;=1,1,0))))))</f>
        <v>0</v>
      </c>
      <c r="AX7" s="19" cm="1">
        <f t="array" ref="AX7">IF($C7="","",_xlfn.LET(_xlpm.src,$I7&amp;", "&amp;$AC$3,_xlpm.full,OR($AE7,ISNUMBER(_xlfn.XMATCH("Reroll Wounds",TRIM(_xlfn.TEXTSPLIT(_xlpm.src,","))))),_xlpm.r,KW(_xlpm.src,"Reroll Wounds"),IF(_xlpm.full,2,IF(N(_xlpm.r)&gt;=1,1,0))))</f>
        <v>0</v>
      </c>
      <c r="AY7" s="19">
        <f t="shared" ref="AY7:AY30" si="10">IF($C7="","",IF($AA7,0,_xlfn.LET(_xlpm.pc,(7-$BC7)/6,_xlpm.p,MAX((7-$AO7)/6,_xlpm.pc),IF($AW7=2,_xlpm.pc+(1-_xlpm.p)*_xlpm.pc,IF($AW7=1,_xlpm.pc+_xlpm.pc/6,_xlpm.pc)))))</f>
        <v>0.16666666666666666</v>
      </c>
      <c r="AZ7" s="19" cm="1">
        <f t="array" ref="AZ7">IF($C7="","",KWSUM($I7&amp;", "&amp;$AC$3,"Attacks Modifier"))</f>
        <v>0</v>
      </c>
      <c r="BA7" s="19" cm="1">
        <f t="array" ref="BA7">IF($C7="","",KWSUM($I7&amp;", "&amp;$AC$3,"Strength Modifier"))</f>
        <v>0</v>
      </c>
      <c r="BB7" s="19" cm="1">
        <f t="array" ref="BB7">IF($C7="","",KWSUM($I7&amp;", "&amp;$AC$3,"BS Modifier"))</f>
        <v>0</v>
      </c>
      <c r="BC7" s="19" cm="1">
        <f t="array" ref="BC7">IF($C7="","",_xlfn.LET(_xlpm.src,$I7&amp;", "&amp;$AC$3,_xlpm.c,KWMIN(_xlpm.src,"Critical Hits"),IF(KW(_xlpm.src,"Snap Shooting")=TRUE,6,IF(ISNUMBER(_xlpm.c),MEDIAN(2,6,_xlpm.c),6))))</f>
        <v>6</v>
      </c>
      <c r="BD7" s="19" cm="1">
        <f t="array" ref="BD7">IF($C7="","",KWSUM($I7&amp;", "&amp;$AC$3,"Save Modifier"))</f>
        <v>0</v>
      </c>
      <c r="BF7" s="5" t="str">
        <v>Plague Marines (Ranged)</v>
      </c>
      <c r="BH7" s="5" t="str">
        <v>Plague Marines (Ranged) (DeathGuard)</v>
      </c>
    </row>
    <row r="8" spans="1:64" x14ac:dyDescent="0.25">
      <c r="A8" s="38" t="b">
        <v>1</v>
      </c>
      <c r="B8" s="59">
        <v>2</v>
      </c>
      <c r="C8" s="30" t="str">
        <v>Plague Spewer</v>
      </c>
      <c r="D8" s="2" t="str">
        <v>D6</v>
      </c>
      <c r="E8" s="2" t="str">
        <v>-</v>
      </c>
      <c r="F8" s="2">
        <v>5</v>
      </c>
      <c r="G8" s="2">
        <v>-1</v>
      </c>
      <c r="H8" s="2">
        <v>1</v>
      </c>
      <c r="I8" s="1" t="str">
        <v>Anti-Infantry 2+, Torrent</v>
      </c>
      <c r="J8" s="120"/>
      <c r="K8" s="122"/>
      <c r="L8" s="122"/>
      <c r="M8" s="122"/>
      <c r="N8" s="122"/>
      <c r="O8" s="118"/>
      <c r="P8" s="24" cm="1">
        <f t="array" ref="P8">IF(OR($C8="",NOT($A8)),"",N($B8)*(MAX(1,DICEAVG($D8)+$AZ8)+$AH8*($E$3="Yes")+($AI8+$AJ8)*INT($H$3/5)))</f>
        <v>7</v>
      </c>
      <c r="Q8" s="24">
        <f t="shared" ref="Q8:Q30" si="11">IF(OR($C8="",NOT($A8)),"",IF($AA8,$P8,_xlfn.LET(_xlpm.p,MAX((7-$AO8)/6,(7-$BC8)/6),_xlpm.ph,IF($AW8=2,_xlpm.p+(1-_xlpm.p)*_xlpm.p,IF($AW8=1,_xlpm.p+_xlpm.p/6,_xlpm.p)),$P8*_xlpm.ph+$P8*$AY8*$AC8)))</f>
        <v>7</v>
      </c>
      <c r="R8" s="24">
        <f t="shared" si="0"/>
        <v>0</v>
      </c>
      <c r="S8" s="24">
        <f t="shared" si="1"/>
        <v>1.1666666666666665</v>
      </c>
      <c r="T8" s="24">
        <f t="shared" si="2"/>
        <v>0</v>
      </c>
      <c r="U8" s="24">
        <f t="shared" si="3"/>
        <v>0.38888888888888884</v>
      </c>
      <c r="V8" s="24" cm="1">
        <f t="array" ref="V8">IF(OR($C8="",NOT($A8)),"",MAX(1,DICEAVG($H8)+$AK8*($E$3="Yes")+$AV8+$AH$3))</f>
        <v>1</v>
      </c>
      <c r="W8" s="24">
        <f t="shared" si="4"/>
        <v>0.38888888888888884</v>
      </c>
      <c r="X8" s="24">
        <f t="shared" si="5"/>
        <v>2.2875816993464051E-2</v>
      </c>
      <c r="Y8" s="31" t="str">
        <f t="shared" si="6"/>
        <v>0.39 dmg, 0.02 kills</v>
      </c>
      <c r="AA8" s="17" t="b" cm="1">
        <f t="array" ref="AA8">IF($C8="","",KW(($I8&amp;", "&amp;$AC$3),"Torrent")=TRUE)</f>
        <v>1</v>
      </c>
      <c r="AB8" s="17" t="b" cm="1">
        <f t="array" ref="AB8">IF($C8="","",KW(($I8&amp;", "&amp;$AC$3),"Lethal Hits")=TRUE)</f>
        <v>0</v>
      </c>
      <c r="AC8" s="17" cm="1">
        <f t="array" ref="AC8">IF($C8="","",N(KW(($I8&amp;", "&amp;$AC$3),"Sustained Hits")))</f>
        <v>0</v>
      </c>
      <c r="AD8" s="17" t="b" cm="1">
        <f t="array" ref="AD8">IF($C8="","",KW(($I8&amp;", "&amp;$AC$3),"Devastating Wounds")=TRUE)</f>
        <v>0</v>
      </c>
      <c r="AE8" s="17" t="b" cm="1">
        <f t="array" ref="AE8">IF($C8="","",KW(($I8&amp;", "&amp;$AC$3),"Twin-Linked")=TRUE)</f>
        <v>0</v>
      </c>
      <c r="AF8" s="17" t="b" cm="1">
        <f t="array" ref="AF8">IF($C8="","",KW(($I8&amp;", "&amp;$AC$3),"Lance")=TRUE)</f>
        <v>0</v>
      </c>
      <c r="AG8" s="17" t="b" cm="1">
        <f t="array" ref="AG8">IF($C8="","",KW(($I8&amp;", "&amp;$AC$3),"Heavy")=TRUE)</f>
        <v>0</v>
      </c>
      <c r="AH8" s="17" cm="1">
        <f t="array" ref="AH8">IF($C8="","",N(KW(($I8&amp;", "&amp;$AC$3),"Rapid Fire")))</f>
        <v>0</v>
      </c>
      <c r="AI8" s="17" cm="1">
        <f t="array" ref="AI8">IF($C8="","",N(KW(($I8&amp;", "&amp;$AC$3),"Blast")))</f>
        <v>0</v>
      </c>
      <c r="AJ8" s="17" cm="1">
        <f t="array" ref="AJ8">IF($C8="","",N(KW(($I8&amp;", "&amp;$AC$3),"Cleave")))</f>
        <v>0</v>
      </c>
      <c r="AK8" s="17" cm="1">
        <f t="array" ref="AK8">IF($C8="","",N(KW(($I8&amp;", "&amp;$AC$3),"Melta")))</f>
        <v>0</v>
      </c>
      <c r="AL8" s="17" t="b" cm="1">
        <f t="array" ref="AL8">IF($C8="","",KW(($I8&amp;", "&amp;$AC$3),"Ignores Cover")=TRUE)</f>
        <v>0</v>
      </c>
      <c r="AM8" s="17" t="b" cm="1">
        <f t="array" ref="AM8">IF($C8="","",KW(($I8&amp;", "&amp;$AC$3),"Psychic")=TRUE)</f>
        <v>0</v>
      </c>
      <c r="AN8" s="18" cm="1">
        <f t="array" ref="AN8">IF($C8="","",_xlfn.LET(_xlpm.src,$I8&amp;", "&amp;$AC$3,_xlpm.a,KWANTI(_xlpm.src,($O$6&amp;", "&amp;$AD$3)),_xlpm.c,KWMIN(_xlpm.src,"Critical Wounds"),MIN(_xlpm.a,IF(ISNUMBER(_xlpm.c),MEDIAN(2,6,_xlpm.c),6))))</f>
        <v>6</v>
      </c>
      <c r="AO8" s="18" cm="1">
        <f t="array" ref="AO8">IF($C8="","",IF($AA8,0,_xlfn.LET(_xlpm.src,$I8&amp;", "&amp;$AC$3,_xlpm.stat,$F$3="Yes",IF(KW(_xlpm.src,"Snap Shooting")=TRUE,IF(_xlpm.stat,4,6),_xlfn.LET(_xlpm.psy,$AM8,_xlpm.hv,$AG8*_xlpm.stat,_xlpm.dmg,-($I$3="Yes"),_xlpm.am,$AS8,_xlpm.tm,$AI$3,_xlpm.mods,IF(_xlpm.psy,MAX(0,_xlpm.hv)+MAX(0,_xlpm.am)+MAX(0,_xlpm.tm),_xlpm.hv+_xlpm.dmg+_xlpm.am+_xlpm.tm),_xlpm.cov,AND(OR($G$3="Yes",$AB$3),NOT($AL8),NOT(_xlpm.psy)),_xlpm.bs,MIN(6,MAX(2,$E8+IF(_xlpm.psy,MIN(0,$BB8),$BB8+_xlpm.cov))),MEDIAN(2,6,_xlpm.bs-MAX(-1,MIN(1,_xlpm.mods))))))))</f>
        <v>0</v>
      </c>
      <c r="AP8" s="18">
        <f t="shared" si="8"/>
        <v>6</v>
      </c>
      <c r="AQ8" s="18">
        <f t="shared" si="9"/>
        <v>3</v>
      </c>
      <c r="AR8" s="19">
        <f t="shared" si="7"/>
        <v>17</v>
      </c>
      <c r="AS8" s="19" cm="1">
        <f t="array" ref="AS8">IF($C8="","",KWSUM(($I8&amp;", "&amp;$AC$3),"Hit Modifier"))</f>
        <v>0</v>
      </c>
      <c r="AT8" s="19" cm="1">
        <f t="array" ref="AT8">IF($C8="","",KWSUM(($I8&amp;", "&amp;$AC$3),"Wound Modifier"))</f>
        <v>0</v>
      </c>
      <c r="AU8" s="19" cm="1">
        <f t="array" ref="AU8">IF($C8="","",KWSUM(($I8&amp;", "&amp;$AC$3),"AP Modifier"))</f>
        <v>0</v>
      </c>
      <c r="AV8" s="19" cm="1">
        <f t="array" ref="AV8">IF($C8="","",KWSUM(($I8&amp;", "&amp;$AC$3),"Damage Modifier"))</f>
        <v>0</v>
      </c>
      <c r="AW8" s="19" cm="1">
        <f t="array" ref="AW8">IF($C8="","",_xlfn.LET(_xlpm.src,$I8&amp;", "&amp;$AC$3,IF(KW(_xlpm.src,"Snap Shooting")=TRUE,0,_xlfn.LET(_xlpm.full,ISNUMBER(_xlfn.XMATCH("Reroll Hits",TRIM(_xlfn.TEXTSPLIT(_xlpm.src,",")))),_xlpm.r,KW(_xlpm.src,"Reroll Hits"),IF(_xlpm.full,2,IF(N(_xlpm.r)&gt;=1,1,0))))))</f>
        <v>0</v>
      </c>
      <c r="AX8" s="19" cm="1">
        <f t="array" ref="AX8">IF($C8="","",_xlfn.LET(_xlpm.src,$I8&amp;", "&amp;$AC$3,_xlpm.full,OR($AE8,ISNUMBER(_xlfn.XMATCH("Reroll Wounds",TRIM(_xlfn.TEXTSPLIT(_xlpm.src,","))))),_xlpm.r,KW(_xlpm.src,"Reroll Wounds"),IF(_xlpm.full,2,IF(N(_xlpm.r)&gt;=1,1,0))))</f>
        <v>0</v>
      </c>
      <c r="AY8" s="19">
        <f t="shared" si="10"/>
        <v>0</v>
      </c>
      <c r="AZ8" s="19" cm="1">
        <f t="array" ref="AZ8">IF($C8="","",KWSUM($I8&amp;", "&amp;$AC$3,"Attacks Modifier"))</f>
        <v>0</v>
      </c>
      <c r="BA8" s="19" cm="1">
        <f t="array" ref="BA8">IF($C8="","",KWSUM($I8&amp;", "&amp;$AC$3,"Strength Modifier"))</f>
        <v>0</v>
      </c>
      <c r="BB8" s="19" cm="1">
        <f t="array" ref="BB8">IF($C8="","",KWSUM($I8&amp;", "&amp;$AC$3,"BS Modifier"))</f>
        <v>0</v>
      </c>
      <c r="BC8" s="19" cm="1">
        <f t="array" ref="BC8">IF($C8="","",_xlfn.LET(_xlpm.src,$I8&amp;", "&amp;$AC$3,_xlpm.c,KWMIN(_xlpm.src,"Critical Hits"),IF(KW(_xlpm.src,"Snap Shooting")=TRUE,6,IF(ISNUMBER(_xlpm.c),MEDIAN(2,6,_xlpm.c),6))))</f>
        <v>6</v>
      </c>
      <c r="BD8" s="19" cm="1">
        <f t="array" ref="BD8">IF($C8="","",KWSUM($I8&amp;", "&amp;$AC$3,"Save Modifier"))</f>
        <v>0</v>
      </c>
      <c r="BF8" s="5" t="str">
        <v>Deathshroud Terminators</v>
      </c>
      <c r="BH8" s="5" t="str">
        <v>Deathshroud Terminators (DeathGuard)</v>
      </c>
    </row>
    <row r="9" spans="1:64" x14ac:dyDescent="0.25">
      <c r="A9" s="38" t="b">
        <v>1</v>
      </c>
      <c r="B9" s="59">
        <v>2</v>
      </c>
      <c r="C9" s="30" t="str">
        <v>Plasma Gun - Standard</v>
      </c>
      <c r="D9" s="2">
        <v>1</v>
      </c>
      <c r="E9" s="2">
        <v>3</v>
      </c>
      <c r="F9" s="2">
        <v>7</v>
      </c>
      <c r="G9" s="2">
        <v>-2</v>
      </c>
      <c r="H9" s="2">
        <v>1</v>
      </c>
      <c r="I9" s="1" t="str">
        <v>Rapid Fire 1</v>
      </c>
      <c r="J9" s="120"/>
      <c r="K9" s="122"/>
      <c r="L9" s="122"/>
      <c r="M9" s="122"/>
      <c r="N9" s="122"/>
      <c r="O9" s="118"/>
      <c r="P9" s="24" cm="1">
        <f t="array" ref="P9">IF(OR($C9="",NOT($A9)),"",N($B9)*(MAX(1,DICEAVG($D9)+$AZ9)+$AH9*($E$3="Yes")+($AI9+$AJ9)*INT($H$3/5)))</f>
        <v>4</v>
      </c>
      <c r="Q9" s="24">
        <f t="shared" si="11"/>
        <v>2.6666666666666665</v>
      </c>
      <c r="R9" s="24">
        <f t="shared" si="0"/>
        <v>0</v>
      </c>
      <c r="S9" s="24">
        <f t="shared" si="1"/>
        <v>0.88888888888888884</v>
      </c>
      <c r="T9" s="24">
        <f t="shared" si="2"/>
        <v>0</v>
      </c>
      <c r="U9" s="24">
        <f t="shared" si="3"/>
        <v>0.44444444444444442</v>
      </c>
      <c r="V9" s="24" cm="1">
        <f t="array" ref="V9">IF(OR($C9="",NOT($A9)),"",MAX(1,DICEAVG($H9)+$AK9*($E$3="Yes")+$AV9+$AH$3))</f>
        <v>1</v>
      </c>
      <c r="W9" s="24">
        <f t="shared" si="4"/>
        <v>0.44444444444444442</v>
      </c>
      <c r="X9" s="24">
        <f t="shared" si="5"/>
        <v>2.61437908496732E-2</v>
      </c>
      <c r="Y9" s="31" t="str">
        <f t="shared" si="6"/>
        <v>0.44 dmg, 0.03 kills</v>
      </c>
      <c r="AA9" s="17" t="b" cm="1">
        <f t="array" ref="AA9">IF($C9="","",KW(($I9&amp;", "&amp;$AC$3),"Torrent")=TRUE)</f>
        <v>0</v>
      </c>
      <c r="AB9" s="17" t="b" cm="1">
        <f t="array" ref="AB9">IF($C9="","",KW(($I9&amp;", "&amp;$AC$3),"Lethal Hits")=TRUE)</f>
        <v>0</v>
      </c>
      <c r="AC9" s="17" cm="1">
        <f t="array" ref="AC9">IF($C9="","",N(KW(($I9&amp;", "&amp;$AC$3),"Sustained Hits")))</f>
        <v>0</v>
      </c>
      <c r="AD9" s="17" t="b" cm="1">
        <f t="array" ref="AD9">IF($C9="","",KW(($I9&amp;", "&amp;$AC$3),"Devastating Wounds")=TRUE)</f>
        <v>0</v>
      </c>
      <c r="AE9" s="17" t="b" cm="1">
        <f t="array" ref="AE9">IF($C9="","",KW(($I9&amp;", "&amp;$AC$3),"Twin-Linked")=TRUE)</f>
        <v>0</v>
      </c>
      <c r="AF9" s="17" t="b" cm="1">
        <f t="array" ref="AF9">IF($C9="","",KW(($I9&amp;", "&amp;$AC$3),"Lance")=TRUE)</f>
        <v>0</v>
      </c>
      <c r="AG9" s="17" t="b" cm="1">
        <f t="array" ref="AG9">IF($C9="","",KW(($I9&amp;", "&amp;$AC$3),"Heavy")=TRUE)</f>
        <v>0</v>
      </c>
      <c r="AH9" s="17" cm="1">
        <f t="array" ref="AH9">IF($C9="","",N(KW(($I9&amp;", "&amp;$AC$3),"Rapid Fire")))</f>
        <v>1</v>
      </c>
      <c r="AI9" s="17" cm="1">
        <f t="array" ref="AI9">IF($C9="","",N(KW(($I9&amp;", "&amp;$AC$3),"Blast")))</f>
        <v>0</v>
      </c>
      <c r="AJ9" s="17" cm="1">
        <f t="array" ref="AJ9">IF($C9="","",N(KW(($I9&amp;", "&amp;$AC$3),"Cleave")))</f>
        <v>0</v>
      </c>
      <c r="AK9" s="17" cm="1">
        <f t="array" ref="AK9">IF($C9="","",N(KW(($I9&amp;", "&amp;$AC$3),"Melta")))</f>
        <v>0</v>
      </c>
      <c r="AL9" s="17" t="b" cm="1">
        <f t="array" ref="AL9">IF($C9="","",KW(($I9&amp;", "&amp;$AC$3),"Ignores Cover")=TRUE)</f>
        <v>0</v>
      </c>
      <c r="AM9" s="17" t="b" cm="1">
        <f t="array" ref="AM9">IF($C9="","",KW(($I9&amp;", "&amp;$AC$3),"Psychic")=TRUE)</f>
        <v>0</v>
      </c>
      <c r="AN9" s="18" cm="1">
        <f t="array" ref="AN9">IF($C9="","",_xlfn.LET(_xlpm.src,$I9&amp;", "&amp;$AC$3,_xlpm.a,KWANTI(_xlpm.src,($O$6&amp;", "&amp;$AD$3)),_xlpm.c,KWMIN(_xlpm.src,"Critical Wounds"),MIN(_xlpm.a,IF(ISNUMBER(_xlpm.c),MEDIAN(2,6,_xlpm.c),6))))</f>
        <v>6</v>
      </c>
      <c r="AO9" s="18" cm="1">
        <f t="array" ref="AO9">IF($C9="","",IF($AA9,0,_xlfn.LET(_xlpm.src,$I9&amp;", "&amp;$AC$3,_xlpm.stat,$F$3="Yes",IF(KW(_xlpm.src,"Snap Shooting")=TRUE,IF(_xlpm.stat,4,6),_xlfn.LET(_xlpm.psy,$AM9,_xlpm.hv,$AG9*_xlpm.stat,_xlpm.dmg,-($I$3="Yes"),_xlpm.am,$AS9,_xlpm.tm,$AI$3,_xlpm.mods,IF(_xlpm.psy,MAX(0,_xlpm.hv)+MAX(0,_xlpm.am)+MAX(0,_xlpm.tm),_xlpm.hv+_xlpm.dmg+_xlpm.am+_xlpm.tm),_xlpm.cov,AND(OR($G$3="Yes",$AB$3),NOT($AL9),NOT(_xlpm.psy)),_xlpm.bs,MIN(6,MAX(2,$E9+IF(_xlpm.psy,MIN(0,$BB9),$BB9+_xlpm.cov))),MEDIAN(2,6,_xlpm.bs-MAX(-1,MIN(1,_xlpm.mods))))))))</f>
        <v>3</v>
      </c>
      <c r="AP9" s="18">
        <f t="shared" si="8"/>
        <v>5</v>
      </c>
      <c r="AQ9" s="18">
        <f t="shared" si="9"/>
        <v>4</v>
      </c>
      <c r="AR9" s="19">
        <f t="shared" si="7"/>
        <v>17</v>
      </c>
      <c r="AS9" s="19" cm="1">
        <f t="array" ref="AS9">IF($C9="","",KWSUM(($I9&amp;", "&amp;$AC$3),"Hit Modifier"))</f>
        <v>0</v>
      </c>
      <c r="AT9" s="19" cm="1">
        <f t="array" ref="AT9">IF($C9="","",KWSUM(($I9&amp;", "&amp;$AC$3),"Wound Modifier"))</f>
        <v>0</v>
      </c>
      <c r="AU9" s="19" cm="1">
        <f t="array" ref="AU9">IF($C9="","",KWSUM(($I9&amp;", "&amp;$AC$3),"AP Modifier"))</f>
        <v>0</v>
      </c>
      <c r="AV9" s="19" cm="1">
        <f t="array" ref="AV9">IF($C9="","",KWSUM(($I9&amp;", "&amp;$AC$3),"Damage Modifier"))</f>
        <v>0</v>
      </c>
      <c r="AW9" s="19" cm="1">
        <f t="array" ref="AW9">IF($C9="","",_xlfn.LET(_xlpm.src,$I9&amp;", "&amp;$AC$3,IF(KW(_xlpm.src,"Snap Shooting")=TRUE,0,_xlfn.LET(_xlpm.full,ISNUMBER(_xlfn.XMATCH("Reroll Hits",TRIM(_xlfn.TEXTSPLIT(_xlpm.src,",")))),_xlpm.r,KW(_xlpm.src,"Reroll Hits"),IF(_xlpm.full,2,IF(N(_xlpm.r)&gt;=1,1,0))))))</f>
        <v>0</v>
      </c>
      <c r="AX9" s="19" cm="1">
        <f t="array" ref="AX9">IF($C9="","",_xlfn.LET(_xlpm.src,$I9&amp;", "&amp;$AC$3,_xlpm.full,OR($AE9,ISNUMBER(_xlfn.XMATCH("Reroll Wounds",TRIM(_xlfn.TEXTSPLIT(_xlpm.src,","))))),_xlpm.r,KW(_xlpm.src,"Reroll Wounds"),IF(_xlpm.full,2,IF(N(_xlpm.r)&gt;=1,1,0))))</f>
        <v>0</v>
      </c>
      <c r="AY9" s="19">
        <f t="shared" si="10"/>
        <v>0.16666666666666666</v>
      </c>
      <c r="AZ9" s="19" cm="1">
        <f t="array" ref="AZ9">IF($C9="","",KWSUM($I9&amp;", "&amp;$AC$3,"Attacks Modifier"))</f>
        <v>0</v>
      </c>
      <c r="BA9" s="19" cm="1">
        <f t="array" ref="BA9">IF($C9="","",KWSUM($I9&amp;", "&amp;$AC$3,"Strength Modifier"))</f>
        <v>0</v>
      </c>
      <c r="BB9" s="19" cm="1">
        <f t="array" ref="BB9">IF($C9="","",KWSUM($I9&amp;", "&amp;$AC$3,"BS Modifier"))</f>
        <v>0</v>
      </c>
      <c r="BC9" s="19" cm="1">
        <f t="array" ref="BC9">IF($C9="","",_xlfn.LET(_xlpm.src,$I9&amp;", "&amp;$AC$3,_xlpm.c,KWMIN(_xlpm.src,"Critical Hits"),IF(KW(_xlpm.src,"Snap Shooting")=TRUE,6,IF(ISNUMBER(_xlpm.c),MEDIAN(2,6,_xlpm.c),6))))</f>
        <v>6</v>
      </c>
      <c r="BD9" s="19" cm="1">
        <f t="array" ref="BD9">IF($C9="","",KWSUM($I9&amp;", "&amp;$AC$3,"Save Modifier"))</f>
        <v>0</v>
      </c>
      <c r="BF9" s="5" t="str">
        <v>Lord of Poxes</v>
      </c>
      <c r="BH9" s="5" t="str">
        <v>Lord of Contagion (DeathGuard)</v>
      </c>
    </row>
    <row r="10" spans="1:64" x14ac:dyDescent="0.25">
      <c r="A10" s="38" t="b">
        <v>1</v>
      </c>
      <c r="B10" s="59">
        <v>1</v>
      </c>
      <c r="C10" s="30" t="str">
        <v>Plasma Gun - Supercharged</v>
      </c>
      <c r="D10">
        <v>1</v>
      </c>
      <c r="E10">
        <v>3</v>
      </c>
      <c r="F10">
        <v>8</v>
      </c>
      <c r="G10">
        <v>-3</v>
      </c>
      <c r="H10">
        <v>2</v>
      </c>
      <c r="I10" s="1" t="str">
        <v>Rapid Fire 1</v>
      </c>
      <c r="J10" s="120"/>
      <c r="K10" s="122"/>
      <c r="L10" s="122"/>
      <c r="M10" s="122"/>
      <c r="N10" s="122"/>
      <c r="O10" s="118"/>
      <c r="P10" s="24" cm="1">
        <f t="array" ref="P10">IF(OR($C10="",NOT($A10)),"",N($B10)*(MAX(1,DICEAVG($D10)+$AZ10)+$AH10*($E$3="Yes")+($AI10+$AJ10)*INT($H$3/5)))</f>
        <v>2</v>
      </c>
      <c r="Q10" s="24">
        <f t="shared" si="11"/>
        <v>1.3333333333333333</v>
      </c>
      <c r="R10" s="24">
        <f t="shared" si="0"/>
        <v>0</v>
      </c>
      <c r="S10" s="24">
        <f t="shared" si="1"/>
        <v>0.44444444444444442</v>
      </c>
      <c r="T10" s="24">
        <f t="shared" si="2"/>
        <v>0</v>
      </c>
      <c r="U10" s="24">
        <f t="shared" si="3"/>
        <v>0.29629629629629628</v>
      </c>
      <c r="V10" s="24" cm="1">
        <f t="array" ref="V10">IF(OR($C10="",NOT($A10)),"",MAX(1,DICEAVG($H10)+$AK10*($E$3="Yes")+$AV10+$AH$3))</f>
        <v>2</v>
      </c>
      <c r="W10" s="24">
        <f t="shared" si="4"/>
        <v>0.59259259259259256</v>
      </c>
      <c r="X10" s="24">
        <f t="shared" si="5"/>
        <v>3.2921810699588473E-2</v>
      </c>
      <c r="Y10" s="31" t="str">
        <f t="shared" si="6"/>
        <v>0.59 dmg, 0.03 kills</v>
      </c>
      <c r="AA10" s="17" t="b" cm="1">
        <f t="array" ref="AA10">IF($C10="","",KW(($I10&amp;", "&amp;$AC$3),"Torrent")=TRUE)</f>
        <v>0</v>
      </c>
      <c r="AB10" s="17" t="b" cm="1">
        <f t="array" ref="AB10">IF($C10="","",KW(($I10&amp;", "&amp;$AC$3),"Lethal Hits")=TRUE)</f>
        <v>0</v>
      </c>
      <c r="AC10" s="17" cm="1">
        <f t="array" ref="AC10">IF($C10="","",N(KW(($I10&amp;", "&amp;$AC$3),"Sustained Hits")))</f>
        <v>0</v>
      </c>
      <c r="AD10" s="17" t="b" cm="1">
        <f t="array" ref="AD10">IF($C10="","",KW(($I10&amp;", "&amp;$AC$3),"Devastating Wounds")=TRUE)</f>
        <v>0</v>
      </c>
      <c r="AE10" s="17" t="b" cm="1">
        <f t="array" ref="AE10">IF($C10="","",KW(($I10&amp;", "&amp;$AC$3),"Twin-Linked")=TRUE)</f>
        <v>0</v>
      </c>
      <c r="AF10" s="17" t="b" cm="1">
        <f t="array" ref="AF10">IF($C10="","",KW(($I10&amp;", "&amp;$AC$3),"Lance")=TRUE)</f>
        <v>0</v>
      </c>
      <c r="AG10" s="17" t="b" cm="1">
        <f t="array" ref="AG10">IF($C10="","",KW(($I10&amp;", "&amp;$AC$3),"Heavy")=TRUE)</f>
        <v>0</v>
      </c>
      <c r="AH10" s="17" cm="1">
        <f t="array" ref="AH10">IF($C10="","",N(KW(($I10&amp;", "&amp;$AC$3),"Rapid Fire")))</f>
        <v>1</v>
      </c>
      <c r="AI10" s="17" cm="1">
        <f t="array" ref="AI10">IF($C10="","",N(KW(($I10&amp;", "&amp;$AC$3),"Blast")))</f>
        <v>0</v>
      </c>
      <c r="AJ10" s="17" cm="1">
        <f t="array" ref="AJ10">IF($C10="","",N(KW(($I10&amp;", "&amp;$AC$3),"Cleave")))</f>
        <v>0</v>
      </c>
      <c r="AK10" s="17" cm="1">
        <f t="array" ref="AK10">IF($C10="","",N(KW(($I10&amp;", "&amp;$AC$3),"Melta")))</f>
        <v>0</v>
      </c>
      <c r="AL10" s="17" t="b" cm="1">
        <f t="array" ref="AL10">IF($C10="","",KW(($I10&amp;", "&amp;$AC$3),"Ignores Cover")=TRUE)</f>
        <v>0</v>
      </c>
      <c r="AM10" s="17" t="b" cm="1">
        <f t="array" ref="AM10">IF($C10="","",KW(($I10&amp;", "&amp;$AC$3),"Psychic")=TRUE)</f>
        <v>0</v>
      </c>
      <c r="AN10" s="18" cm="1">
        <f t="array" ref="AN10">IF($C10="","",_xlfn.LET(_xlpm.src,$I10&amp;", "&amp;$AC$3,_xlpm.a,KWANTI(_xlpm.src,($O$6&amp;", "&amp;$AD$3)),_xlpm.c,KWMIN(_xlpm.src,"Critical Wounds"),MIN(_xlpm.a,IF(ISNUMBER(_xlpm.c),MEDIAN(2,6,_xlpm.c),6))))</f>
        <v>6</v>
      </c>
      <c r="AO10" s="18" cm="1">
        <f t="array" ref="AO10">IF($C10="","",IF($AA10,0,_xlfn.LET(_xlpm.src,$I10&amp;", "&amp;$AC$3,_xlpm.stat,$F$3="Yes",IF(KW(_xlpm.src,"Snap Shooting")=TRUE,IF(_xlpm.stat,4,6),_xlfn.LET(_xlpm.psy,$AM10,_xlpm.hv,$AG10*_xlpm.stat,_xlpm.dmg,-($I$3="Yes"),_xlpm.am,$AS10,_xlpm.tm,$AI$3,_xlpm.mods,IF(_xlpm.psy,MAX(0,_xlpm.hv)+MAX(0,_xlpm.am)+MAX(0,_xlpm.tm),_xlpm.hv+_xlpm.dmg+_xlpm.am+_xlpm.tm),_xlpm.cov,AND(OR($G$3="Yes",$AB$3),NOT($AL10),NOT(_xlpm.psy)),_xlpm.bs,MIN(6,MAX(2,$E10+IF(_xlpm.psy,MIN(0,$BB10),$BB10+_xlpm.cov))),MEDIAN(2,6,_xlpm.bs-MAX(-1,MIN(1,_xlpm.mods))))))))</f>
        <v>3</v>
      </c>
      <c r="AP10" s="18">
        <f t="shared" si="8"/>
        <v>5</v>
      </c>
      <c r="AQ10" s="18">
        <f t="shared" si="9"/>
        <v>5</v>
      </c>
      <c r="AR10" s="19">
        <f t="shared" si="7"/>
        <v>9</v>
      </c>
      <c r="AS10" s="19" cm="1">
        <f t="array" ref="AS10">IF($C10="","",KWSUM(($I10&amp;", "&amp;$AC$3),"Hit Modifier"))</f>
        <v>0</v>
      </c>
      <c r="AT10" s="19" cm="1">
        <f t="array" ref="AT10">IF($C10="","",KWSUM(($I10&amp;", "&amp;$AC$3),"Wound Modifier"))</f>
        <v>0</v>
      </c>
      <c r="AU10" s="19" cm="1">
        <f t="array" ref="AU10">IF($C10="","",KWSUM(($I10&amp;", "&amp;$AC$3),"AP Modifier"))</f>
        <v>0</v>
      </c>
      <c r="AV10" s="19" cm="1">
        <f t="array" ref="AV10">IF($C10="","",KWSUM(($I10&amp;", "&amp;$AC$3),"Damage Modifier"))</f>
        <v>0</v>
      </c>
      <c r="AW10" s="19" cm="1">
        <f t="array" ref="AW10">IF($C10="","",_xlfn.LET(_xlpm.src,$I10&amp;", "&amp;$AC$3,IF(KW(_xlpm.src,"Snap Shooting")=TRUE,0,_xlfn.LET(_xlpm.full,ISNUMBER(_xlfn.XMATCH("Reroll Hits",TRIM(_xlfn.TEXTSPLIT(_xlpm.src,",")))),_xlpm.r,KW(_xlpm.src,"Reroll Hits"),IF(_xlpm.full,2,IF(N(_xlpm.r)&gt;=1,1,0))))))</f>
        <v>0</v>
      </c>
      <c r="AX10" s="19" cm="1">
        <f t="array" ref="AX10">IF($C10="","",_xlfn.LET(_xlpm.src,$I10&amp;", "&amp;$AC$3,_xlpm.full,OR($AE10,ISNUMBER(_xlfn.XMATCH("Reroll Wounds",TRIM(_xlfn.TEXTSPLIT(_xlpm.src,","))))),_xlpm.r,KW(_xlpm.src,"Reroll Wounds"),IF(_xlpm.full,2,IF(N(_xlpm.r)&gt;=1,1,0))))</f>
        <v>0</v>
      </c>
      <c r="AY10" s="19">
        <f t="shared" si="10"/>
        <v>0.16666666666666666</v>
      </c>
      <c r="AZ10" s="19" cm="1">
        <f t="array" ref="AZ10">IF($C10="","",KWSUM($I10&amp;", "&amp;$AC$3,"Attacks Modifier"))</f>
        <v>0</v>
      </c>
      <c r="BA10" s="19" cm="1">
        <f t="array" ref="BA10">IF($C10="","",KWSUM($I10&amp;", "&amp;$AC$3,"Strength Modifier"))</f>
        <v>0</v>
      </c>
      <c r="BB10" s="19" cm="1">
        <f t="array" ref="BB10">IF($C10="","",KWSUM($I10&amp;", "&amp;$AC$3,"BS Modifier"))</f>
        <v>0</v>
      </c>
      <c r="BC10" s="19" cm="1">
        <f t="array" ref="BC10">IF($C10="","",_xlfn.LET(_xlpm.src,$I10&amp;", "&amp;$AC$3,_xlpm.c,KWMIN(_xlpm.src,"Critical Hits"),IF(KW(_xlpm.src,"Snap Shooting")=TRUE,6,IF(ISNUMBER(_xlpm.c),MEDIAN(2,6,_xlpm.c),6))))</f>
        <v>6</v>
      </c>
      <c r="BD10" s="19" cm="1">
        <f t="array" ref="BD10">IF($C10="","",KWSUM($I10&amp;", "&amp;$AC$3,"Save Modifier"))</f>
        <v>0</v>
      </c>
      <c r="BF10" s="5" t="str">
        <v>Tallyman</v>
      </c>
      <c r="BH10" s="5" t="str">
        <v>Lord of Poxes (DeathGuard)</v>
      </c>
    </row>
    <row r="11" spans="1:64" x14ac:dyDescent="0.25">
      <c r="A11" s="38" t="b">
        <v>1</v>
      </c>
      <c r="B11" s="59">
        <v>1</v>
      </c>
      <c r="C11" s="30" t="str">
        <v>Plasma Pistol - Standard</v>
      </c>
      <c r="D11">
        <v>1</v>
      </c>
      <c r="E11">
        <v>3</v>
      </c>
      <c r="F11">
        <v>7</v>
      </c>
      <c r="G11">
        <v>-2</v>
      </c>
      <c r="H11">
        <v>1</v>
      </c>
      <c r="I11" s="1" t="str">
        <v/>
      </c>
      <c r="J11" s="120"/>
      <c r="K11" s="122"/>
      <c r="L11" s="122"/>
      <c r="M11" s="122"/>
      <c r="N11" s="122"/>
      <c r="O11" s="118"/>
      <c r="P11" s="24" cm="1">
        <f t="array" ref="P11">IF(OR($C11="",NOT($A11)),"",N($B11)*(MAX(1,DICEAVG($D11)+$AZ11)+$AH11*($E$3="Yes")+($AI11+$AJ11)*INT($H$3/5)))</f>
        <v>1</v>
      </c>
      <c r="Q11" s="24">
        <f t="shared" si="11"/>
        <v>0.66666666666666663</v>
      </c>
      <c r="R11" s="24">
        <f t="shared" si="0"/>
        <v>0</v>
      </c>
      <c r="S11" s="24">
        <f t="shared" si="1"/>
        <v>0.22222222222222221</v>
      </c>
      <c r="T11" s="24">
        <f t="shared" si="2"/>
        <v>0</v>
      </c>
      <c r="U11" s="24">
        <f t="shared" si="3"/>
        <v>0.1111111111111111</v>
      </c>
      <c r="V11" s="24" cm="1">
        <f t="array" ref="V11">IF(OR($C11="",NOT($A11)),"",MAX(1,DICEAVG($H11)+$AK11*($E$3="Yes")+$AV11+$AH$3))</f>
        <v>1</v>
      </c>
      <c r="W11" s="24">
        <f t="shared" si="4"/>
        <v>0.1111111111111111</v>
      </c>
      <c r="X11" s="24">
        <f t="shared" si="5"/>
        <v>6.5359477124183E-3</v>
      </c>
      <c r="Y11" s="31" t="str">
        <f t="shared" si="6"/>
        <v>0.11 dmg, 0.01 kills</v>
      </c>
      <c r="AA11" s="17" t="b" cm="1">
        <f t="array" ref="AA11">IF($C11="","",KW(($I11&amp;", "&amp;$AC$3),"Torrent")=TRUE)</f>
        <v>0</v>
      </c>
      <c r="AB11" s="17" t="b" cm="1">
        <f t="array" ref="AB11">IF($C11="","",KW(($I11&amp;", "&amp;$AC$3),"Lethal Hits")=TRUE)</f>
        <v>0</v>
      </c>
      <c r="AC11" s="17" cm="1">
        <f t="array" ref="AC11">IF($C11="","",N(KW(($I11&amp;", "&amp;$AC$3),"Sustained Hits")))</f>
        <v>0</v>
      </c>
      <c r="AD11" s="17" t="b" cm="1">
        <f t="array" ref="AD11">IF($C11="","",KW(($I11&amp;", "&amp;$AC$3),"Devastating Wounds")=TRUE)</f>
        <v>0</v>
      </c>
      <c r="AE11" s="17" t="b" cm="1">
        <f t="array" ref="AE11">IF($C11="","",KW(($I11&amp;", "&amp;$AC$3),"Twin-Linked")=TRUE)</f>
        <v>0</v>
      </c>
      <c r="AF11" s="17" t="b" cm="1">
        <f t="array" ref="AF11">IF($C11="","",KW(($I11&amp;", "&amp;$AC$3),"Lance")=TRUE)</f>
        <v>0</v>
      </c>
      <c r="AG11" s="17" t="b" cm="1">
        <f t="array" ref="AG11">IF($C11="","",KW(($I11&amp;", "&amp;$AC$3),"Heavy")=TRUE)</f>
        <v>0</v>
      </c>
      <c r="AH11" s="17" cm="1">
        <f t="array" ref="AH11">IF($C11="","",N(KW(($I11&amp;", "&amp;$AC$3),"Rapid Fire")))</f>
        <v>0</v>
      </c>
      <c r="AI11" s="17" cm="1">
        <f t="array" ref="AI11">IF($C11="","",N(KW(($I11&amp;", "&amp;$AC$3),"Blast")))</f>
        <v>0</v>
      </c>
      <c r="AJ11" s="17" cm="1">
        <f t="array" ref="AJ11">IF($C11="","",N(KW(($I11&amp;", "&amp;$AC$3),"Cleave")))</f>
        <v>0</v>
      </c>
      <c r="AK11" s="17" cm="1">
        <f t="array" ref="AK11">IF($C11="","",N(KW(($I11&amp;", "&amp;$AC$3),"Melta")))</f>
        <v>0</v>
      </c>
      <c r="AL11" s="17" t="b" cm="1">
        <f t="array" ref="AL11">IF($C11="","",KW(($I11&amp;", "&amp;$AC$3),"Ignores Cover")=TRUE)</f>
        <v>0</v>
      </c>
      <c r="AM11" s="17" t="b" cm="1">
        <f t="array" ref="AM11">IF($C11="","",KW(($I11&amp;", "&amp;$AC$3),"Psychic")=TRUE)</f>
        <v>0</v>
      </c>
      <c r="AN11" s="18" cm="1">
        <f t="array" ref="AN11">IF($C11="","",_xlfn.LET(_xlpm.src,$I11&amp;", "&amp;$AC$3,_xlpm.a,KWANTI(_xlpm.src,($O$6&amp;", "&amp;$AD$3)),_xlpm.c,KWMIN(_xlpm.src,"Critical Wounds"),MIN(_xlpm.a,IF(ISNUMBER(_xlpm.c),MEDIAN(2,6,_xlpm.c),6))))</f>
        <v>6</v>
      </c>
      <c r="AO11" s="18" cm="1">
        <f t="array" ref="AO11">IF($C11="","",IF($AA11,0,_xlfn.LET(_xlpm.src,$I11&amp;", "&amp;$AC$3,_xlpm.stat,$F$3="Yes",IF(KW(_xlpm.src,"Snap Shooting")=TRUE,IF(_xlpm.stat,4,6),_xlfn.LET(_xlpm.psy,$AM11,_xlpm.hv,$AG11*_xlpm.stat,_xlpm.dmg,-($I$3="Yes"),_xlpm.am,$AS11,_xlpm.tm,$AI$3,_xlpm.mods,IF(_xlpm.psy,MAX(0,_xlpm.hv)+MAX(0,_xlpm.am)+MAX(0,_xlpm.tm),_xlpm.hv+_xlpm.dmg+_xlpm.am+_xlpm.tm),_xlpm.cov,AND(OR($G$3="Yes",$AB$3),NOT($AL11),NOT(_xlpm.psy)),_xlpm.bs,MIN(6,MAX(2,$E11+IF(_xlpm.psy,MIN(0,$BB11),$BB11+_xlpm.cov))),MEDIAN(2,6,_xlpm.bs-MAX(-1,MIN(1,_xlpm.mods))))))))</f>
        <v>3</v>
      </c>
      <c r="AP11" s="18">
        <f t="shared" si="8"/>
        <v>5</v>
      </c>
      <c r="AQ11" s="18">
        <f t="shared" si="9"/>
        <v>4</v>
      </c>
      <c r="AR11" s="19">
        <f t="shared" si="7"/>
        <v>17</v>
      </c>
      <c r="AS11" s="19" cm="1">
        <f t="array" ref="AS11">IF($C11="","",KWSUM(($I11&amp;", "&amp;$AC$3),"Hit Modifier"))</f>
        <v>0</v>
      </c>
      <c r="AT11" s="19" cm="1">
        <f t="array" ref="AT11">IF($C11="","",KWSUM(($I11&amp;", "&amp;$AC$3),"Wound Modifier"))</f>
        <v>0</v>
      </c>
      <c r="AU11" s="19" cm="1">
        <f t="array" ref="AU11">IF($C11="","",KWSUM(($I11&amp;", "&amp;$AC$3),"AP Modifier"))</f>
        <v>0</v>
      </c>
      <c r="AV11" s="19" cm="1">
        <f t="array" ref="AV11">IF($C11="","",KWSUM(($I11&amp;", "&amp;$AC$3),"Damage Modifier"))</f>
        <v>0</v>
      </c>
      <c r="AW11" s="19" cm="1">
        <f t="array" ref="AW11">IF($C11="","",_xlfn.LET(_xlpm.src,$I11&amp;", "&amp;$AC$3,IF(KW(_xlpm.src,"Snap Shooting")=TRUE,0,_xlfn.LET(_xlpm.full,ISNUMBER(_xlfn.XMATCH("Reroll Hits",TRIM(_xlfn.TEXTSPLIT(_xlpm.src,",")))),_xlpm.r,KW(_xlpm.src,"Reroll Hits"),IF(_xlpm.full,2,IF(N(_xlpm.r)&gt;=1,1,0))))))</f>
        <v>0</v>
      </c>
      <c r="AX11" s="19" cm="1">
        <f t="array" ref="AX11">IF($C11="","",_xlfn.LET(_xlpm.src,$I11&amp;", "&amp;$AC$3,_xlpm.full,OR($AE11,ISNUMBER(_xlfn.XMATCH("Reroll Wounds",TRIM(_xlfn.TEXTSPLIT(_xlpm.src,","))))),_xlpm.r,KW(_xlpm.src,"Reroll Wounds"),IF(_xlpm.full,2,IF(N(_xlpm.r)&gt;=1,1,0))))</f>
        <v>0</v>
      </c>
      <c r="AY11" s="19">
        <f t="shared" si="10"/>
        <v>0.16666666666666666</v>
      </c>
      <c r="AZ11" s="19" cm="1">
        <f t="array" ref="AZ11">IF($C11="","",KWSUM($I11&amp;", "&amp;$AC$3,"Attacks Modifier"))</f>
        <v>0</v>
      </c>
      <c r="BA11" s="19" cm="1">
        <f t="array" ref="BA11">IF($C11="","",KWSUM($I11&amp;", "&amp;$AC$3,"Strength Modifier"))</f>
        <v>0</v>
      </c>
      <c r="BB11" s="19" cm="1">
        <f t="array" ref="BB11">IF($C11="","",KWSUM($I11&amp;", "&amp;$AC$3,"BS Modifier"))</f>
        <v>0</v>
      </c>
      <c r="BC11" s="19" cm="1">
        <f t="array" ref="BC11">IF($C11="","",_xlfn.LET(_xlpm.src,$I11&amp;", "&amp;$AC$3,_xlpm.c,KWMIN(_xlpm.src,"Critical Hits"),IF(KW(_xlpm.src,"Snap Shooting")=TRUE,6,IF(ISNUMBER(_xlpm.c),MEDIAN(2,6,_xlpm.c),6))))</f>
        <v>6</v>
      </c>
      <c r="BD11" s="19" cm="1">
        <f t="array" ref="BD11">IF($C11="","",KWSUM($I11&amp;", "&amp;$AC$3,"Save Modifier"))</f>
        <v>0</v>
      </c>
      <c r="BF11" s="5" t="str">
        <v>Plague Marines (Meele)</v>
      </c>
      <c r="BH11" s="5" t="str">
        <v>Tallyman (DeathGuard)</v>
      </c>
    </row>
    <row r="12" spans="1:64" x14ac:dyDescent="0.25">
      <c r="A12" s="38" t="b">
        <v>1</v>
      </c>
      <c r="B12" s="59">
        <v>1</v>
      </c>
      <c r="C12" s="30" t="str">
        <v>Plasma Pistol Supercharged</v>
      </c>
      <c r="D12">
        <v>1</v>
      </c>
      <c r="E12">
        <v>3</v>
      </c>
      <c r="F12">
        <v>8</v>
      </c>
      <c r="G12">
        <v>-3</v>
      </c>
      <c r="H12">
        <v>2</v>
      </c>
      <c r="I12" s="1" t="str">
        <v/>
      </c>
      <c r="J12" s="120"/>
      <c r="K12" s="122"/>
      <c r="L12" s="122"/>
      <c r="M12" s="122"/>
      <c r="N12" s="122"/>
      <c r="O12" s="118"/>
      <c r="P12" s="24" cm="1">
        <f t="array" ref="P12">IF(OR($C12="",NOT($A12)),"",N($B12)*(MAX(1,DICEAVG($D12)+$AZ12)+$AH12*($E$3="Yes")+($AI12+$AJ12)*INT($H$3/5)))</f>
        <v>1</v>
      </c>
      <c r="Q12" s="24">
        <f t="shared" si="11"/>
        <v>0.66666666666666663</v>
      </c>
      <c r="R12" s="24">
        <f t="shared" si="0"/>
        <v>0</v>
      </c>
      <c r="S12" s="24">
        <f t="shared" si="1"/>
        <v>0.22222222222222221</v>
      </c>
      <c r="T12" s="24">
        <f t="shared" si="2"/>
        <v>0</v>
      </c>
      <c r="U12" s="24">
        <f t="shared" si="3"/>
        <v>0.14814814814814814</v>
      </c>
      <c r="V12" s="24" cm="1">
        <f t="array" ref="V12">IF(OR($C12="",NOT($A12)),"",MAX(1,DICEAVG($H12)+$AK12*($E$3="Yes")+$AV12+$AH$3))</f>
        <v>2</v>
      </c>
      <c r="W12" s="24">
        <f t="shared" si="4"/>
        <v>0.29629629629629628</v>
      </c>
      <c r="X12" s="24">
        <f t="shared" si="5"/>
        <v>1.6460905349794237E-2</v>
      </c>
      <c r="Y12" s="31" t="str">
        <f t="shared" si="6"/>
        <v>0.30 dmg, 0.02 kills</v>
      </c>
      <c r="AA12" s="17" t="b" cm="1">
        <f t="array" ref="AA12">IF($C12="","",KW(($I12&amp;", "&amp;$AC$3),"Torrent")=TRUE)</f>
        <v>0</v>
      </c>
      <c r="AB12" s="17" t="b" cm="1">
        <f t="array" ref="AB12">IF($C12="","",KW(($I12&amp;", "&amp;$AC$3),"Lethal Hits")=TRUE)</f>
        <v>0</v>
      </c>
      <c r="AC12" s="17" cm="1">
        <f t="array" ref="AC12">IF($C12="","",N(KW(($I12&amp;", "&amp;$AC$3),"Sustained Hits")))</f>
        <v>0</v>
      </c>
      <c r="AD12" s="17" t="b" cm="1">
        <f t="array" ref="AD12">IF($C12="","",KW(($I12&amp;", "&amp;$AC$3),"Devastating Wounds")=TRUE)</f>
        <v>0</v>
      </c>
      <c r="AE12" s="17" t="b" cm="1">
        <f t="array" ref="AE12">IF($C12="","",KW(($I12&amp;", "&amp;$AC$3),"Twin-Linked")=TRUE)</f>
        <v>0</v>
      </c>
      <c r="AF12" s="17" t="b" cm="1">
        <f t="array" ref="AF12">IF($C12="","",KW(($I12&amp;", "&amp;$AC$3),"Lance")=TRUE)</f>
        <v>0</v>
      </c>
      <c r="AG12" s="17" t="b" cm="1">
        <f t="array" ref="AG12">IF($C12="","",KW(($I12&amp;", "&amp;$AC$3),"Heavy")=TRUE)</f>
        <v>0</v>
      </c>
      <c r="AH12" s="17" cm="1">
        <f t="array" ref="AH12">IF($C12="","",N(KW(($I12&amp;", "&amp;$AC$3),"Rapid Fire")))</f>
        <v>0</v>
      </c>
      <c r="AI12" s="17" cm="1">
        <f t="array" ref="AI12">IF($C12="","",N(KW(($I12&amp;", "&amp;$AC$3),"Blast")))</f>
        <v>0</v>
      </c>
      <c r="AJ12" s="17" cm="1">
        <f t="array" ref="AJ12">IF($C12="","",N(KW(($I12&amp;", "&amp;$AC$3),"Cleave")))</f>
        <v>0</v>
      </c>
      <c r="AK12" s="17" cm="1">
        <f t="array" ref="AK12">IF($C12="","",N(KW(($I12&amp;", "&amp;$AC$3),"Melta")))</f>
        <v>0</v>
      </c>
      <c r="AL12" s="17" t="b" cm="1">
        <f t="array" ref="AL12">IF($C12="","",KW(($I12&amp;", "&amp;$AC$3),"Ignores Cover")=TRUE)</f>
        <v>0</v>
      </c>
      <c r="AM12" s="17" t="b" cm="1">
        <f t="array" ref="AM12">IF($C12="","",KW(($I12&amp;", "&amp;$AC$3),"Psychic")=TRUE)</f>
        <v>0</v>
      </c>
      <c r="AN12" s="18" cm="1">
        <f t="array" ref="AN12">IF($C12="","",_xlfn.LET(_xlpm.src,$I12&amp;", "&amp;$AC$3,_xlpm.a,KWANTI(_xlpm.src,($O$6&amp;", "&amp;$AD$3)),_xlpm.c,KWMIN(_xlpm.src,"Critical Wounds"),MIN(_xlpm.a,IF(ISNUMBER(_xlpm.c),MEDIAN(2,6,_xlpm.c),6))))</f>
        <v>6</v>
      </c>
      <c r="AO12" s="18" cm="1">
        <f t="array" ref="AO12">IF($C12="","",IF($AA12,0,_xlfn.LET(_xlpm.src,$I12&amp;", "&amp;$AC$3,_xlpm.stat,$F$3="Yes",IF(KW(_xlpm.src,"Snap Shooting")=TRUE,IF(_xlpm.stat,4,6),_xlfn.LET(_xlpm.psy,$AM12,_xlpm.hv,$AG12*_xlpm.stat,_xlpm.dmg,-($I$3="Yes"),_xlpm.am,$AS12,_xlpm.tm,$AI$3,_xlpm.mods,IF(_xlpm.psy,MAX(0,_xlpm.hv)+MAX(0,_xlpm.am)+MAX(0,_xlpm.tm),_xlpm.hv+_xlpm.dmg+_xlpm.am+_xlpm.tm),_xlpm.cov,AND(OR($G$3="Yes",$AB$3),NOT($AL12),NOT(_xlpm.psy)),_xlpm.bs,MIN(6,MAX(2,$E12+IF(_xlpm.psy,MIN(0,$BB12),$BB12+_xlpm.cov))),MEDIAN(2,6,_xlpm.bs-MAX(-1,MIN(1,_xlpm.mods))))))))</f>
        <v>3</v>
      </c>
      <c r="AP12" s="18">
        <f t="shared" si="8"/>
        <v>5</v>
      </c>
      <c r="AQ12" s="18">
        <f t="shared" si="9"/>
        <v>5</v>
      </c>
      <c r="AR12" s="19">
        <f t="shared" si="7"/>
        <v>9</v>
      </c>
      <c r="AS12" s="19" cm="1">
        <f t="array" ref="AS12">IF($C12="","",KWSUM(($I12&amp;", "&amp;$AC$3),"Hit Modifier"))</f>
        <v>0</v>
      </c>
      <c r="AT12" s="19" cm="1">
        <f t="array" ref="AT12">IF($C12="","",KWSUM(($I12&amp;", "&amp;$AC$3),"Wound Modifier"))</f>
        <v>0</v>
      </c>
      <c r="AU12" s="19" cm="1">
        <f t="array" ref="AU12">IF($C12="","",KWSUM(($I12&amp;", "&amp;$AC$3),"AP Modifier"))</f>
        <v>0</v>
      </c>
      <c r="AV12" s="19" cm="1">
        <f t="array" ref="AV12">IF($C12="","",KWSUM(($I12&amp;", "&amp;$AC$3),"Damage Modifier"))</f>
        <v>0</v>
      </c>
      <c r="AW12" s="19" cm="1">
        <f t="array" ref="AW12">IF($C12="","",_xlfn.LET(_xlpm.src,$I12&amp;", "&amp;$AC$3,IF(KW(_xlpm.src,"Snap Shooting")=TRUE,0,_xlfn.LET(_xlpm.full,ISNUMBER(_xlfn.XMATCH("Reroll Hits",TRIM(_xlfn.TEXTSPLIT(_xlpm.src,",")))),_xlpm.r,KW(_xlpm.src,"Reroll Hits"),IF(_xlpm.full,2,IF(N(_xlpm.r)&gt;=1,1,0))))))</f>
        <v>0</v>
      </c>
      <c r="AX12" s="19" cm="1">
        <f t="array" ref="AX12">IF($C12="","",_xlfn.LET(_xlpm.src,$I12&amp;", "&amp;$AC$3,_xlpm.full,OR($AE12,ISNUMBER(_xlfn.XMATCH("Reroll Wounds",TRIM(_xlfn.TEXTSPLIT(_xlpm.src,","))))),_xlpm.r,KW(_xlpm.src,"Reroll Wounds"),IF(_xlpm.full,2,IF(N(_xlpm.r)&gt;=1,1,0))))</f>
        <v>0</v>
      </c>
      <c r="AY12" s="19">
        <f t="shared" si="10"/>
        <v>0.16666666666666666</v>
      </c>
      <c r="AZ12" s="19" cm="1">
        <f t="array" ref="AZ12">IF($C12="","",KWSUM($I12&amp;", "&amp;$AC$3,"Attacks Modifier"))</f>
        <v>0</v>
      </c>
      <c r="BA12" s="19" cm="1">
        <f t="array" ref="BA12">IF($C12="","",KWSUM($I12&amp;", "&amp;$AC$3,"Strength Modifier"))</f>
        <v>0</v>
      </c>
      <c r="BB12" s="19" cm="1">
        <f t="array" ref="BB12">IF($C12="","",KWSUM($I12&amp;", "&amp;$AC$3,"BS Modifier"))</f>
        <v>0</v>
      </c>
      <c r="BC12" s="19" cm="1">
        <f t="array" ref="BC12">IF($C12="","",_xlfn.LET(_xlpm.src,$I12&amp;", "&amp;$AC$3,_xlpm.c,KWMIN(_xlpm.src,"Critical Hits"),IF(KW(_xlpm.src,"Snap Shooting")=TRUE,6,IF(ISNUMBER(_xlpm.c),MEDIAN(2,6,_xlpm.c),6))))</f>
        <v>6</v>
      </c>
      <c r="BD12" s="19" cm="1">
        <f t="array" ref="BD12">IF($C12="","",KWSUM($I12&amp;", "&amp;$AC$3,"Save Modifier"))</f>
        <v>0</v>
      </c>
      <c r="BH12" s="5" t="str">
        <v>Typhus (DeathGuard)</v>
      </c>
    </row>
    <row r="13" spans="1:64" x14ac:dyDescent="0.25">
      <c r="A13" s="38" t="b">
        <v>1</v>
      </c>
      <c r="B13" s="59">
        <v>1</v>
      </c>
      <c r="C13" s="30"/>
      <c r="D13"/>
      <c r="E13"/>
      <c r="F13"/>
      <c r="G13"/>
      <c r="H13"/>
      <c r="I13" s="1"/>
      <c r="J13" s="120"/>
      <c r="K13" s="122"/>
      <c r="L13" s="122"/>
      <c r="M13" s="122"/>
      <c r="N13" s="122"/>
      <c r="O13" s="118"/>
      <c r="P13" s="24" t="str" cm="1">
        <f t="array" ref="P13">IF(OR($C13="",NOT($A13)),"",N($B13)*(MAX(1,DICEAVG($D13)+$AZ13)+$AH13*($E$3="Yes")+($AI13+$AJ13)*INT($H$3/5)))</f>
        <v/>
      </c>
      <c r="Q13" s="24" t="str">
        <f t="shared" si="11"/>
        <v/>
      </c>
      <c r="R13" s="24" t="str">
        <f t="shared" si="0"/>
        <v/>
      </c>
      <c r="S13" s="24" t="str">
        <f t="shared" si="1"/>
        <v/>
      </c>
      <c r="T13" s="24" t="str">
        <f t="shared" si="2"/>
        <v/>
      </c>
      <c r="U13" s="24" t="str">
        <f t="shared" si="3"/>
        <v/>
      </c>
      <c r="V13" s="24" t="str" cm="1">
        <f t="array" ref="V13">IF(OR($C13="",NOT($A13)),"",MAX(1,DICEAVG($H13)+$AK13*($E$3="Yes")+$AV13+$AH$3))</f>
        <v/>
      </c>
      <c r="W13" s="24" t="str">
        <f t="shared" si="4"/>
        <v/>
      </c>
      <c r="X13" s="24" t="str">
        <f t="shared" si="5"/>
        <v/>
      </c>
      <c r="Y13" s="31" t="str">
        <f t="shared" si="6"/>
        <v/>
      </c>
      <c r="AA13" s="17" t="str" cm="1">
        <f t="array" ref="AA13">IF($C13="","",KW(($I13&amp;", "&amp;$AC$3),"Torrent")=TRUE)</f>
        <v/>
      </c>
      <c r="AB13" s="17" t="str" cm="1">
        <f t="array" ref="AB13">IF($C13="","",KW(($I13&amp;", "&amp;$AC$3),"Lethal Hits")=TRUE)</f>
        <v/>
      </c>
      <c r="AC13" s="17" t="str" cm="1">
        <f t="array" ref="AC13">IF($C13="","",N(KW(($I13&amp;", "&amp;$AC$3),"Sustained Hits")))</f>
        <v/>
      </c>
      <c r="AD13" s="17" t="str" cm="1">
        <f t="array" ref="AD13">IF($C13="","",KW(($I13&amp;", "&amp;$AC$3),"Devastating Wounds")=TRUE)</f>
        <v/>
      </c>
      <c r="AE13" s="17" t="str" cm="1">
        <f t="array" ref="AE13">IF($C13="","",KW(($I13&amp;", "&amp;$AC$3),"Twin-Linked")=TRUE)</f>
        <v/>
      </c>
      <c r="AF13" s="17" t="str" cm="1">
        <f t="array" ref="AF13">IF($C13="","",KW(($I13&amp;", "&amp;$AC$3),"Lance")=TRUE)</f>
        <v/>
      </c>
      <c r="AG13" s="17" t="str" cm="1">
        <f t="array" ref="AG13">IF($C13="","",KW(($I13&amp;", "&amp;$AC$3),"Heavy")=TRUE)</f>
        <v/>
      </c>
      <c r="AH13" s="17" t="str" cm="1">
        <f t="array" ref="AH13">IF($C13="","",N(KW(($I13&amp;", "&amp;$AC$3),"Rapid Fire")))</f>
        <v/>
      </c>
      <c r="AI13" s="17" t="str" cm="1">
        <f t="array" ref="AI13">IF($C13="","",N(KW(($I13&amp;", "&amp;$AC$3),"Blast")))</f>
        <v/>
      </c>
      <c r="AJ13" s="17" t="str" cm="1">
        <f t="array" ref="AJ13">IF($C13="","",N(KW(($I13&amp;", "&amp;$AC$3),"Cleave")))</f>
        <v/>
      </c>
      <c r="AK13" s="17" t="str" cm="1">
        <f t="array" ref="AK13">IF($C13="","",N(KW(($I13&amp;", "&amp;$AC$3),"Melta")))</f>
        <v/>
      </c>
      <c r="AL13" s="17" t="str" cm="1">
        <f t="array" ref="AL13">IF($C13="","",KW(($I13&amp;", "&amp;$AC$3),"Ignores Cover")=TRUE)</f>
        <v/>
      </c>
      <c r="AM13" s="17" t="str" cm="1">
        <f t="array" ref="AM13">IF($C13="","",KW(($I13&amp;", "&amp;$AC$3),"Psychic")=TRUE)</f>
        <v/>
      </c>
      <c r="AN13" s="18" t="str" cm="1">
        <f t="array" ref="AN13">IF($C13="","",_xlfn.LET(_xlpm.src,$I13&amp;", "&amp;$AC$3,_xlpm.a,KWANTI(_xlpm.src,($O$6&amp;", "&amp;$AD$3)),_xlpm.c,KWMIN(_xlpm.src,"Critical Wounds"),MIN(_xlpm.a,IF(ISNUMBER(_xlpm.c),MEDIAN(2,6,_xlpm.c),6))))</f>
        <v/>
      </c>
      <c r="AO13" s="18" t="str" cm="1">
        <f t="array" ref="AO13">IF($C13="","",IF($AA13,0,_xlfn.LET(_xlpm.src,$I13&amp;", "&amp;$AC$3,_xlpm.stat,$F$3="Yes",IF(KW(_xlpm.src,"Snap Shooting")=TRUE,IF(_xlpm.stat,4,6),_xlfn.LET(_xlpm.psy,$AM13,_xlpm.hv,$AG13*_xlpm.stat,_xlpm.dmg,-($I$3="Yes"),_xlpm.am,$AS13,_xlpm.tm,$AI$3,_xlpm.mods,IF(_xlpm.psy,MAX(0,_xlpm.hv)+MAX(0,_xlpm.am)+MAX(0,_xlpm.tm),_xlpm.hv+_xlpm.dmg+_xlpm.am+_xlpm.tm),_xlpm.cov,AND(OR($G$3="Yes",$AB$3),NOT($AL13),NOT(_xlpm.psy)),_xlpm.bs,MIN(6,MAX(2,$E13+IF(_xlpm.psy,MIN(0,$BB13),$BB13+_xlpm.cov))),MEDIAN(2,6,_xlpm.bs-MAX(-1,MIN(1,_xlpm.mods))))))))</f>
        <v/>
      </c>
      <c r="AP13" s="18" t="str">
        <f t="shared" si="8"/>
        <v/>
      </c>
      <c r="AQ13" s="18" t="str">
        <f t="shared" si="9"/>
        <v/>
      </c>
      <c r="AR13" s="19" t="str">
        <f t="shared" si="7"/>
        <v/>
      </c>
      <c r="AS13" s="19" t="str" cm="1">
        <f t="array" ref="AS13">IF($C13="","",KWSUM(($I13&amp;", "&amp;$AC$3),"Hit Modifier"))</f>
        <v/>
      </c>
      <c r="AT13" s="19" t="str" cm="1">
        <f t="array" ref="AT13">IF($C13="","",KWSUM(($I13&amp;", "&amp;$AC$3),"Wound Modifier"))</f>
        <v/>
      </c>
      <c r="AU13" s="19" t="str" cm="1">
        <f t="array" ref="AU13">IF($C13="","",KWSUM(($I13&amp;", "&amp;$AC$3),"AP Modifier"))</f>
        <v/>
      </c>
      <c r="AV13" s="19" t="str" cm="1">
        <f t="array" ref="AV13">IF($C13="","",KWSUM(($I13&amp;", "&amp;$AC$3),"Damage Modifier"))</f>
        <v/>
      </c>
      <c r="AW13" s="19" t="str" cm="1">
        <f t="array" ref="AW13">IF($C13="","",_xlfn.LET(_xlpm.src,$I13&amp;", "&amp;$AC$3,IF(KW(_xlpm.src,"Snap Shooting")=TRUE,0,_xlfn.LET(_xlpm.full,ISNUMBER(_xlfn.XMATCH("Reroll Hits",TRIM(_xlfn.TEXTSPLIT(_xlpm.src,",")))),_xlpm.r,KW(_xlpm.src,"Reroll Hits"),IF(_xlpm.full,2,IF(N(_xlpm.r)&gt;=1,1,0))))))</f>
        <v/>
      </c>
      <c r="AX13" s="19" t="str" cm="1">
        <f t="array" ref="AX13">IF($C13="","",_xlfn.LET(_xlpm.src,$I13&amp;", "&amp;$AC$3,_xlpm.full,OR($AE13,ISNUMBER(_xlfn.XMATCH("Reroll Wounds",TRIM(_xlfn.TEXTSPLIT(_xlpm.src,","))))),_xlpm.r,KW(_xlpm.src,"Reroll Wounds"),IF(_xlpm.full,2,IF(N(_xlpm.r)&gt;=1,1,0))))</f>
        <v/>
      </c>
      <c r="AY13" s="19" t="str">
        <f t="shared" si="10"/>
        <v/>
      </c>
      <c r="AZ13" s="19" t="str" cm="1">
        <f t="array" ref="AZ13">IF($C13="","",KWSUM($I13&amp;", "&amp;$AC$3,"Attacks Modifier"))</f>
        <v/>
      </c>
      <c r="BA13" s="19" t="str" cm="1">
        <f t="array" ref="BA13">IF($C13="","",KWSUM($I13&amp;", "&amp;$AC$3,"Strength Modifier"))</f>
        <v/>
      </c>
      <c r="BB13" s="19" t="str" cm="1">
        <f t="array" ref="BB13">IF($C13="","",KWSUM($I13&amp;", "&amp;$AC$3,"BS Modifier"))</f>
        <v/>
      </c>
      <c r="BC13" s="19" t="str" cm="1">
        <f t="array" ref="BC13">IF($C13="","",_xlfn.LET(_xlpm.src,$I13&amp;", "&amp;$AC$3,_xlpm.c,KWMIN(_xlpm.src,"Critical Hits"),IF(KW(_xlpm.src,"Snap Shooting")=TRUE,6,IF(ISNUMBER(_xlpm.c),MEDIAN(2,6,_xlpm.c),6))))</f>
        <v/>
      </c>
      <c r="BD13" s="19" t="str" cm="1">
        <f t="array" ref="BD13">IF($C13="","",KWSUM($I13&amp;", "&amp;$AC$3,"Save Modifier"))</f>
        <v/>
      </c>
      <c r="BH13" s="5" t="str">
        <v>Chaos Spawn (DeathGuard)</v>
      </c>
    </row>
    <row r="14" spans="1:64" x14ac:dyDescent="0.25">
      <c r="A14" s="38" t="b">
        <v>1</v>
      </c>
      <c r="B14" s="59">
        <v>1</v>
      </c>
      <c r="C14" s="30"/>
      <c r="D14"/>
      <c r="E14"/>
      <c r="F14"/>
      <c r="G14"/>
      <c r="H14"/>
      <c r="I14" s="1"/>
      <c r="J14" s="120"/>
      <c r="K14" s="122"/>
      <c r="L14" s="122"/>
      <c r="M14" s="122"/>
      <c r="N14" s="122"/>
      <c r="O14" s="118"/>
      <c r="P14" s="24" t="str" cm="1">
        <f t="array" ref="P14">IF(OR($C14="",NOT($A14)),"",N($B14)*(MAX(1,DICEAVG($D14)+$AZ14)+$AH14*($E$3="Yes")+($AI14+$AJ14)*INT($H$3/5)))</f>
        <v/>
      </c>
      <c r="Q14" s="24" t="str">
        <f t="shared" si="11"/>
        <v/>
      </c>
      <c r="R14" s="24" t="str">
        <f t="shared" si="0"/>
        <v/>
      </c>
      <c r="S14" s="24" t="str">
        <f t="shared" si="1"/>
        <v/>
      </c>
      <c r="T14" s="24" t="str">
        <f t="shared" si="2"/>
        <v/>
      </c>
      <c r="U14" s="24" t="str">
        <f t="shared" si="3"/>
        <v/>
      </c>
      <c r="V14" s="24" t="str" cm="1">
        <f t="array" ref="V14">IF(OR($C14="",NOT($A14)),"",MAX(1,DICEAVG($H14)+$AK14*($E$3="Yes")+$AV14+$AH$3))</f>
        <v/>
      </c>
      <c r="W14" s="24" t="str">
        <f t="shared" si="4"/>
        <v/>
      </c>
      <c r="X14" s="24" t="str">
        <f t="shared" si="5"/>
        <v/>
      </c>
      <c r="Y14" s="31" t="str">
        <f t="shared" si="6"/>
        <v/>
      </c>
      <c r="AA14" s="17" t="str" cm="1">
        <f t="array" ref="AA14">IF($C14="","",KW(($I14&amp;", "&amp;$AC$3),"Torrent")=TRUE)</f>
        <v/>
      </c>
      <c r="AB14" s="17" t="str" cm="1">
        <f t="array" ref="AB14">IF($C14="","",KW(($I14&amp;", "&amp;$AC$3),"Lethal Hits")=TRUE)</f>
        <v/>
      </c>
      <c r="AC14" s="17" t="str" cm="1">
        <f t="array" ref="AC14">IF($C14="","",N(KW(($I14&amp;", "&amp;$AC$3),"Sustained Hits")))</f>
        <v/>
      </c>
      <c r="AD14" s="17" t="str" cm="1">
        <f t="array" ref="AD14">IF($C14="","",KW(($I14&amp;", "&amp;$AC$3),"Devastating Wounds")=TRUE)</f>
        <v/>
      </c>
      <c r="AE14" s="17" t="str" cm="1">
        <f t="array" ref="AE14">IF($C14="","",KW(($I14&amp;", "&amp;$AC$3),"Twin-Linked")=TRUE)</f>
        <v/>
      </c>
      <c r="AF14" s="17" t="str" cm="1">
        <f t="array" ref="AF14">IF($C14="","",KW(($I14&amp;", "&amp;$AC$3),"Lance")=TRUE)</f>
        <v/>
      </c>
      <c r="AG14" s="17" t="str" cm="1">
        <f t="array" ref="AG14">IF($C14="","",KW(($I14&amp;", "&amp;$AC$3),"Heavy")=TRUE)</f>
        <v/>
      </c>
      <c r="AH14" s="17" t="str" cm="1">
        <f t="array" ref="AH14">IF($C14="","",N(KW(($I14&amp;", "&amp;$AC$3),"Rapid Fire")))</f>
        <v/>
      </c>
      <c r="AI14" s="17" t="str" cm="1">
        <f t="array" ref="AI14">IF($C14="","",N(KW(($I14&amp;", "&amp;$AC$3),"Blast")))</f>
        <v/>
      </c>
      <c r="AJ14" s="17" t="str" cm="1">
        <f t="array" ref="AJ14">IF($C14="","",N(KW(($I14&amp;", "&amp;$AC$3),"Cleave")))</f>
        <v/>
      </c>
      <c r="AK14" s="17" t="str" cm="1">
        <f t="array" ref="AK14">IF($C14="","",N(KW(($I14&amp;", "&amp;$AC$3),"Melta")))</f>
        <v/>
      </c>
      <c r="AL14" s="17" t="str" cm="1">
        <f t="array" ref="AL14">IF($C14="","",KW(($I14&amp;", "&amp;$AC$3),"Ignores Cover")=TRUE)</f>
        <v/>
      </c>
      <c r="AM14" s="17" t="str" cm="1">
        <f t="array" ref="AM14">IF($C14="","",KW(($I14&amp;", "&amp;$AC$3),"Psychic")=TRUE)</f>
        <v/>
      </c>
      <c r="AN14" s="18" t="str" cm="1">
        <f t="array" ref="AN14">IF($C14="","",_xlfn.LET(_xlpm.src,$I14&amp;", "&amp;$AC$3,_xlpm.a,KWANTI(_xlpm.src,($O$6&amp;", "&amp;$AD$3)),_xlpm.c,KWMIN(_xlpm.src,"Critical Wounds"),MIN(_xlpm.a,IF(ISNUMBER(_xlpm.c),MEDIAN(2,6,_xlpm.c),6))))</f>
        <v/>
      </c>
      <c r="AO14" s="18" t="str" cm="1">
        <f t="array" ref="AO14">IF($C14="","",IF($AA14,0,_xlfn.LET(_xlpm.src,$I14&amp;", "&amp;$AC$3,_xlpm.stat,$F$3="Yes",IF(KW(_xlpm.src,"Snap Shooting")=TRUE,IF(_xlpm.stat,4,6),_xlfn.LET(_xlpm.psy,$AM14,_xlpm.hv,$AG14*_xlpm.stat,_xlpm.dmg,-($I$3="Yes"),_xlpm.am,$AS14,_xlpm.tm,$AI$3,_xlpm.mods,IF(_xlpm.psy,MAX(0,_xlpm.hv)+MAX(0,_xlpm.am)+MAX(0,_xlpm.tm),_xlpm.hv+_xlpm.dmg+_xlpm.am+_xlpm.tm),_xlpm.cov,AND(OR($G$3="Yes",$AB$3),NOT($AL14),NOT(_xlpm.psy)),_xlpm.bs,MIN(6,MAX(2,$E14+IF(_xlpm.psy,MIN(0,$BB14),$BB14+_xlpm.cov))),MEDIAN(2,6,_xlpm.bs-MAX(-1,MIN(1,_xlpm.mods))))))))</f>
        <v/>
      </c>
      <c r="AP14" s="18" t="str">
        <f t="shared" si="8"/>
        <v/>
      </c>
      <c r="AQ14" s="18" t="str">
        <f t="shared" si="9"/>
        <v/>
      </c>
      <c r="AR14" s="19" t="str">
        <f t="shared" si="7"/>
        <v/>
      </c>
      <c r="AS14" s="19" t="str" cm="1">
        <f t="array" ref="AS14">IF($C14="","",KWSUM(($I14&amp;", "&amp;$AC$3),"Hit Modifier"))</f>
        <v/>
      </c>
      <c r="AT14" s="19" t="str" cm="1">
        <f t="array" ref="AT14">IF($C14="","",KWSUM(($I14&amp;", "&amp;$AC$3),"Wound Modifier"))</f>
        <v/>
      </c>
      <c r="AU14" s="19" t="str" cm="1">
        <f t="array" ref="AU14">IF($C14="","",KWSUM(($I14&amp;", "&amp;$AC$3),"AP Modifier"))</f>
        <v/>
      </c>
      <c r="AV14" s="19" t="str" cm="1">
        <f t="array" ref="AV14">IF($C14="","",KWSUM(($I14&amp;", "&amp;$AC$3),"Damage Modifier"))</f>
        <v/>
      </c>
      <c r="AW14" s="19" t="str" cm="1">
        <f t="array" ref="AW14">IF($C14="","",_xlfn.LET(_xlpm.src,$I14&amp;", "&amp;$AC$3,IF(KW(_xlpm.src,"Snap Shooting")=TRUE,0,_xlfn.LET(_xlpm.full,ISNUMBER(_xlfn.XMATCH("Reroll Hits",TRIM(_xlfn.TEXTSPLIT(_xlpm.src,",")))),_xlpm.r,KW(_xlpm.src,"Reroll Hits"),IF(_xlpm.full,2,IF(N(_xlpm.r)&gt;=1,1,0))))))</f>
        <v/>
      </c>
      <c r="AX14" s="19" t="str" cm="1">
        <f t="array" ref="AX14">IF($C14="","",_xlfn.LET(_xlpm.src,$I14&amp;", "&amp;$AC$3,_xlpm.full,OR($AE14,ISNUMBER(_xlfn.XMATCH("Reroll Wounds",TRIM(_xlfn.TEXTSPLIT(_xlpm.src,","))))),_xlpm.r,KW(_xlpm.src,"Reroll Wounds"),IF(_xlpm.full,2,IF(N(_xlpm.r)&gt;=1,1,0))))</f>
        <v/>
      </c>
      <c r="AY14" s="19" t="str">
        <f t="shared" si="10"/>
        <v/>
      </c>
      <c r="AZ14" s="19" t="str" cm="1">
        <f t="array" ref="AZ14">IF($C14="","",KWSUM($I14&amp;", "&amp;$AC$3,"Attacks Modifier"))</f>
        <v/>
      </c>
      <c r="BA14" s="19" t="str" cm="1">
        <f t="array" ref="BA14">IF($C14="","",KWSUM($I14&amp;", "&amp;$AC$3,"Strength Modifier"))</f>
        <v/>
      </c>
      <c r="BB14" s="19" t="str" cm="1">
        <f t="array" ref="BB14">IF($C14="","",KWSUM($I14&amp;", "&amp;$AC$3,"BS Modifier"))</f>
        <v/>
      </c>
      <c r="BC14" s="19" t="str" cm="1">
        <f t="array" ref="BC14">IF($C14="","",_xlfn.LET(_xlpm.src,$I14&amp;", "&amp;$AC$3,_xlpm.c,KWMIN(_xlpm.src,"Critical Hits"),IF(KW(_xlpm.src,"Snap Shooting")=TRUE,6,IF(ISNUMBER(_xlpm.c),MEDIAN(2,6,_xlpm.c),6))))</f>
        <v/>
      </c>
      <c r="BD14" s="19" t="str" cm="1">
        <f t="array" ref="BD14">IF($C14="","",KWSUM($I14&amp;", "&amp;$AC$3,"Save Modifier"))</f>
        <v/>
      </c>
      <c r="BH14" s="5" t="str">
        <v>Plague Marines (Meele) (DeathGuard)</v>
      </c>
    </row>
    <row r="15" spans="1:64" x14ac:dyDescent="0.25">
      <c r="A15" s="38" t="b">
        <v>1</v>
      </c>
      <c r="B15" s="59">
        <v>1</v>
      </c>
      <c r="C15" s="30"/>
      <c r="D15"/>
      <c r="E15"/>
      <c r="F15"/>
      <c r="G15"/>
      <c r="H15"/>
      <c r="I15" s="1"/>
      <c r="J15" s="120"/>
      <c r="K15" s="122"/>
      <c r="L15" s="122"/>
      <c r="M15" s="122"/>
      <c r="N15" s="122"/>
      <c r="O15" s="118"/>
      <c r="P15" s="24" t="str" cm="1">
        <f t="array" ref="P15">IF(OR($C15="",NOT($A15)),"",N($B15)*(MAX(1,DICEAVG($D15)+$AZ15)+$AH15*($E$3="Yes")+($AI15+$AJ15)*INT($H$3/5)))</f>
        <v/>
      </c>
      <c r="Q15" s="24" t="str">
        <f t="shared" si="11"/>
        <v/>
      </c>
      <c r="R15" s="24" t="str">
        <f t="shared" si="0"/>
        <v/>
      </c>
      <c r="S15" s="24" t="str">
        <f t="shared" si="1"/>
        <v/>
      </c>
      <c r="T15" s="24" t="str">
        <f t="shared" si="2"/>
        <v/>
      </c>
      <c r="U15" s="24" t="str">
        <f t="shared" si="3"/>
        <v/>
      </c>
      <c r="V15" s="24" t="str" cm="1">
        <f t="array" ref="V15">IF(OR($C15="",NOT($A15)),"",MAX(1,DICEAVG($H15)+$AK15*($E$3="Yes")+$AV15+$AH$3))</f>
        <v/>
      </c>
      <c r="W15" s="24" t="str">
        <f t="shared" si="4"/>
        <v/>
      </c>
      <c r="X15" s="24" t="str">
        <f t="shared" si="5"/>
        <v/>
      </c>
      <c r="Y15" s="31" t="str">
        <f t="shared" si="6"/>
        <v/>
      </c>
      <c r="AA15" s="17" t="str" cm="1">
        <f t="array" ref="AA15">IF($C15="","",KW(($I15&amp;", "&amp;$AC$3),"Torrent")=TRUE)</f>
        <v/>
      </c>
      <c r="AB15" s="17" t="str" cm="1">
        <f t="array" ref="AB15">IF($C15="","",KW(($I15&amp;", "&amp;$AC$3),"Lethal Hits")=TRUE)</f>
        <v/>
      </c>
      <c r="AC15" s="17" t="str" cm="1">
        <f t="array" ref="AC15">IF($C15="","",N(KW(($I15&amp;", "&amp;$AC$3),"Sustained Hits")))</f>
        <v/>
      </c>
      <c r="AD15" s="17" t="str" cm="1">
        <f t="array" ref="AD15">IF($C15="","",KW(($I15&amp;", "&amp;$AC$3),"Devastating Wounds")=TRUE)</f>
        <v/>
      </c>
      <c r="AE15" s="17" t="str" cm="1">
        <f t="array" ref="AE15">IF($C15="","",KW(($I15&amp;", "&amp;$AC$3),"Twin-Linked")=TRUE)</f>
        <v/>
      </c>
      <c r="AF15" s="17" t="str" cm="1">
        <f t="array" ref="AF15">IF($C15="","",KW(($I15&amp;", "&amp;$AC$3),"Lance")=TRUE)</f>
        <v/>
      </c>
      <c r="AG15" s="17" t="str" cm="1">
        <f t="array" ref="AG15">IF($C15="","",KW(($I15&amp;", "&amp;$AC$3),"Heavy")=TRUE)</f>
        <v/>
      </c>
      <c r="AH15" s="17" t="str" cm="1">
        <f t="array" ref="AH15">IF($C15="","",N(KW(($I15&amp;", "&amp;$AC$3),"Rapid Fire")))</f>
        <v/>
      </c>
      <c r="AI15" s="17" t="str" cm="1">
        <f t="array" ref="AI15">IF($C15="","",N(KW(($I15&amp;", "&amp;$AC$3),"Blast")))</f>
        <v/>
      </c>
      <c r="AJ15" s="17" t="str" cm="1">
        <f t="array" ref="AJ15">IF($C15="","",N(KW(($I15&amp;", "&amp;$AC$3),"Cleave")))</f>
        <v/>
      </c>
      <c r="AK15" s="17" t="str" cm="1">
        <f t="array" ref="AK15">IF($C15="","",N(KW(($I15&amp;", "&amp;$AC$3),"Melta")))</f>
        <v/>
      </c>
      <c r="AL15" s="17" t="str" cm="1">
        <f t="array" ref="AL15">IF($C15="","",KW(($I15&amp;", "&amp;$AC$3),"Ignores Cover")=TRUE)</f>
        <v/>
      </c>
      <c r="AM15" s="17" t="str" cm="1">
        <f t="array" ref="AM15">IF($C15="","",KW(($I15&amp;", "&amp;$AC$3),"Psychic")=TRUE)</f>
        <v/>
      </c>
      <c r="AN15" s="18" t="str" cm="1">
        <f t="array" ref="AN15">IF($C15="","",_xlfn.LET(_xlpm.src,$I15&amp;", "&amp;$AC$3,_xlpm.a,KWANTI(_xlpm.src,($O$6&amp;", "&amp;$AD$3)),_xlpm.c,KWMIN(_xlpm.src,"Critical Wounds"),MIN(_xlpm.a,IF(ISNUMBER(_xlpm.c),MEDIAN(2,6,_xlpm.c),6))))</f>
        <v/>
      </c>
      <c r="AO15" s="18" t="str" cm="1">
        <f t="array" ref="AO15">IF($C15="","",IF($AA15,0,_xlfn.LET(_xlpm.src,$I15&amp;", "&amp;$AC$3,_xlpm.stat,$F$3="Yes",IF(KW(_xlpm.src,"Snap Shooting")=TRUE,IF(_xlpm.stat,4,6),_xlfn.LET(_xlpm.psy,$AM15,_xlpm.hv,$AG15*_xlpm.stat,_xlpm.dmg,-($I$3="Yes"),_xlpm.am,$AS15,_xlpm.tm,$AI$3,_xlpm.mods,IF(_xlpm.psy,MAX(0,_xlpm.hv)+MAX(0,_xlpm.am)+MAX(0,_xlpm.tm),_xlpm.hv+_xlpm.dmg+_xlpm.am+_xlpm.tm),_xlpm.cov,AND(OR($G$3="Yes",$AB$3),NOT($AL15),NOT(_xlpm.psy)),_xlpm.bs,MIN(6,MAX(2,$E15+IF(_xlpm.psy,MIN(0,$BB15),$BB15+_xlpm.cov))),MEDIAN(2,6,_xlpm.bs-MAX(-1,MIN(1,_xlpm.mods))))))))</f>
        <v/>
      </c>
      <c r="AP15" s="18" t="str">
        <f t="shared" si="8"/>
        <v/>
      </c>
      <c r="AQ15" s="18" t="str">
        <f t="shared" si="9"/>
        <v/>
      </c>
      <c r="AR15" s="19" t="str">
        <f t="shared" si="7"/>
        <v/>
      </c>
      <c r="AS15" s="19" t="str" cm="1">
        <f t="array" ref="AS15">IF($C15="","",KWSUM(($I15&amp;", "&amp;$AC$3),"Hit Modifier"))</f>
        <v/>
      </c>
      <c r="AT15" s="19" t="str" cm="1">
        <f t="array" ref="AT15">IF($C15="","",KWSUM(($I15&amp;", "&amp;$AC$3),"Wound Modifier"))</f>
        <v/>
      </c>
      <c r="AU15" s="19" t="str" cm="1">
        <f t="array" ref="AU15">IF($C15="","",KWSUM(($I15&amp;", "&amp;$AC$3),"AP Modifier"))</f>
        <v/>
      </c>
      <c r="AV15" s="19" t="str" cm="1">
        <f t="array" ref="AV15">IF($C15="","",KWSUM(($I15&amp;", "&amp;$AC$3),"Damage Modifier"))</f>
        <v/>
      </c>
      <c r="AW15" s="19" t="str" cm="1">
        <f t="array" ref="AW15">IF($C15="","",_xlfn.LET(_xlpm.src,$I15&amp;", "&amp;$AC$3,IF(KW(_xlpm.src,"Snap Shooting")=TRUE,0,_xlfn.LET(_xlpm.full,ISNUMBER(_xlfn.XMATCH("Reroll Hits",TRIM(_xlfn.TEXTSPLIT(_xlpm.src,",")))),_xlpm.r,KW(_xlpm.src,"Reroll Hits"),IF(_xlpm.full,2,IF(N(_xlpm.r)&gt;=1,1,0))))))</f>
        <v/>
      </c>
      <c r="AX15" s="19" t="str" cm="1">
        <f t="array" ref="AX15">IF($C15="","",_xlfn.LET(_xlpm.src,$I15&amp;", "&amp;$AC$3,_xlpm.full,OR($AE15,ISNUMBER(_xlfn.XMATCH("Reroll Wounds",TRIM(_xlfn.TEXTSPLIT(_xlpm.src,","))))),_xlpm.r,KW(_xlpm.src,"Reroll Wounds"),IF(_xlpm.full,2,IF(N(_xlpm.r)&gt;=1,1,0))))</f>
        <v/>
      </c>
      <c r="AY15" s="19" t="str">
        <f t="shared" si="10"/>
        <v/>
      </c>
      <c r="AZ15" s="19" t="str" cm="1">
        <f t="array" ref="AZ15">IF($C15="","",KWSUM($I15&amp;", "&amp;$AC$3,"Attacks Modifier"))</f>
        <v/>
      </c>
      <c r="BA15" s="19" t="str" cm="1">
        <f t="array" ref="BA15">IF($C15="","",KWSUM($I15&amp;", "&amp;$AC$3,"Strength Modifier"))</f>
        <v/>
      </c>
      <c r="BB15" s="19" t="str" cm="1">
        <f t="array" ref="BB15">IF($C15="","",KWSUM($I15&amp;", "&amp;$AC$3,"BS Modifier"))</f>
        <v/>
      </c>
      <c r="BC15" s="19" t="str" cm="1">
        <f t="array" ref="BC15">IF($C15="","",_xlfn.LET(_xlpm.src,$I15&amp;", "&amp;$AC$3,_xlpm.c,KWMIN(_xlpm.src,"Critical Hits"),IF(KW(_xlpm.src,"Snap Shooting")=TRUE,6,IF(ISNUMBER(_xlpm.c),MEDIAN(2,6,_xlpm.c),6))))</f>
        <v/>
      </c>
      <c r="BD15" s="19" t="str" cm="1">
        <f t="array" ref="BD15">IF($C15="","",KWSUM($I15&amp;", "&amp;$AC$3,"Save Modifier"))</f>
        <v/>
      </c>
      <c r="BH15" s="5" t="str">
        <v>Intercessor (Space Marines)</v>
      </c>
    </row>
    <row r="16" spans="1:64" x14ac:dyDescent="0.25">
      <c r="A16" s="38" t="b">
        <v>1</v>
      </c>
      <c r="B16" s="59">
        <v>1</v>
      </c>
      <c r="C16" s="30"/>
      <c r="D16"/>
      <c r="E16"/>
      <c r="F16"/>
      <c r="G16"/>
      <c r="H16"/>
      <c r="I16" s="1"/>
      <c r="J16" s="120"/>
      <c r="K16" s="122"/>
      <c r="L16" s="122"/>
      <c r="M16" s="122"/>
      <c r="N16" s="122"/>
      <c r="O16" s="118"/>
      <c r="P16" s="24" t="str" cm="1">
        <f t="array" ref="P16">IF(OR($C16="",NOT($A16)),"",N($B16)*(MAX(1,DICEAVG($D16)+$AZ16)+$AH16*($E$3="Yes")+($AI16+$AJ16)*INT($H$3/5)))</f>
        <v/>
      </c>
      <c r="Q16" s="24" t="str">
        <f t="shared" si="11"/>
        <v/>
      </c>
      <c r="R16" s="24" t="str">
        <f t="shared" si="0"/>
        <v/>
      </c>
      <c r="S16" s="24" t="str">
        <f t="shared" si="1"/>
        <v/>
      </c>
      <c r="T16" s="24" t="str">
        <f t="shared" si="2"/>
        <v/>
      </c>
      <c r="U16" s="24" t="str">
        <f t="shared" si="3"/>
        <v/>
      </c>
      <c r="V16" s="24" t="str" cm="1">
        <f t="array" ref="V16">IF(OR($C16="",NOT($A16)),"",MAX(1,DICEAVG($H16)+$AK16*($E$3="Yes")+$AV16+$AH$3))</f>
        <v/>
      </c>
      <c r="W16" s="24" t="str">
        <f t="shared" si="4"/>
        <v/>
      </c>
      <c r="X16" s="24" t="str">
        <f t="shared" si="5"/>
        <v/>
      </c>
      <c r="Y16" s="31" t="str">
        <f t="shared" si="6"/>
        <v/>
      </c>
      <c r="AA16" s="17" t="str" cm="1">
        <f t="array" ref="AA16">IF($C16="","",KW(($I16&amp;", "&amp;$AC$3),"Torrent")=TRUE)</f>
        <v/>
      </c>
      <c r="AB16" s="17" t="str" cm="1">
        <f t="array" ref="AB16">IF($C16="","",KW(($I16&amp;", "&amp;$AC$3),"Lethal Hits")=TRUE)</f>
        <v/>
      </c>
      <c r="AC16" s="17" t="str" cm="1">
        <f t="array" ref="AC16">IF($C16="","",N(KW(($I16&amp;", "&amp;$AC$3),"Sustained Hits")))</f>
        <v/>
      </c>
      <c r="AD16" s="17" t="str" cm="1">
        <f t="array" ref="AD16">IF($C16="","",KW(($I16&amp;", "&amp;$AC$3),"Devastating Wounds")=TRUE)</f>
        <v/>
      </c>
      <c r="AE16" s="17" t="str" cm="1">
        <f t="array" ref="AE16">IF($C16="","",KW(($I16&amp;", "&amp;$AC$3),"Twin-Linked")=TRUE)</f>
        <v/>
      </c>
      <c r="AF16" s="17" t="str" cm="1">
        <f t="array" ref="AF16">IF($C16="","",KW(($I16&amp;", "&amp;$AC$3),"Lance")=TRUE)</f>
        <v/>
      </c>
      <c r="AG16" s="17" t="str" cm="1">
        <f t="array" ref="AG16">IF($C16="","",KW(($I16&amp;", "&amp;$AC$3),"Heavy")=TRUE)</f>
        <v/>
      </c>
      <c r="AH16" s="17" t="str" cm="1">
        <f t="array" ref="AH16">IF($C16="","",N(KW(($I16&amp;", "&amp;$AC$3),"Rapid Fire")))</f>
        <v/>
      </c>
      <c r="AI16" s="17" t="str" cm="1">
        <f t="array" ref="AI16">IF($C16="","",N(KW(($I16&amp;", "&amp;$AC$3),"Blast")))</f>
        <v/>
      </c>
      <c r="AJ16" s="17" t="str" cm="1">
        <f t="array" ref="AJ16">IF($C16="","",N(KW(($I16&amp;", "&amp;$AC$3),"Cleave")))</f>
        <v/>
      </c>
      <c r="AK16" s="17" t="str" cm="1">
        <f t="array" ref="AK16">IF($C16="","",N(KW(($I16&amp;", "&amp;$AC$3),"Melta")))</f>
        <v/>
      </c>
      <c r="AL16" s="17" t="str" cm="1">
        <f t="array" ref="AL16">IF($C16="","",KW(($I16&amp;", "&amp;$AC$3),"Ignores Cover")=TRUE)</f>
        <v/>
      </c>
      <c r="AM16" s="17" t="str" cm="1">
        <f t="array" ref="AM16">IF($C16="","",KW(($I16&amp;", "&amp;$AC$3),"Psychic")=TRUE)</f>
        <v/>
      </c>
      <c r="AN16" s="18" t="str" cm="1">
        <f t="array" ref="AN16">IF($C16="","",_xlfn.LET(_xlpm.src,$I16&amp;", "&amp;$AC$3,_xlpm.a,KWANTI(_xlpm.src,($O$6&amp;", "&amp;$AD$3)),_xlpm.c,KWMIN(_xlpm.src,"Critical Wounds"),MIN(_xlpm.a,IF(ISNUMBER(_xlpm.c),MEDIAN(2,6,_xlpm.c),6))))</f>
        <v/>
      </c>
      <c r="AO16" s="18" t="str" cm="1">
        <f t="array" ref="AO16">IF($C16="","",IF($AA16,0,_xlfn.LET(_xlpm.src,$I16&amp;", "&amp;$AC$3,_xlpm.stat,$F$3="Yes",IF(KW(_xlpm.src,"Snap Shooting")=TRUE,IF(_xlpm.stat,4,6),_xlfn.LET(_xlpm.psy,$AM16,_xlpm.hv,$AG16*_xlpm.stat,_xlpm.dmg,-($I$3="Yes"),_xlpm.am,$AS16,_xlpm.tm,$AI$3,_xlpm.mods,IF(_xlpm.psy,MAX(0,_xlpm.hv)+MAX(0,_xlpm.am)+MAX(0,_xlpm.tm),_xlpm.hv+_xlpm.dmg+_xlpm.am+_xlpm.tm),_xlpm.cov,AND(OR($G$3="Yes",$AB$3),NOT($AL16),NOT(_xlpm.psy)),_xlpm.bs,MIN(6,MAX(2,$E16+IF(_xlpm.psy,MIN(0,$BB16),$BB16+_xlpm.cov))),MEDIAN(2,6,_xlpm.bs-MAX(-1,MIN(1,_xlpm.mods))))))))</f>
        <v/>
      </c>
      <c r="AP16" s="18" t="str">
        <f t="shared" si="8"/>
        <v/>
      </c>
      <c r="AQ16" s="18" t="str">
        <f t="shared" si="9"/>
        <v/>
      </c>
      <c r="AR16" s="19" t="str">
        <f t="shared" si="7"/>
        <v/>
      </c>
      <c r="AS16" s="19" t="str" cm="1">
        <f t="array" ref="AS16">IF($C16="","",KWSUM(($I16&amp;", "&amp;$AC$3),"Hit Modifier"))</f>
        <v/>
      </c>
      <c r="AT16" s="19" t="str" cm="1">
        <f t="array" ref="AT16">IF($C16="","",KWSUM(($I16&amp;", "&amp;$AC$3),"Wound Modifier"))</f>
        <v/>
      </c>
      <c r="AU16" s="19" t="str" cm="1">
        <f t="array" ref="AU16">IF($C16="","",KWSUM(($I16&amp;", "&amp;$AC$3),"AP Modifier"))</f>
        <v/>
      </c>
      <c r="AV16" s="19" t="str" cm="1">
        <f t="array" ref="AV16">IF($C16="","",KWSUM(($I16&amp;", "&amp;$AC$3),"Damage Modifier"))</f>
        <v/>
      </c>
      <c r="AW16" s="19" t="str" cm="1">
        <f t="array" ref="AW16">IF($C16="","",_xlfn.LET(_xlpm.src,$I16&amp;", "&amp;$AC$3,IF(KW(_xlpm.src,"Snap Shooting")=TRUE,0,_xlfn.LET(_xlpm.full,ISNUMBER(_xlfn.XMATCH("Reroll Hits",TRIM(_xlfn.TEXTSPLIT(_xlpm.src,",")))),_xlpm.r,KW(_xlpm.src,"Reroll Hits"),IF(_xlpm.full,2,IF(N(_xlpm.r)&gt;=1,1,0))))))</f>
        <v/>
      </c>
      <c r="AX16" s="19" t="str" cm="1">
        <f t="array" ref="AX16">IF($C16="","",_xlfn.LET(_xlpm.src,$I16&amp;", "&amp;$AC$3,_xlpm.full,OR($AE16,ISNUMBER(_xlfn.XMATCH("Reroll Wounds",TRIM(_xlfn.TEXTSPLIT(_xlpm.src,","))))),_xlpm.r,KW(_xlpm.src,"Reroll Wounds"),IF(_xlpm.full,2,IF(N(_xlpm.r)&gt;=1,1,0))))</f>
        <v/>
      </c>
      <c r="AY16" s="19" t="str">
        <f t="shared" si="10"/>
        <v/>
      </c>
      <c r="AZ16" s="19" t="str" cm="1">
        <f t="array" ref="AZ16">IF($C16="","",KWSUM($I16&amp;", "&amp;$AC$3,"Attacks Modifier"))</f>
        <v/>
      </c>
      <c r="BA16" s="19" t="str" cm="1">
        <f t="array" ref="BA16">IF($C16="","",KWSUM($I16&amp;", "&amp;$AC$3,"Strength Modifier"))</f>
        <v/>
      </c>
      <c r="BB16" s="19" t="str" cm="1">
        <f t="array" ref="BB16">IF($C16="","",KWSUM($I16&amp;", "&amp;$AC$3,"BS Modifier"))</f>
        <v/>
      </c>
      <c r="BC16" s="19" t="str" cm="1">
        <f t="array" ref="BC16">IF($C16="","",_xlfn.LET(_xlpm.src,$I16&amp;", "&amp;$AC$3,_xlpm.c,KWMIN(_xlpm.src,"Critical Hits"),IF(KW(_xlpm.src,"Snap Shooting")=TRUE,6,IF(ISNUMBER(_xlpm.c),MEDIAN(2,6,_xlpm.c),6))))</f>
        <v/>
      </c>
      <c r="BD16" s="19" t="str" cm="1">
        <f t="array" ref="BD16">IF($C16="","",KWSUM($I16&amp;", "&amp;$AC$3,"Save Modifier"))</f>
        <v/>
      </c>
      <c r="BH16" s="5" t="str">
        <v>Kabalite Warrior (Drukhari)</v>
      </c>
    </row>
    <row r="17" spans="1:60" x14ac:dyDescent="0.25">
      <c r="A17" s="38" t="b">
        <v>1</v>
      </c>
      <c r="B17" s="59">
        <v>1</v>
      </c>
      <c r="C17" s="30"/>
      <c r="D17"/>
      <c r="E17"/>
      <c r="F17"/>
      <c r="G17"/>
      <c r="H17"/>
      <c r="I17" s="1"/>
      <c r="J17" s="120"/>
      <c r="K17" s="122"/>
      <c r="L17" s="122"/>
      <c r="M17" s="122"/>
      <c r="N17" s="122"/>
      <c r="O17" s="118"/>
      <c r="P17" s="24" t="str" cm="1">
        <f t="array" ref="P17">IF(OR($C17="",NOT($A17)),"",N($B17)*(MAX(1,DICEAVG($D17)+$AZ17)+$AH17*($E$3="Yes")+($AI17+$AJ17)*INT($H$3/5)))</f>
        <v/>
      </c>
      <c r="Q17" s="24" t="str">
        <f t="shared" si="11"/>
        <v/>
      </c>
      <c r="R17" s="24" t="str">
        <f t="shared" si="0"/>
        <v/>
      </c>
      <c r="S17" s="24" t="str">
        <f t="shared" si="1"/>
        <v/>
      </c>
      <c r="T17" s="24" t="str">
        <f t="shared" si="2"/>
        <v/>
      </c>
      <c r="U17" s="24" t="str">
        <f t="shared" si="3"/>
        <v/>
      </c>
      <c r="V17" s="24" t="str" cm="1">
        <f t="array" ref="V17">IF(OR($C17="",NOT($A17)),"",MAX(1,DICEAVG($H17)+$AK17*($E$3="Yes")+$AV17+$AH$3))</f>
        <v/>
      </c>
      <c r="W17" s="24" t="str">
        <f t="shared" si="4"/>
        <v/>
      </c>
      <c r="X17" s="24" t="str">
        <f t="shared" si="5"/>
        <v/>
      </c>
      <c r="Y17" s="31" t="str">
        <f t="shared" si="6"/>
        <v/>
      </c>
      <c r="AA17" s="17" t="str" cm="1">
        <f t="array" ref="AA17">IF($C17="","",KW(($I17&amp;", "&amp;$AC$3),"Torrent")=TRUE)</f>
        <v/>
      </c>
      <c r="AB17" s="17" t="str" cm="1">
        <f t="array" ref="AB17">IF($C17="","",KW(($I17&amp;", "&amp;$AC$3),"Lethal Hits")=TRUE)</f>
        <v/>
      </c>
      <c r="AC17" s="17" t="str" cm="1">
        <f t="array" ref="AC17">IF($C17="","",N(KW(($I17&amp;", "&amp;$AC$3),"Sustained Hits")))</f>
        <v/>
      </c>
      <c r="AD17" s="17" t="str" cm="1">
        <f t="array" ref="AD17">IF($C17="","",KW(($I17&amp;", "&amp;$AC$3),"Devastating Wounds")=TRUE)</f>
        <v/>
      </c>
      <c r="AE17" s="17" t="str" cm="1">
        <f t="array" ref="AE17">IF($C17="","",KW(($I17&amp;", "&amp;$AC$3),"Twin-Linked")=TRUE)</f>
        <v/>
      </c>
      <c r="AF17" s="17" t="str" cm="1">
        <f t="array" ref="AF17">IF($C17="","",KW(($I17&amp;", "&amp;$AC$3),"Lance")=TRUE)</f>
        <v/>
      </c>
      <c r="AG17" s="17" t="str" cm="1">
        <f t="array" ref="AG17">IF($C17="","",KW(($I17&amp;", "&amp;$AC$3),"Heavy")=TRUE)</f>
        <v/>
      </c>
      <c r="AH17" s="17" t="str" cm="1">
        <f t="array" ref="AH17">IF($C17="","",N(KW(($I17&amp;", "&amp;$AC$3),"Rapid Fire")))</f>
        <v/>
      </c>
      <c r="AI17" s="17" t="str" cm="1">
        <f t="array" ref="AI17">IF($C17="","",N(KW(($I17&amp;", "&amp;$AC$3),"Blast")))</f>
        <v/>
      </c>
      <c r="AJ17" s="17" t="str" cm="1">
        <f t="array" ref="AJ17">IF($C17="","",N(KW(($I17&amp;", "&amp;$AC$3),"Cleave")))</f>
        <v/>
      </c>
      <c r="AK17" s="17" t="str" cm="1">
        <f t="array" ref="AK17">IF($C17="","",N(KW(($I17&amp;", "&amp;$AC$3),"Melta")))</f>
        <v/>
      </c>
      <c r="AL17" s="17" t="str" cm="1">
        <f t="array" ref="AL17">IF($C17="","",KW(($I17&amp;", "&amp;$AC$3),"Ignores Cover")=TRUE)</f>
        <v/>
      </c>
      <c r="AM17" s="17" t="str" cm="1">
        <f t="array" ref="AM17">IF($C17="","",KW(($I17&amp;", "&amp;$AC$3),"Psychic")=TRUE)</f>
        <v/>
      </c>
      <c r="AN17" s="18" t="str" cm="1">
        <f t="array" ref="AN17">IF($C17="","",_xlfn.LET(_xlpm.src,$I17&amp;", "&amp;$AC$3,_xlpm.a,KWANTI(_xlpm.src,($O$6&amp;", "&amp;$AD$3)),_xlpm.c,KWMIN(_xlpm.src,"Critical Wounds"),MIN(_xlpm.a,IF(ISNUMBER(_xlpm.c),MEDIAN(2,6,_xlpm.c),6))))</f>
        <v/>
      </c>
      <c r="AO17" s="18" t="str" cm="1">
        <f t="array" ref="AO17">IF($C17="","",IF($AA17,0,_xlfn.LET(_xlpm.src,$I17&amp;", "&amp;$AC$3,_xlpm.stat,$F$3="Yes",IF(KW(_xlpm.src,"Snap Shooting")=TRUE,IF(_xlpm.stat,4,6),_xlfn.LET(_xlpm.psy,$AM17,_xlpm.hv,$AG17*_xlpm.stat,_xlpm.dmg,-($I$3="Yes"),_xlpm.am,$AS17,_xlpm.tm,$AI$3,_xlpm.mods,IF(_xlpm.psy,MAX(0,_xlpm.hv)+MAX(0,_xlpm.am)+MAX(0,_xlpm.tm),_xlpm.hv+_xlpm.dmg+_xlpm.am+_xlpm.tm),_xlpm.cov,AND(OR($G$3="Yes",$AB$3),NOT($AL17),NOT(_xlpm.psy)),_xlpm.bs,MIN(6,MAX(2,$E17+IF(_xlpm.psy,MIN(0,$BB17),$BB17+_xlpm.cov))),MEDIAN(2,6,_xlpm.bs-MAX(-1,MIN(1,_xlpm.mods))))))))</f>
        <v/>
      </c>
      <c r="AP17" s="18" t="str">
        <f t="shared" si="8"/>
        <v/>
      </c>
      <c r="AQ17" s="18" t="str">
        <f t="shared" si="9"/>
        <v/>
      </c>
      <c r="AR17" s="19" t="str">
        <f t="shared" si="7"/>
        <v/>
      </c>
      <c r="AS17" s="19" t="str" cm="1">
        <f t="array" ref="AS17">IF($C17="","",KWSUM(($I17&amp;", "&amp;$AC$3),"Hit Modifier"))</f>
        <v/>
      </c>
      <c r="AT17" s="19" t="str" cm="1">
        <f t="array" ref="AT17">IF($C17="","",KWSUM(($I17&amp;", "&amp;$AC$3),"Wound Modifier"))</f>
        <v/>
      </c>
      <c r="AU17" s="19" t="str" cm="1">
        <f t="array" ref="AU17">IF($C17="","",KWSUM(($I17&amp;", "&amp;$AC$3),"AP Modifier"))</f>
        <v/>
      </c>
      <c r="AV17" s="19" t="str" cm="1">
        <f t="array" ref="AV17">IF($C17="","",KWSUM(($I17&amp;", "&amp;$AC$3),"Damage Modifier"))</f>
        <v/>
      </c>
      <c r="AW17" s="19" t="str" cm="1">
        <f t="array" ref="AW17">IF($C17="","",_xlfn.LET(_xlpm.src,$I17&amp;", "&amp;$AC$3,IF(KW(_xlpm.src,"Snap Shooting")=TRUE,0,_xlfn.LET(_xlpm.full,ISNUMBER(_xlfn.XMATCH("Reroll Hits",TRIM(_xlfn.TEXTSPLIT(_xlpm.src,",")))),_xlpm.r,KW(_xlpm.src,"Reroll Hits"),IF(_xlpm.full,2,IF(N(_xlpm.r)&gt;=1,1,0))))))</f>
        <v/>
      </c>
      <c r="AX17" s="19" t="str" cm="1">
        <f t="array" ref="AX17">IF($C17="","",_xlfn.LET(_xlpm.src,$I17&amp;", "&amp;$AC$3,_xlpm.full,OR($AE17,ISNUMBER(_xlfn.XMATCH("Reroll Wounds",TRIM(_xlfn.TEXTSPLIT(_xlpm.src,","))))),_xlpm.r,KW(_xlpm.src,"Reroll Wounds"),IF(_xlpm.full,2,IF(N(_xlpm.r)&gt;=1,1,0))))</f>
        <v/>
      </c>
      <c r="AY17" s="19" t="str">
        <f t="shared" si="10"/>
        <v/>
      </c>
      <c r="AZ17" s="19" t="str" cm="1">
        <f t="array" ref="AZ17">IF($C17="","",KWSUM($I17&amp;", "&amp;$AC$3,"Attacks Modifier"))</f>
        <v/>
      </c>
      <c r="BA17" s="19" t="str" cm="1">
        <f t="array" ref="BA17">IF($C17="","",KWSUM($I17&amp;", "&amp;$AC$3,"Strength Modifier"))</f>
        <v/>
      </c>
      <c r="BB17" s="19" t="str" cm="1">
        <f t="array" ref="BB17">IF($C17="","",KWSUM($I17&amp;", "&amp;$AC$3,"BS Modifier"))</f>
        <v/>
      </c>
      <c r="BC17" s="19" t="str" cm="1">
        <f t="array" ref="BC17">IF($C17="","",_xlfn.LET(_xlpm.src,$I17&amp;", "&amp;$AC$3,_xlpm.c,KWMIN(_xlpm.src,"Critical Hits"),IF(KW(_xlpm.src,"Snap Shooting")=TRUE,6,IF(ISNUMBER(_xlpm.c),MEDIAN(2,6,_xlpm.c),6))))</f>
        <v/>
      </c>
      <c r="BD17" s="19" t="str" cm="1">
        <f t="array" ref="BD17">IF($C17="","",KWSUM($I17&amp;", "&amp;$AC$3,"Save Modifier"))</f>
        <v/>
      </c>
      <c r="BH17" s="5" t="str">
        <v>Ravager (Drukhari)</v>
      </c>
    </row>
    <row r="18" spans="1:60" x14ac:dyDescent="0.25">
      <c r="A18" s="38" t="b">
        <v>1</v>
      </c>
      <c r="B18" s="59">
        <v>1</v>
      </c>
      <c r="C18" s="30"/>
      <c r="D18"/>
      <c r="E18"/>
      <c r="F18"/>
      <c r="G18"/>
      <c r="H18"/>
      <c r="I18" s="1"/>
      <c r="J18" s="120"/>
      <c r="K18" s="122"/>
      <c r="L18" s="122"/>
      <c r="M18" s="122"/>
      <c r="N18" s="122"/>
      <c r="O18" s="118"/>
      <c r="P18" s="24" t="str" cm="1">
        <f t="array" ref="P18">IF(OR($C18="",NOT($A18)),"",N($B18)*(MAX(1,DICEAVG($D18)+$AZ18)+$AH18*($E$3="Yes")+($AI18+$AJ18)*INT($H$3/5)))</f>
        <v/>
      </c>
      <c r="Q18" s="24" t="str">
        <f t="shared" si="11"/>
        <v/>
      </c>
      <c r="R18" s="24" t="str">
        <f t="shared" si="0"/>
        <v/>
      </c>
      <c r="S18" s="24" t="str">
        <f t="shared" si="1"/>
        <v/>
      </c>
      <c r="T18" s="24" t="str">
        <f t="shared" si="2"/>
        <v/>
      </c>
      <c r="U18" s="24" t="str">
        <f t="shared" si="3"/>
        <v/>
      </c>
      <c r="V18" s="24" t="str" cm="1">
        <f t="array" ref="V18">IF(OR($C18="",NOT($A18)),"",MAX(1,DICEAVG($H18)+$AK18*($E$3="Yes")+$AV18+$AH$3))</f>
        <v/>
      </c>
      <c r="W18" s="24" t="str">
        <f t="shared" si="4"/>
        <v/>
      </c>
      <c r="X18" s="24" t="str">
        <f t="shared" si="5"/>
        <v/>
      </c>
      <c r="Y18" s="31" t="str">
        <f t="shared" si="6"/>
        <v/>
      </c>
      <c r="AA18" s="17" t="str" cm="1">
        <f t="array" ref="AA18">IF($C18="","",KW(($I18&amp;", "&amp;$AC$3),"Torrent")=TRUE)</f>
        <v/>
      </c>
      <c r="AB18" s="17" t="str" cm="1">
        <f t="array" ref="AB18">IF($C18="","",KW(($I18&amp;", "&amp;$AC$3),"Lethal Hits")=TRUE)</f>
        <v/>
      </c>
      <c r="AC18" s="17" t="str" cm="1">
        <f t="array" ref="AC18">IF($C18="","",N(KW(($I18&amp;", "&amp;$AC$3),"Sustained Hits")))</f>
        <v/>
      </c>
      <c r="AD18" s="17" t="str" cm="1">
        <f t="array" ref="AD18">IF($C18="","",KW(($I18&amp;", "&amp;$AC$3),"Devastating Wounds")=TRUE)</f>
        <v/>
      </c>
      <c r="AE18" s="17" t="str" cm="1">
        <f t="array" ref="AE18">IF($C18="","",KW(($I18&amp;", "&amp;$AC$3),"Twin-Linked")=TRUE)</f>
        <v/>
      </c>
      <c r="AF18" s="17" t="str" cm="1">
        <f t="array" ref="AF18">IF($C18="","",KW(($I18&amp;", "&amp;$AC$3),"Lance")=TRUE)</f>
        <v/>
      </c>
      <c r="AG18" s="17" t="str" cm="1">
        <f t="array" ref="AG18">IF($C18="","",KW(($I18&amp;", "&amp;$AC$3),"Heavy")=TRUE)</f>
        <v/>
      </c>
      <c r="AH18" s="17" t="str" cm="1">
        <f t="array" ref="AH18">IF($C18="","",N(KW(($I18&amp;", "&amp;$AC$3),"Rapid Fire")))</f>
        <v/>
      </c>
      <c r="AI18" s="17" t="str" cm="1">
        <f t="array" ref="AI18">IF($C18="","",N(KW(($I18&amp;", "&amp;$AC$3),"Blast")))</f>
        <v/>
      </c>
      <c r="AJ18" s="17" t="str" cm="1">
        <f t="array" ref="AJ18">IF($C18="","",N(KW(($I18&amp;", "&amp;$AC$3),"Cleave")))</f>
        <v/>
      </c>
      <c r="AK18" s="17" t="str" cm="1">
        <f t="array" ref="AK18">IF($C18="","",N(KW(($I18&amp;", "&amp;$AC$3),"Melta")))</f>
        <v/>
      </c>
      <c r="AL18" s="17" t="str" cm="1">
        <f t="array" ref="AL18">IF($C18="","",KW(($I18&amp;", "&amp;$AC$3),"Ignores Cover")=TRUE)</f>
        <v/>
      </c>
      <c r="AM18" s="17" t="str" cm="1">
        <f t="array" ref="AM18">IF($C18="","",KW(($I18&amp;", "&amp;$AC$3),"Psychic")=TRUE)</f>
        <v/>
      </c>
      <c r="AN18" s="18" t="str" cm="1">
        <f t="array" ref="AN18">IF($C18="","",_xlfn.LET(_xlpm.src,$I18&amp;", "&amp;$AC$3,_xlpm.a,KWANTI(_xlpm.src,($O$6&amp;", "&amp;$AD$3)),_xlpm.c,KWMIN(_xlpm.src,"Critical Wounds"),MIN(_xlpm.a,IF(ISNUMBER(_xlpm.c),MEDIAN(2,6,_xlpm.c),6))))</f>
        <v/>
      </c>
      <c r="AO18" s="18" t="str" cm="1">
        <f t="array" ref="AO18">IF($C18="","",IF($AA18,0,_xlfn.LET(_xlpm.src,$I18&amp;", "&amp;$AC$3,_xlpm.stat,$F$3="Yes",IF(KW(_xlpm.src,"Snap Shooting")=TRUE,IF(_xlpm.stat,4,6),_xlfn.LET(_xlpm.psy,$AM18,_xlpm.hv,$AG18*_xlpm.stat,_xlpm.dmg,-($I$3="Yes"),_xlpm.am,$AS18,_xlpm.tm,$AI$3,_xlpm.mods,IF(_xlpm.psy,MAX(0,_xlpm.hv)+MAX(0,_xlpm.am)+MAX(0,_xlpm.tm),_xlpm.hv+_xlpm.dmg+_xlpm.am+_xlpm.tm),_xlpm.cov,AND(OR($G$3="Yes",$AB$3),NOT($AL18),NOT(_xlpm.psy)),_xlpm.bs,MIN(6,MAX(2,$E18+IF(_xlpm.psy,MIN(0,$BB18),$BB18+_xlpm.cov))),MEDIAN(2,6,_xlpm.bs-MAX(-1,MIN(1,_xlpm.mods))))))))</f>
        <v/>
      </c>
      <c r="AP18" s="18" t="str">
        <f t="shared" si="8"/>
        <v/>
      </c>
      <c r="AQ18" s="18" t="str">
        <f t="shared" si="9"/>
        <v/>
      </c>
      <c r="AR18" s="19" t="str">
        <f t="shared" si="7"/>
        <v/>
      </c>
      <c r="AS18" s="19" t="str" cm="1">
        <f t="array" ref="AS18">IF($C18="","",KWSUM(($I18&amp;", "&amp;$AC$3),"Hit Modifier"))</f>
        <v/>
      </c>
      <c r="AT18" s="19" t="str" cm="1">
        <f t="array" ref="AT18">IF($C18="","",KWSUM(($I18&amp;", "&amp;$AC$3),"Wound Modifier"))</f>
        <v/>
      </c>
      <c r="AU18" s="19" t="str" cm="1">
        <f t="array" ref="AU18">IF($C18="","",KWSUM(($I18&amp;", "&amp;$AC$3),"AP Modifier"))</f>
        <v/>
      </c>
      <c r="AV18" s="19" t="str" cm="1">
        <f t="array" ref="AV18">IF($C18="","",KWSUM(($I18&amp;", "&amp;$AC$3),"Damage Modifier"))</f>
        <v/>
      </c>
      <c r="AW18" s="19" t="str" cm="1">
        <f t="array" ref="AW18">IF($C18="","",_xlfn.LET(_xlpm.src,$I18&amp;", "&amp;$AC$3,IF(KW(_xlpm.src,"Snap Shooting")=TRUE,0,_xlfn.LET(_xlpm.full,ISNUMBER(_xlfn.XMATCH("Reroll Hits",TRIM(_xlfn.TEXTSPLIT(_xlpm.src,",")))),_xlpm.r,KW(_xlpm.src,"Reroll Hits"),IF(_xlpm.full,2,IF(N(_xlpm.r)&gt;=1,1,0))))))</f>
        <v/>
      </c>
      <c r="AX18" s="19" t="str" cm="1">
        <f t="array" ref="AX18">IF($C18="","",_xlfn.LET(_xlpm.src,$I18&amp;", "&amp;$AC$3,_xlpm.full,OR($AE18,ISNUMBER(_xlfn.XMATCH("Reroll Wounds",TRIM(_xlfn.TEXTSPLIT(_xlpm.src,","))))),_xlpm.r,KW(_xlpm.src,"Reroll Wounds"),IF(_xlpm.full,2,IF(N(_xlpm.r)&gt;=1,1,0))))</f>
        <v/>
      </c>
      <c r="AY18" s="19" t="str">
        <f t="shared" si="10"/>
        <v/>
      </c>
      <c r="AZ18" s="19" t="str" cm="1">
        <f t="array" ref="AZ18">IF($C18="","",KWSUM($I18&amp;", "&amp;$AC$3,"Attacks Modifier"))</f>
        <v/>
      </c>
      <c r="BA18" s="19" t="str" cm="1">
        <f t="array" ref="BA18">IF($C18="","",KWSUM($I18&amp;", "&amp;$AC$3,"Strength Modifier"))</f>
        <v/>
      </c>
      <c r="BB18" s="19" t="str" cm="1">
        <f t="array" ref="BB18">IF($C18="","",KWSUM($I18&amp;", "&amp;$AC$3,"BS Modifier"))</f>
        <v/>
      </c>
      <c r="BC18" s="19" t="str" cm="1">
        <f t="array" ref="BC18">IF($C18="","",_xlfn.LET(_xlpm.src,$I18&amp;", "&amp;$AC$3,_xlpm.c,KWMIN(_xlpm.src,"Critical Hits"),IF(KW(_xlpm.src,"Snap Shooting")=TRUE,6,IF(ISNUMBER(_xlpm.c),MEDIAN(2,6,_xlpm.c),6))))</f>
        <v/>
      </c>
      <c r="BD18" s="19" t="str" cm="1">
        <f t="array" ref="BD18">IF($C18="","",KWSUM($I18&amp;", "&amp;$AC$3,"Save Modifier"))</f>
        <v/>
      </c>
      <c r="BH18" s="5" t="str">
        <v>Guardsman (Imperial Guard)</v>
      </c>
    </row>
    <row r="19" spans="1:60" x14ac:dyDescent="0.25">
      <c r="A19" s="38" t="b">
        <v>1</v>
      </c>
      <c r="B19" s="59">
        <v>1</v>
      </c>
      <c r="C19" s="30"/>
      <c r="D19"/>
      <c r="E19"/>
      <c r="F19"/>
      <c r="G19"/>
      <c r="H19"/>
      <c r="I19" s="1"/>
      <c r="J19" s="120"/>
      <c r="K19" s="122"/>
      <c r="L19" s="122"/>
      <c r="M19" s="122"/>
      <c r="N19" s="122"/>
      <c r="O19" s="118"/>
      <c r="P19" s="24" t="str" cm="1">
        <f t="array" ref="P19">IF(OR($C19="",NOT($A19)),"",N($B19)*(MAX(1,DICEAVG($D19)+$AZ19)+$AH19*($E$3="Yes")+($AI19+$AJ19)*INT($H$3/5)))</f>
        <v/>
      </c>
      <c r="Q19" s="24" t="str">
        <f t="shared" si="11"/>
        <v/>
      </c>
      <c r="R19" s="24" t="str">
        <f t="shared" si="0"/>
        <v/>
      </c>
      <c r="S19" s="24" t="str">
        <f t="shared" si="1"/>
        <v/>
      </c>
      <c r="T19" s="24" t="str">
        <f t="shared" si="2"/>
        <v/>
      </c>
      <c r="U19" s="24" t="str">
        <f t="shared" si="3"/>
        <v/>
      </c>
      <c r="V19" s="24" t="str" cm="1">
        <f t="array" ref="V19">IF(OR($C19="",NOT($A19)),"",MAX(1,DICEAVG($H19)+$AK19*($E$3="Yes")+$AV19+$AH$3))</f>
        <v/>
      </c>
      <c r="W19" s="24" t="str">
        <f t="shared" si="4"/>
        <v/>
      </c>
      <c r="X19" s="24" t="str">
        <f t="shared" si="5"/>
        <v/>
      </c>
      <c r="Y19" s="31" t="str">
        <f t="shared" si="6"/>
        <v/>
      </c>
      <c r="AA19" s="17" t="str" cm="1">
        <f t="array" ref="AA19">IF($C19="","",KW(($I19&amp;", "&amp;$AC$3),"Torrent")=TRUE)</f>
        <v/>
      </c>
      <c r="AB19" s="17" t="str" cm="1">
        <f t="array" ref="AB19">IF($C19="","",KW(($I19&amp;", "&amp;$AC$3),"Lethal Hits")=TRUE)</f>
        <v/>
      </c>
      <c r="AC19" s="17" t="str" cm="1">
        <f t="array" ref="AC19">IF($C19="","",N(KW(($I19&amp;", "&amp;$AC$3),"Sustained Hits")))</f>
        <v/>
      </c>
      <c r="AD19" s="17" t="str" cm="1">
        <f t="array" ref="AD19">IF($C19="","",KW(($I19&amp;", "&amp;$AC$3),"Devastating Wounds")=TRUE)</f>
        <v/>
      </c>
      <c r="AE19" s="17" t="str" cm="1">
        <f t="array" ref="AE19">IF($C19="","",KW(($I19&amp;", "&amp;$AC$3),"Twin-Linked")=TRUE)</f>
        <v/>
      </c>
      <c r="AF19" s="17" t="str" cm="1">
        <f t="array" ref="AF19">IF($C19="","",KW(($I19&amp;", "&amp;$AC$3),"Lance")=TRUE)</f>
        <v/>
      </c>
      <c r="AG19" s="17" t="str" cm="1">
        <f t="array" ref="AG19">IF($C19="","",KW(($I19&amp;", "&amp;$AC$3),"Heavy")=TRUE)</f>
        <v/>
      </c>
      <c r="AH19" s="17" t="str" cm="1">
        <f t="array" ref="AH19">IF($C19="","",N(KW(($I19&amp;", "&amp;$AC$3),"Rapid Fire")))</f>
        <v/>
      </c>
      <c r="AI19" s="17" t="str" cm="1">
        <f t="array" ref="AI19">IF($C19="","",N(KW(($I19&amp;", "&amp;$AC$3),"Blast")))</f>
        <v/>
      </c>
      <c r="AJ19" s="17" t="str" cm="1">
        <f t="array" ref="AJ19">IF($C19="","",N(KW(($I19&amp;", "&amp;$AC$3),"Cleave")))</f>
        <v/>
      </c>
      <c r="AK19" s="17" t="str" cm="1">
        <f t="array" ref="AK19">IF($C19="","",N(KW(($I19&amp;", "&amp;$AC$3),"Melta")))</f>
        <v/>
      </c>
      <c r="AL19" s="17" t="str" cm="1">
        <f t="array" ref="AL19">IF($C19="","",KW(($I19&amp;", "&amp;$AC$3),"Ignores Cover")=TRUE)</f>
        <v/>
      </c>
      <c r="AM19" s="17" t="str" cm="1">
        <f t="array" ref="AM19">IF($C19="","",KW(($I19&amp;", "&amp;$AC$3),"Psychic")=TRUE)</f>
        <v/>
      </c>
      <c r="AN19" s="18" t="str" cm="1">
        <f t="array" ref="AN19">IF($C19="","",_xlfn.LET(_xlpm.src,$I19&amp;", "&amp;$AC$3,_xlpm.a,KWANTI(_xlpm.src,($O$6&amp;", "&amp;$AD$3)),_xlpm.c,KWMIN(_xlpm.src,"Critical Wounds"),MIN(_xlpm.a,IF(ISNUMBER(_xlpm.c),MEDIAN(2,6,_xlpm.c),6))))</f>
        <v/>
      </c>
      <c r="AO19" s="18" t="str" cm="1">
        <f t="array" ref="AO19">IF($C19="","",IF($AA19,0,_xlfn.LET(_xlpm.src,$I19&amp;", "&amp;$AC$3,_xlpm.stat,$F$3="Yes",IF(KW(_xlpm.src,"Snap Shooting")=TRUE,IF(_xlpm.stat,4,6),_xlfn.LET(_xlpm.psy,$AM19,_xlpm.hv,$AG19*_xlpm.stat,_xlpm.dmg,-($I$3="Yes"),_xlpm.am,$AS19,_xlpm.tm,$AI$3,_xlpm.mods,IF(_xlpm.psy,MAX(0,_xlpm.hv)+MAX(0,_xlpm.am)+MAX(0,_xlpm.tm),_xlpm.hv+_xlpm.dmg+_xlpm.am+_xlpm.tm),_xlpm.cov,AND(OR($G$3="Yes",$AB$3),NOT($AL19),NOT(_xlpm.psy)),_xlpm.bs,MIN(6,MAX(2,$E19+IF(_xlpm.psy,MIN(0,$BB19),$BB19+_xlpm.cov))),MEDIAN(2,6,_xlpm.bs-MAX(-1,MIN(1,_xlpm.mods))))))))</f>
        <v/>
      </c>
      <c r="AP19" s="18" t="str">
        <f t="shared" si="8"/>
        <v/>
      </c>
      <c r="AQ19" s="18" t="str">
        <f t="shared" si="9"/>
        <v/>
      </c>
      <c r="AR19" s="19" t="str">
        <f t="shared" si="7"/>
        <v/>
      </c>
      <c r="AS19" s="19" t="str" cm="1">
        <f t="array" ref="AS19">IF($C19="","",KWSUM(($I19&amp;", "&amp;$AC$3),"Hit Modifier"))</f>
        <v/>
      </c>
      <c r="AT19" s="19" t="str" cm="1">
        <f t="array" ref="AT19">IF($C19="","",KWSUM(($I19&amp;", "&amp;$AC$3),"Wound Modifier"))</f>
        <v/>
      </c>
      <c r="AU19" s="19" t="str" cm="1">
        <f t="array" ref="AU19">IF($C19="","",KWSUM(($I19&amp;", "&amp;$AC$3),"AP Modifier"))</f>
        <v/>
      </c>
      <c r="AV19" s="19" t="str" cm="1">
        <f t="array" ref="AV19">IF($C19="","",KWSUM(($I19&amp;", "&amp;$AC$3),"Damage Modifier"))</f>
        <v/>
      </c>
      <c r="AW19" s="19" t="str" cm="1">
        <f t="array" ref="AW19">IF($C19="","",_xlfn.LET(_xlpm.src,$I19&amp;", "&amp;$AC$3,IF(KW(_xlpm.src,"Snap Shooting")=TRUE,0,_xlfn.LET(_xlpm.full,ISNUMBER(_xlfn.XMATCH("Reroll Hits",TRIM(_xlfn.TEXTSPLIT(_xlpm.src,",")))),_xlpm.r,KW(_xlpm.src,"Reroll Hits"),IF(_xlpm.full,2,IF(N(_xlpm.r)&gt;=1,1,0))))))</f>
        <v/>
      </c>
      <c r="AX19" s="19" t="str" cm="1">
        <f t="array" ref="AX19">IF($C19="","",_xlfn.LET(_xlpm.src,$I19&amp;", "&amp;$AC$3,_xlpm.full,OR($AE19,ISNUMBER(_xlfn.XMATCH("Reroll Wounds",TRIM(_xlfn.TEXTSPLIT(_xlpm.src,","))))),_xlpm.r,KW(_xlpm.src,"Reroll Wounds"),IF(_xlpm.full,2,IF(N(_xlpm.r)&gt;=1,1,0))))</f>
        <v/>
      </c>
      <c r="AY19" s="19" t="str">
        <f t="shared" si="10"/>
        <v/>
      </c>
      <c r="AZ19" s="19" t="str" cm="1">
        <f t="array" ref="AZ19">IF($C19="","",KWSUM($I19&amp;", "&amp;$AC$3,"Attacks Modifier"))</f>
        <v/>
      </c>
      <c r="BA19" s="19" t="str" cm="1">
        <f t="array" ref="BA19">IF($C19="","",KWSUM($I19&amp;", "&amp;$AC$3,"Strength Modifier"))</f>
        <v/>
      </c>
      <c r="BB19" s="19" t="str" cm="1">
        <f t="array" ref="BB19">IF($C19="","",KWSUM($I19&amp;", "&amp;$AC$3,"BS Modifier"))</f>
        <v/>
      </c>
      <c r="BC19" s="19" t="str" cm="1">
        <f t="array" ref="BC19">IF($C19="","",_xlfn.LET(_xlpm.src,$I19&amp;", "&amp;$AC$3,_xlpm.c,KWMIN(_xlpm.src,"Critical Hits"),IF(KW(_xlpm.src,"Snap Shooting")=TRUE,6,IF(ISNUMBER(_xlpm.c),MEDIAN(2,6,_xlpm.c),6))))</f>
        <v/>
      </c>
      <c r="BD19" s="19" t="str" cm="1">
        <f t="array" ref="BD19">IF($C19="","",KWSUM($I19&amp;", "&amp;$AC$3,"Save Modifier"))</f>
        <v/>
      </c>
      <c r="BH19" s="5" t="str">
        <v>Tempestus Scion (Imperial Guard)</v>
      </c>
    </row>
    <row r="20" spans="1:60" x14ac:dyDescent="0.25">
      <c r="A20" s="38" t="b">
        <v>1</v>
      </c>
      <c r="B20" s="59">
        <v>1</v>
      </c>
      <c r="C20" s="30"/>
      <c r="D20"/>
      <c r="E20"/>
      <c r="F20"/>
      <c r="G20"/>
      <c r="H20"/>
      <c r="I20" s="1"/>
      <c r="J20" s="120"/>
      <c r="K20" s="122"/>
      <c r="L20" s="122"/>
      <c r="M20" s="122"/>
      <c r="N20" s="122"/>
      <c r="O20" s="118"/>
      <c r="P20" s="24" t="str" cm="1">
        <f t="array" ref="P20">IF(OR($C20="",NOT($A20)),"",N($B20)*(MAX(1,DICEAVG($D20)+$AZ20)+$AH20*($E$3="Yes")+($AI20+$AJ20)*INT($H$3/5)))</f>
        <v/>
      </c>
      <c r="Q20" s="24" t="str">
        <f t="shared" si="11"/>
        <v/>
      </c>
      <c r="R20" s="24" t="str">
        <f t="shared" si="0"/>
        <v/>
      </c>
      <c r="S20" s="24" t="str">
        <f t="shared" si="1"/>
        <v/>
      </c>
      <c r="T20" s="24" t="str">
        <f t="shared" si="2"/>
        <v/>
      </c>
      <c r="U20" s="24" t="str">
        <f t="shared" si="3"/>
        <v/>
      </c>
      <c r="V20" s="24" t="str" cm="1">
        <f t="array" ref="V20">IF(OR($C20="",NOT($A20)),"",MAX(1,DICEAVG($H20)+$AK20*($E$3="Yes")+$AV20+$AH$3))</f>
        <v/>
      </c>
      <c r="W20" s="24" t="str">
        <f t="shared" si="4"/>
        <v/>
      </c>
      <c r="X20" s="24" t="str">
        <f t="shared" si="5"/>
        <v/>
      </c>
      <c r="Y20" s="31" t="str">
        <f t="shared" si="6"/>
        <v/>
      </c>
      <c r="AA20" s="17" t="str" cm="1">
        <f t="array" ref="AA20">IF($C20="","",KW(($I20&amp;", "&amp;$AC$3),"Torrent")=TRUE)</f>
        <v/>
      </c>
      <c r="AB20" s="17" t="str" cm="1">
        <f t="array" ref="AB20">IF($C20="","",KW(($I20&amp;", "&amp;$AC$3),"Lethal Hits")=TRUE)</f>
        <v/>
      </c>
      <c r="AC20" s="17" t="str" cm="1">
        <f t="array" ref="AC20">IF($C20="","",N(KW(($I20&amp;", "&amp;$AC$3),"Sustained Hits")))</f>
        <v/>
      </c>
      <c r="AD20" s="17" t="str" cm="1">
        <f t="array" ref="AD20">IF($C20="","",KW(($I20&amp;", "&amp;$AC$3),"Devastating Wounds")=TRUE)</f>
        <v/>
      </c>
      <c r="AE20" s="17" t="str" cm="1">
        <f t="array" ref="AE20">IF($C20="","",KW(($I20&amp;", "&amp;$AC$3),"Twin-Linked")=TRUE)</f>
        <v/>
      </c>
      <c r="AF20" s="17" t="str" cm="1">
        <f t="array" ref="AF20">IF($C20="","",KW(($I20&amp;", "&amp;$AC$3),"Lance")=TRUE)</f>
        <v/>
      </c>
      <c r="AG20" s="17" t="str" cm="1">
        <f t="array" ref="AG20">IF($C20="","",KW(($I20&amp;", "&amp;$AC$3),"Heavy")=TRUE)</f>
        <v/>
      </c>
      <c r="AH20" s="17" t="str" cm="1">
        <f t="array" ref="AH20">IF($C20="","",N(KW(($I20&amp;", "&amp;$AC$3),"Rapid Fire")))</f>
        <v/>
      </c>
      <c r="AI20" s="17" t="str" cm="1">
        <f t="array" ref="AI20">IF($C20="","",N(KW(($I20&amp;", "&amp;$AC$3),"Blast")))</f>
        <v/>
      </c>
      <c r="AJ20" s="17" t="str" cm="1">
        <f t="array" ref="AJ20">IF($C20="","",N(KW(($I20&amp;", "&amp;$AC$3),"Cleave")))</f>
        <v/>
      </c>
      <c r="AK20" s="17" t="str" cm="1">
        <f t="array" ref="AK20">IF($C20="","",N(KW(($I20&amp;", "&amp;$AC$3),"Melta")))</f>
        <v/>
      </c>
      <c r="AL20" s="17" t="str" cm="1">
        <f t="array" ref="AL20">IF($C20="","",KW(($I20&amp;", "&amp;$AC$3),"Ignores Cover")=TRUE)</f>
        <v/>
      </c>
      <c r="AM20" s="17" t="str" cm="1">
        <f t="array" ref="AM20">IF($C20="","",KW(($I20&amp;", "&amp;$AC$3),"Psychic")=TRUE)</f>
        <v/>
      </c>
      <c r="AN20" s="18" t="str" cm="1">
        <f t="array" ref="AN20">IF($C20="","",_xlfn.LET(_xlpm.src,$I20&amp;", "&amp;$AC$3,_xlpm.a,KWANTI(_xlpm.src,($O$6&amp;", "&amp;$AD$3)),_xlpm.c,KWMIN(_xlpm.src,"Critical Wounds"),MIN(_xlpm.a,IF(ISNUMBER(_xlpm.c),MEDIAN(2,6,_xlpm.c),6))))</f>
        <v/>
      </c>
      <c r="AO20" s="18" t="str" cm="1">
        <f t="array" ref="AO20">IF($C20="","",IF($AA20,0,_xlfn.LET(_xlpm.src,$I20&amp;", "&amp;$AC$3,_xlpm.stat,$F$3="Yes",IF(KW(_xlpm.src,"Snap Shooting")=TRUE,IF(_xlpm.stat,4,6),_xlfn.LET(_xlpm.psy,$AM20,_xlpm.hv,$AG20*_xlpm.stat,_xlpm.dmg,-($I$3="Yes"),_xlpm.am,$AS20,_xlpm.tm,$AI$3,_xlpm.mods,IF(_xlpm.psy,MAX(0,_xlpm.hv)+MAX(0,_xlpm.am)+MAX(0,_xlpm.tm),_xlpm.hv+_xlpm.dmg+_xlpm.am+_xlpm.tm),_xlpm.cov,AND(OR($G$3="Yes",$AB$3),NOT($AL20),NOT(_xlpm.psy)),_xlpm.bs,MIN(6,MAX(2,$E20+IF(_xlpm.psy,MIN(0,$BB20),$BB20+_xlpm.cov))),MEDIAN(2,6,_xlpm.bs-MAX(-1,MIN(1,_xlpm.mods))))))))</f>
        <v/>
      </c>
      <c r="AP20" s="18" t="str">
        <f t="shared" si="8"/>
        <v/>
      </c>
      <c r="AQ20" s="18" t="str">
        <f t="shared" si="9"/>
        <v/>
      </c>
      <c r="AR20" s="19" t="str">
        <f t="shared" si="7"/>
        <v/>
      </c>
      <c r="AS20" s="19" t="str" cm="1">
        <f t="array" ref="AS20">IF($C20="","",KWSUM(($I20&amp;", "&amp;$AC$3),"Hit Modifier"))</f>
        <v/>
      </c>
      <c r="AT20" s="19" t="str" cm="1">
        <f t="array" ref="AT20">IF($C20="","",KWSUM(($I20&amp;", "&amp;$AC$3),"Wound Modifier"))</f>
        <v/>
      </c>
      <c r="AU20" s="19" t="str" cm="1">
        <f t="array" ref="AU20">IF($C20="","",KWSUM(($I20&amp;", "&amp;$AC$3),"AP Modifier"))</f>
        <v/>
      </c>
      <c r="AV20" s="19" t="str" cm="1">
        <f t="array" ref="AV20">IF($C20="","",KWSUM(($I20&amp;", "&amp;$AC$3),"Damage Modifier"))</f>
        <v/>
      </c>
      <c r="AW20" s="19" t="str" cm="1">
        <f t="array" ref="AW20">IF($C20="","",_xlfn.LET(_xlpm.src,$I20&amp;", "&amp;$AC$3,IF(KW(_xlpm.src,"Snap Shooting")=TRUE,0,_xlfn.LET(_xlpm.full,ISNUMBER(_xlfn.XMATCH("Reroll Hits",TRIM(_xlfn.TEXTSPLIT(_xlpm.src,",")))),_xlpm.r,KW(_xlpm.src,"Reroll Hits"),IF(_xlpm.full,2,IF(N(_xlpm.r)&gt;=1,1,0))))))</f>
        <v/>
      </c>
      <c r="AX20" s="19" t="str" cm="1">
        <f t="array" ref="AX20">IF($C20="","",_xlfn.LET(_xlpm.src,$I20&amp;", "&amp;$AC$3,_xlpm.full,OR($AE20,ISNUMBER(_xlfn.XMATCH("Reroll Wounds",TRIM(_xlfn.TEXTSPLIT(_xlpm.src,","))))),_xlpm.r,KW(_xlpm.src,"Reroll Wounds"),IF(_xlpm.full,2,IF(N(_xlpm.r)&gt;=1,1,0))))</f>
        <v/>
      </c>
      <c r="AY20" s="19" t="str">
        <f t="shared" si="10"/>
        <v/>
      </c>
      <c r="AZ20" s="19" t="str" cm="1">
        <f t="array" ref="AZ20">IF($C20="","",KWSUM($I20&amp;", "&amp;$AC$3,"Attacks Modifier"))</f>
        <v/>
      </c>
      <c r="BA20" s="19" t="str" cm="1">
        <f t="array" ref="BA20">IF($C20="","",KWSUM($I20&amp;", "&amp;$AC$3,"Strength Modifier"))</f>
        <v/>
      </c>
      <c r="BB20" s="19" t="str" cm="1">
        <f t="array" ref="BB20">IF($C20="","",KWSUM($I20&amp;", "&amp;$AC$3,"BS Modifier"))</f>
        <v/>
      </c>
      <c r="BC20" s="19" t="str" cm="1">
        <f t="array" ref="BC20">IF($C20="","",_xlfn.LET(_xlpm.src,$I20&amp;", "&amp;$AC$3,_xlpm.c,KWMIN(_xlpm.src,"Critical Hits"),IF(KW(_xlpm.src,"Snap Shooting")=TRUE,6,IF(ISNUMBER(_xlpm.c),MEDIAN(2,6,_xlpm.c),6))))</f>
        <v/>
      </c>
      <c r="BD20" s="19" t="str" cm="1">
        <f t="array" ref="BD20">IF($C20="","",KWSUM($I20&amp;", "&amp;$AC$3,"Save Modifier"))</f>
        <v/>
      </c>
      <c r="BH20" s="5" t="str">
        <v>HWT (Imperial Guard)</v>
      </c>
    </row>
    <row r="21" spans="1:60" x14ac:dyDescent="0.25">
      <c r="A21" s="38" t="b">
        <v>1</v>
      </c>
      <c r="B21" s="59">
        <v>1</v>
      </c>
      <c r="C21" s="30"/>
      <c r="D21"/>
      <c r="E21"/>
      <c r="F21"/>
      <c r="G21"/>
      <c r="H21"/>
      <c r="I21" s="1"/>
      <c r="J21" s="120"/>
      <c r="K21" s="122"/>
      <c r="L21" s="122"/>
      <c r="M21" s="122"/>
      <c r="N21" s="122"/>
      <c r="O21" s="118"/>
      <c r="P21" s="24" t="str" cm="1">
        <f t="array" ref="P21">IF(OR($C21="",NOT($A21)),"",N($B21)*(MAX(1,DICEAVG($D21)+$AZ21)+$AH21*($E$3="Yes")+($AI21+$AJ21)*INT($H$3/5)))</f>
        <v/>
      </c>
      <c r="Q21" s="24" t="str">
        <f t="shared" si="11"/>
        <v/>
      </c>
      <c r="R21" s="24" t="str">
        <f t="shared" si="0"/>
        <v/>
      </c>
      <c r="S21" s="24" t="str">
        <f t="shared" si="1"/>
        <v/>
      </c>
      <c r="T21" s="24" t="str">
        <f t="shared" si="2"/>
        <v/>
      </c>
      <c r="U21" s="24" t="str">
        <f t="shared" si="3"/>
        <v/>
      </c>
      <c r="V21" s="24" t="str" cm="1">
        <f t="array" ref="V21">IF(OR($C21="",NOT($A21)),"",MAX(1,DICEAVG($H21)+$AK21*($E$3="Yes")+$AV21+$AH$3))</f>
        <v/>
      </c>
      <c r="W21" s="24" t="str">
        <f t="shared" si="4"/>
        <v/>
      </c>
      <c r="X21" s="24" t="str">
        <f t="shared" si="5"/>
        <v/>
      </c>
      <c r="Y21" s="31" t="str">
        <f t="shared" si="6"/>
        <v/>
      </c>
      <c r="AA21" s="17" t="str" cm="1">
        <f t="array" ref="AA21">IF($C21="","",KW(($I21&amp;", "&amp;$AC$3),"Torrent")=TRUE)</f>
        <v/>
      </c>
      <c r="AB21" s="17" t="str" cm="1">
        <f t="array" ref="AB21">IF($C21="","",KW(($I21&amp;", "&amp;$AC$3),"Lethal Hits")=TRUE)</f>
        <v/>
      </c>
      <c r="AC21" s="17" t="str" cm="1">
        <f t="array" ref="AC21">IF($C21="","",N(KW(($I21&amp;", "&amp;$AC$3),"Sustained Hits")))</f>
        <v/>
      </c>
      <c r="AD21" s="17" t="str" cm="1">
        <f t="array" ref="AD21">IF($C21="","",KW(($I21&amp;", "&amp;$AC$3),"Devastating Wounds")=TRUE)</f>
        <v/>
      </c>
      <c r="AE21" s="17" t="str" cm="1">
        <f t="array" ref="AE21">IF($C21="","",KW(($I21&amp;", "&amp;$AC$3),"Twin-Linked")=TRUE)</f>
        <v/>
      </c>
      <c r="AF21" s="17" t="str" cm="1">
        <f t="array" ref="AF21">IF($C21="","",KW(($I21&amp;", "&amp;$AC$3),"Lance")=TRUE)</f>
        <v/>
      </c>
      <c r="AG21" s="17" t="str" cm="1">
        <f t="array" ref="AG21">IF($C21="","",KW(($I21&amp;", "&amp;$AC$3),"Heavy")=TRUE)</f>
        <v/>
      </c>
      <c r="AH21" s="17" t="str" cm="1">
        <f t="array" ref="AH21">IF($C21="","",N(KW(($I21&amp;", "&amp;$AC$3),"Rapid Fire")))</f>
        <v/>
      </c>
      <c r="AI21" s="17" t="str" cm="1">
        <f t="array" ref="AI21">IF($C21="","",N(KW(($I21&amp;", "&amp;$AC$3),"Blast")))</f>
        <v/>
      </c>
      <c r="AJ21" s="17" t="str" cm="1">
        <f t="array" ref="AJ21">IF($C21="","",N(KW(($I21&amp;", "&amp;$AC$3),"Cleave")))</f>
        <v/>
      </c>
      <c r="AK21" s="17" t="str" cm="1">
        <f t="array" ref="AK21">IF($C21="","",N(KW(($I21&amp;", "&amp;$AC$3),"Melta")))</f>
        <v/>
      </c>
      <c r="AL21" s="17" t="str" cm="1">
        <f t="array" ref="AL21">IF($C21="","",KW(($I21&amp;", "&amp;$AC$3),"Ignores Cover")=TRUE)</f>
        <v/>
      </c>
      <c r="AM21" s="17" t="str" cm="1">
        <f t="array" ref="AM21">IF($C21="","",KW(($I21&amp;", "&amp;$AC$3),"Psychic")=TRUE)</f>
        <v/>
      </c>
      <c r="AN21" s="18" t="str" cm="1">
        <f t="array" ref="AN21">IF($C21="","",_xlfn.LET(_xlpm.src,$I21&amp;", "&amp;$AC$3,_xlpm.a,KWANTI(_xlpm.src,($O$6&amp;", "&amp;$AD$3)),_xlpm.c,KWMIN(_xlpm.src,"Critical Wounds"),MIN(_xlpm.a,IF(ISNUMBER(_xlpm.c),MEDIAN(2,6,_xlpm.c),6))))</f>
        <v/>
      </c>
      <c r="AO21" s="18" t="str" cm="1">
        <f t="array" ref="AO21">IF($C21="","",IF($AA21,0,_xlfn.LET(_xlpm.src,$I21&amp;", "&amp;$AC$3,_xlpm.stat,$F$3="Yes",IF(KW(_xlpm.src,"Snap Shooting")=TRUE,IF(_xlpm.stat,4,6),_xlfn.LET(_xlpm.psy,$AM21,_xlpm.hv,$AG21*_xlpm.stat,_xlpm.dmg,-($I$3="Yes"),_xlpm.am,$AS21,_xlpm.tm,$AI$3,_xlpm.mods,IF(_xlpm.psy,MAX(0,_xlpm.hv)+MAX(0,_xlpm.am)+MAX(0,_xlpm.tm),_xlpm.hv+_xlpm.dmg+_xlpm.am+_xlpm.tm),_xlpm.cov,AND(OR($G$3="Yes",$AB$3),NOT($AL21),NOT(_xlpm.psy)),_xlpm.bs,MIN(6,MAX(2,$E21+IF(_xlpm.psy,MIN(0,$BB21),$BB21+_xlpm.cov))),MEDIAN(2,6,_xlpm.bs-MAX(-1,MIN(1,_xlpm.mods))))))))</f>
        <v/>
      </c>
      <c r="AP21" s="18" t="str">
        <f t="shared" si="8"/>
        <v/>
      </c>
      <c r="AQ21" s="18" t="str">
        <f t="shared" si="9"/>
        <v/>
      </c>
      <c r="AR21" s="19" t="str">
        <f t="shared" si="7"/>
        <v/>
      </c>
      <c r="AS21" s="19" t="str" cm="1">
        <f t="array" ref="AS21">IF($C21="","",KWSUM(($I21&amp;", "&amp;$AC$3),"Hit Modifier"))</f>
        <v/>
      </c>
      <c r="AT21" s="19" t="str" cm="1">
        <f t="array" ref="AT21">IF($C21="","",KWSUM(($I21&amp;", "&amp;$AC$3),"Wound Modifier"))</f>
        <v/>
      </c>
      <c r="AU21" s="19" t="str" cm="1">
        <f t="array" ref="AU21">IF($C21="","",KWSUM(($I21&amp;", "&amp;$AC$3),"AP Modifier"))</f>
        <v/>
      </c>
      <c r="AV21" s="19" t="str" cm="1">
        <f t="array" ref="AV21">IF($C21="","",KWSUM(($I21&amp;", "&amp;$AC$3),"Damage Modifier"))</f>
        <v/>
      </c>
      <c r="AW21" s="19" t="str" cm="1">
        <f t="array" ref="AW21">IF($C21="","",_xlfn.LET(_xlpm.src,$I21&amp;", "&amp;$AC$3,IF(KW(_xlpm.src,"Snap Shooting")=TRUE,0,_xlfn.LET(_xlpm.full,ISNUMBER(_xlfn.XMATCH("Reroll Hits",TRIM(_xlfn.TEXTSPLIT(_xlpm.src,",")))),_xlpm.r,KW(_xlpm.src,"Reroll Hits"),IF(_xlpm.full,2,IF(N(_xlpm.r)&gt;=1,1,0))))))</f>
        <v/>
      </c>
      <c r="AX21" s="19" t="str" cm="1">
        <f t="array" ref="AX21">IF($C21="","",_xlfn.LET(_xlpm.src,$I21&amp;", "&amp;$AC$3,_xlpm.full,OR($AE21,ISNUMBER(_xlfn.XMATCH("Reroll Wounds",TRIM(_xlfn.TEXTSPLIT(_xlpm.src,","))))),_xlpm.r,KW(_xlpm.src,"Reroll Wounds"),IF(_xlpm.full,2,IF(N(_xlpm.r)&gt;=1,1,0))))</f>
        <v/>
      </c>
      <c r="AY21" s="19" t="str">
        <f t="shared" si="10"/>
        <v/>
      </c>
      <c r="AZ21" s="19" t="str" cm="1">
        <f t="array" ref="AZ21">IF($C21="","",KWSUM($I21&amp;", "&amp;$AC$3,"Attacks Modifier"))</f>
        <v/>
      </c>
      <c r="BA21" s="19" t="str" cm="1">
        <f t="array" ref="BA21">IF($C21="","",KWSUM($I21&amp;", "&amp;$AC$3,"Strength Modifier"))</f>
        <v/>
      </c>
      <c r="BB21" s="19" t="str" cm="1">
        <f t="array" ref="BB21">IF($C21="","",KWSUM($I21&amp;", "&amp;$AC$3,"BS Modifier"))</f>
        <v/>
      </c>
      <c r="BC21" s="19" t="str" cm="1">
        <f t="array" ref="BC21">IF($C21="","",_xlfn.LET(_xlpm.src,$I21&amp;", "&amp;$AC$3,_xlpm.c,KWMIN(_xlpm.src,"Critical Hits"),IF(KW(_xlpm.src,"Snap Shooting")=TRUE,6,IF(ISNUMBER(_xlpm.c),MEDIAN(2,6,_xlpm.c),6))))</f>
        <v/>
      </c>
      <c r="BD21" s="19" t="str" cm="1">
        <f t="array" ref="BD21">IF($C21="","",KWSUM($I21&amp;", "&amp;$AC$3,"Save Modifier"))</f>
        <v/>
      </c>
      <c r="BH21" s="5" t="str">
        <v>Artillery Team (Imperial Guard)</v>
      </c>
    </row>
    <row r="22" spans="1:60" x14ac:dyDescent="0.25">
      <c r="A22" s="38" t="b">
        <v>1</v>
      </c>
      <c r="B22" s="59">
        <v>1</v>
      </c>
      <c r="C22" s="30"/>
      <c r="D22"/>
      <c r="E22"/>
      <c r="F22"/>
      <c r="G22"/>
      <c r="H22"/>
      <c r="I22" s="1"/>
      <c r="J22" s="120"/>
      <c r="K22" s="122"/>
      <c r="L22" s="122"/>
      <c r="M22" s="122"/>
      <c r="N22" s="122"/>
      <c r="O22" s="118"/>
      <c r="P22" s="24" t="str" cm="1">
        <f t="array" ref="P22">IF(OR($C22="",NOT($A22)),"",N($B22)*(MAX(1,DICEAVG($D22)+$AZ22)+$AH22*($E$3="Yes")+($AI22+$AJ22)*INT($H$3/5)))</f>
        <v/>
      </c>
      <c r="Q22" s="24" t="str">
        <f t="shared" si="11"/>
        <v/>
      </c>
      <c r="R22" s="24" t="str">
        <f t="shared" si="0"/>
        <v/>
      </c>
      <c r="S22" s="24" t="str">
        <f t="shared" si="1"/>
        <v/>
      </c>
      <c r="T22" s="24" t="str">
        <f t="shared" si="2"/>
        <v/>
      </c>
      <c r="U22" s="24" t="str">
        <f t="shared" si="3"/>
        <v/>
      </c>
      <c r="V22" s="24" t="str" cm="1">
        <f t="array" ref="V22">IF(OR($C22="",NOT($A22)),"",MAX(1,DICEAVG($H22)+$AK22*($E$3="Yes")+$AV22+$AH$3))</f>
        <v/>
      </c>
      <c r="W22" s="24" t="str">
        <f t="shared" si="4"/>
        <v/>
      </c>
      <c r="X22" s="24" t="str">
        <f t="shared" si="5"/>
        <v/>
      </c>
      <c r="Y22" s="31" t="str">
        <f t="shared" si="6"/>
        <v/>
      </c>
      <c r="AA22" s="17" t="str" cm="1">
        <f t="array" ref="AA22">IF($C22="","",KW(($I22&amp;", "&amp;$AC$3),"Torrent")=TRUE)</f>
        <v/>
      </c>
      <c r="AB22" s="17" t="str" cm="1">
        <f t="array" ref="AB22">IF($C22="","",KW(($I22&amp;", "&amp;$AC$3),"Lethal Hits")=TRUE)</f>
        <v/>
      </c>
      <c r="AC22" s="17" t="str" cm="1">
        <f t="array" ref="AC22">IF($C22="","",N(KW(($I22&amp;", "&amp;$AC$3),"Sustained Hits")))</f>
        <v/>
      </c>
      <c r="AD22" s="17" t="str" cm="1">
        <f t="array" ref="AD22">IF($C22="","",KW(($I22&amp;", "&amp;$AC$3),"Devastating Wounds")=TRUE)</f>
        <v/>
      </c>
      <c r="AE22" s="17" t="str" cm="1">
        <f t="array" ref="AE22">IF($C22="","",KW(($I22&amp;", "&amp;$AC$3),"Twin-Linked")=TRUE)</f>
        <v/>
      </c>
      <c r="AF22" s="17" t="str" cm="1">
        <f t="array" ref="AF22">IF($C22="","",KW(($I22&amp;", "&amp;$AC$3),"Lance")=TRUE)</f>
        <v/>
      </c>
      <c r="AG22" s="17" t="str" cm="1">
        <f t="array" ref="AG22">IF($C22="","",KW(($I22&amp;", "&amp;$AC$3),"Heavy")=TRUE)</f>
        <v/>
      </c>
      <c r="AH22" s="17" t="str" cm="1">
        <f t="array" ref="AH22">IF($C22="","",N(KW(($I22&amp;", "&amp;$AC$3),"Rapid Fire")))</f>
        <v/>
      </c>
      <c r="AI22" s="17" t="str" cm="1">
        <f t="array" ref="AI22">IF($C22="","",N(KW(($I22&amp;", "&amp;$AC$3),"Blast")))</f>
        <v/>
      </c>
      <c r="AJ22" s="17" t="str" cm="1">
        <f t="array" ref="AJ22">IF($C22="","",N(KW(($I22&amp;", "&amp;$AC$3),"Cleave")))</f>
        <v/>
      </c>
      <c r="AK22" s="17" t="str" cm="1">
        <f t="array" ref="AK22">IF($C22="","",N(KW(($I22&amp;", "&amp;$AC$3),"Melta")))</f>
        <v/>
      </c>
      <c r="AL22" s="17" t="str" cm="1">
        <f t="array" ref="AL22">IF($C22="","",KW(($I22&amp;", "&amp;$AC$3),"Ignores Cover")=TRUE)</f>
        <v/>
      </c>
      <c r="AM22" s="17" t="str" cm="1">
        <f t="array" ref="AM22">IF($C22="","",KW(($I22&amp;", "&amp;$AC$3),"Psychic")=TRUE)</f>
        <v/>
      </c>
      <c r="AN22" s="18" t="str" cm="1">
        <f t="array" ref="AN22">IF($C22="","",_xlfn.LET(_xlpm.src,$I22&amp;", "&amp;$AC$3,_xlpm.a,KWANTI(_xlpm.src,($O$6&amp;", "&amp;$AD$3)),_xlpm.c,KWMIN(_xlpm.src,"Critical Wounds"),MIN(_xlpm.a,IF(ISNUMBER(_xlpm.c),MEDIAN(2,6,_xlpm.c),6))))</f>
        <v/>
      </c>
      <c r="AO22" s="18" t="str" cm="1">
        <f t="array" ref="AO22">IF($C22="","",IF($AA22,0,_xlfn.LET(_xlpm.src,$I22&amp;", "&amp;$AC$3,_xlpm.stat,$F$3="Yes",IF(KW(_xlpm.src,"Snap Shooting")=TRUE,IF(_xlpm.stat,4,6),_xlfn.LET(_xlpm.psy,$AM22,_xlpm.hv,$AG22*_xlpm.stat,_xlpm.dmg,-($I$3="Yes"),_xlpm.am,$AS22,_xlpm.tm,$AI$3,_xlpm.mods,IF(_xlpm.psy,MAX(0,_xlpm.hv)+MAX(0,_xlpm.am)+MAX(0,_xlpm.tm),_xlpm.hv+_xlpm.dmg+_xlpm.am+_xlpm.tm),_xlpm.cov,AND(OR($G$3="Yes",$AB$3),NOT($AL22),NOT(_xlpm.psy)),_xlpm.bs,MIN(6,MAX(2,$E22+IF(_xlpm.psy,MIN(0,$BB22),$BB22+_xlpm.cov))),MEDIAN(2,6,_xlpm.bs-MAX(-1,MIN(1,_xlpm.mods))))))))</f>
        <v/>
      </c>
      <c r="AP22" s="18" t="str">
        <f t="shared" si="8"/>
        <v/>
      </c>
      <c r="AQ22" s="18" t="str">
        <f t="shared" si="9"/>
        <v/>
      </c>
      <c r="AR22" s="19" t="str">
        <f t="shared" si="7"/>
        <v/>
      </c>
      <c r="AS22" s="19" t="str" cm="1">
        <f t="array" ref="AS22">IF($C22="","",KWSUM(($I22&amp;", "&amp;$AC$3),"Hit Modifier"))</f>
        <v/>
      </c>
      <c r="AT22" s="19" t="str" cm="1">
        <f t="array" ref="AT22">IF($C22="","",KWSUM(($I22&amp;", "&amp;$AC$3),"Wound Modifier"))</f>
        <v/>
      </c>
      <c r="AU22" s="19" t="str" cm="1">
        <f t="array" ref="AU22">IF($C22="","",KWSUM(($I22&amp;", "&amp;$AC$3),"AP Modifier"))</f>
        <v/>
      </c>
      <c r="AV22" s="19" t="str" cm="1">
        <f t="array" ref="AV22">IF($C22="","",KWSUM(($I22&amp;", "&amp;$AC$3),"Damage Modifier"))</f>
        <v/>
      </c>
      <c r="AW22" s="19" t="str" cm="1">
        <f t="array" ref="AW22">IF($C22="","",_xlfn.LET(_xlpm.src,$I22&amp;", "&amp;$AC$3,IF(KW(_xlpm.src,"Snap Shooting")=TRUE,0,_xlfn.LET(_xlpm.full,ISNUMBER(_xlfn.XMATCH("Reroll Hits",TRIM(_xlfn.TEXTSPLIT(_xlpm.src,",")))),_xlpm.r,KW(_xlpm.src,"Reroll Hits"),IF(_xlpm.full,2,IF(N(_xlpm.r)&gt;=1,1,0))))))</f>
        <v/>
      </c>
      <c r="AX22" s="19" t="str" cm="1">
        <f t="array" ref="AX22">IF($C22="","",_xlfn.LET(_xlpm.src,$I22&amp;", "&amp;$AC$3,_xlpm.full,OR($AE22,ISNUMBER(_xlfn.XMATCH("Reroll Wounds",TRIM(_xlfn.TEXTSPLIT(_xlpm.src,","))))),_xlpm.r,KW(_xlpm.src,"Reroll Wounds"),IF(_xlpm.full,2,IF(N(_xlpm.r)&gt;=1,1,0))))</f>
        <v/>
      </c>
      <c r="AY22" s="19" t="str">
        <f t="shared" si="10"/>
        <v/>
      </c>
      <c r="AZ22" s="19" t="str" cm="1">
        <f t="array" ref="AZ22">IF($C22="","",KWSUM($I22&amp;", "&amp;$AC$3,"Attacks Modifier"))</f>
        <v/>
      </c>
      <c r="BA22" s="19" t="str" cm="1">
        <f t="array" ref="BA22">IF($C22="","",KWSUM($I22&amp;", "&amp;$AC$3,"Strength Modifier"))</f>
        <v/>
      </c>
      <c r="BB22" s="19" t="str" cm="1">
        <f t="array" ref="BB22">IF($C22="","",KWSUM($I22&amp;", "&amp;$AC$3,"BS Modifier"))</f>
        <v/>
      </c>
      <c r="BC22" s="19" t="str" cm="1">
        <f t="array" ref="BC22">IF($C22="","",_xlfn.LET(_xlpm.src,$I22&amp;", "&amp;$AC$3,_xlpm.c,KWMIN(_xlpm.src,"Critical Hits"),IF(KW(_xlpm.src,"Snap Shooting")=TRUE,6,IF(ISNUMBER(_xlpm.c),MEDIAN(2,6,_xlpm.c),6))))</f>
        <v/>
      </c>
      <c r="BD22" s="19" t="str" cm="1">
        <f t="array" ref="BD22">IF($C22="","",KWSUM($I22&amp;", "&amp;$AC$3,"Save Modifier"))</f>
        <v/>
      </c>
      <c r="BH22" s="5" t="str">
        <v>Field Ordinance Battery (Imperial Guard)</v>
      </c>
    </row>
    <row r="23" spans="1:60" x14ac:dyDescent="0.25">
      <c r="A23" s="38" t="b">
        <v>1</v>
      </c>
      <c r="B23" s="59">
        <v>1</v>
      </c>
      <c r="C23" s="30"/>
      <c r="D23"/>
      <c r="E23"/>
      <c r="F23"/>
      <c r="G23"/>
      <c r="H23"/>
      <c r="I23" s="1"/>
      <c r="J23" s="120"/>
      <c r="K23" s="122"/>
      <c r="L23" s="122"/>
      <c r="M23" s="122"/>
      <c r="N23" s="122"/>
      <c r="O23" s="118"/>
      <c r="P23" s="24" t="str" cm="1">
        <f t="array" ref="P23">IF(OR($C23="",NOT($A23)),"",N($B23)*(MAX(1,DICEAVG($D23)+$AZ23)+$AH23*($E$3="Yes")+($AI23+$AJ23)*INT($H$3/5)))</f>
        <v/>
      </c>
      <c r="Q23" s="24" t="str">
        <f t="shared" si="11"/>
        <v/>
      </c>
      <c r="R23" s="24" t="str">
        <f t="shared" si="0"/>
        <v/>
      </c>
      <c r="S23" s="24" t="str">
        <f t="shared" si="1"/>
        <v/>
      </c>
      <c r="T23" s="24" t="str">
        <f t="shared" si="2"/>
        <v/>
      </c>
      <c r="U23" s="24" t="str">
        <f t="shared" si="3"/>
        <v/>
      </c>
      <c r="V23" s="24" t="str" cm="1">
        <f t="array" ref="V23">IF(OR($C23="",NOT($A23)),"",MAX(1,DICEAVG($H23)+$AK23*($E$3="Yes")+$AV23+$AH$3))</f>
        <v/>
      </c>
      <c r="W23" s="24" t="str">
        <f t="shared" si="4"/>
        <v/>
      </c>
      <c r="X23" s="24" t="str">
        <f t="shared" si="5"/>
        <v/>
      </c>
      <c r="Y23" s="31" t="str">
        <f t="shared" si="6"/>
        <v/>
      </c>
      <c r="AA23" s="17" t="str" cm="1">
        <f t="array" ref="AA23">IF($C23="","",KW(($I23&amp;", "&amp;$AC$3),"Torrent")=TRUE)</f>
        <v/>
      </c>
      <c r="AB23" s="17" t="str" cm="1">
        <f t="array" ref="AB23">IF($C23="","",KW(($I23&amp;", "&amp;$AC$3),"Lethal Hits")=TRUE)</f>
        <v/>
      </c>
      <c r="AC23" s="17" t="str" cm="1">
        <f t="array" ref="AC23">IF($C23="","",N(KW(($I23&amp;", "&amp;$AC$3),"Sustained Hits")))</f>
        <v/>
      </c>
      <c r="AD23" s="17" t="str" cm="1">
        <f t="array" ref="AD23">IF($C23="","",KW(($I23&amp;", "&amp;$AC$3),"Devastating Wounds")=TRUE)</f>
        <v/>
      </c>
      <c r="AE23" s="17" t="str" cm="1">
        <f t="array" ref="AE23">IF($C23="","",KW(($I23&amp;", "&amp;$AC$3),"Twin-Linked")=TRUE)</f>
        <v/>
      </c>
      <c r="AF23" s="17" t="str" cm="1">
        <f t="array" ref="AF23">IF($C23="","",KW(($I23&amp;", "&amp;$AC$3),"Lance")=TRUE)</f>
        <v/>
      </c>
      <c r="AG23" s="17" t="str" cm="1">
        <f t="array" ref="AG23">IF($C23="","",KW(($I23&amp;", "&amp;$AC$3),"Heavy")=TRUE)</f>
        <v/>
      </c>
      <c r="AH23" s="17" t="str" cm="1">
        <f t="array" ref="AH23">IF($C23="","",N(KW(($I23&amp;", "&amp;$AC$3),"Rapid Fire")))</f>
        <v/>
      </c>
      <c r="AI23" s="17" t="str" cm="1">
        <f t="array" ref="AI23">IF($C23="","",N(KW(($I23&amp;", "&amp;$AC$3),"Blast")))</f>
        <v/>
      </c>
      <c r="AJ23" s="17" t="str" cm="1">
        <f t="array" ref="AJ23">IF($C23="","",N(KW(($I23&amp;", "&amp;$AC$3),"Cleave")))</f>
        <v/>
      </c>
      <c r="AK23" s="17" t="str" cm="1">
        <f t="array" ref="AK23">IF($C23="","",N(KW(($I23&amp;", "&amp;$AC$3),"Melta")))</f>
        <v/>
      </c>
      <c r="AL23" s="17" t="str" cm="1">
        <f t="array" ref="AL23">IF($C23="","",KW(($I23&amp;", "&amp;$AC$3),"Ignores Cover")=TRUE)</f>
        <v/>
      </c>
      <c r="AM23" s="17" t="str" cm="1">
        <f t="array" ref="AM23">IF($C23="","",KW(($I23&amp;", "&amp;$AC$3),"Psychic")=TRUE)</f>
        <v/>
      </c>
      <c r="AN23" s="18" t="str" cm="1">
        <f t="array" ref="AN23">IF($C23="","",_xlfn.LET(_xlpm.src,$I23&amp;", "&amp;$AC$3,_xlpm.a,KWANTI(_xlpm.src,($O$6&amp;", "&amp;$AD$3)),_xlpm.c,KWMIN(_xlpm.src,"Critical Wounds"),MIN(_xlpm.a,IF(ISNUMBER(_xlpm.c),MEDIAN(2,6,_xlpm.c),6))))</f>
        <v/>
      </c>
      <c r="AO23" s="18" t="str" cm="1">
        <f t="array" ref="AO23">IF($C23="","",IF($AA23,0,_xlfn.LET(_xlpm.src,$I23&amp;", "&amp;$AC$3,_xlpm.stat,$F$3="Yes",IF(KW(_xlpm.src,"Snap Shooting")=TRUE,IF(_xlpm.stat,4,6),_xlfn.LET(_xlpm.psy,$AM23,_xlpm.hv,$AG23*_xlpm.stat,_xlpm.dmg,-($I$3="Yes"),_xlpm.am,$AS23,_xlpm.tm,$AI$3,_xlpm.mods,IF(_xlpm.psy,MAX(0,_xlpm.hv)+MAX(0,_xlpm.am)+MAX(0,_xlpm.tm),_xlpm.hv+_xlpm.dmg+_xlpm.am+_xlpm.tm),_xlpm.cov,AND(OR($G$3="Yes",$AB$3),NOT($AL23),NOT(_xlpm.psy)),_xlpm.bs,MIN(6,MAX(2,$E23+IF(_xlpm.psy,MIN(0,$BB23),$BB23+_xlpm.cov))),MEDIAN(2,6,_xlpm.bs-MAX(-1,MIN(1,_xlpm.mods))))))))</f>
        <v/>
      </c>
      <c r="AP23" s="18" t="str">
        <f t="shared" si="8"/>
        <v/>
      </c>
      <c r="AQ23" s="18" t="str">
        <f t="shared" si="9"/>
        <v/>
      </c>
      <c r="AR23" s="19" t="str">
        <f t="shared" si="7"/>
        <v/>
      </c>
      <c r="AS23" s="19" t="str" cm="1">
        <f t="array" ref="AS23">IF($C23="","",KWSUM(($I23&amp;", "&amp;$AC$3),"Hit Modifier"))</f>
        <v/>
      </c>
      <c r="AT23" s="19" t="str" cm="1">
        <f t="array" ref="AT23">IF($C23="","",KWSUM(($I23&amp;", "&amp;$AC$3),"Wound Modifier"))</f>
        <v/>
      </c>
      <c r="AU23" s="19" t="str" cm="1">
        <f t="array" ref="AU23">IF($C23="","",KWSUM(($I23&amp;", "&amp;$AC$3),"AP Modifier"))</f>
        <v/>
      </c>
      <c r="AV23" s="19" t="str" cm="1">
        <f t="array" ref="AV23">IF($C23="","",KWSUM(($I23&amp;", "&amp;$AC$3),"Damage Modifier"))</f>
        <v/>
      </c>
      <c r="AW23" s="19" t="str" cm="1">
        <f t="array" ref="AW23">IF($C23="","",_xlfn.LET(_xlpm.src,$I23&amp;", "&amp;$AC$3,IF(KW(_xlpm.src,"Snap Shooting")=TRUE,0,_xlfn.LET(_xlpm.full,ISNUMBER(_xlfn.XMATCH("Reroll Hits",TRIM(_xlfn.TEXTSPLIT(_xlpm.src,",")))),_xlpm.r,KW(_xlpm.src,"Reroll Hits"),IF(_xlpm.full,2,IF(N(_xlpm.r)&gt;=1,1,0))))))</f>
        <v/>
      </c>
      <c r="AX23" s="19" t="str" cm="1">
        <f t="array" ref="AX23">IF($C23="","",_xlfn.LET(_xlpm.src,$I23&amp;", "&amp;$AC$3,_xlpm.full,OR($AE23,ISNUMBER(_xlfn.XMATCH("Reroll Wounds",TRIM(_xlfn.TEXTSPLIT(_xlpm.src,","))))),_xlpm.r,KW(_xlpm.src,"Reroll Wounds"),IF(_xlpm.full,2,IF(N(_xlpm.r)&gt;=1,1,0))))</f>
        <v/>
      </c>
      <c r="AY23" s="19" t="str">
        <f t="shared" si="10"/>
        <v/>
      </c>
      <c r="AZ23" s="19" t="str" cm="1">
        <f t="array" ref="AZ23">IF($C23="","",KWSUM($I23&amp;", "&amp;$AC$3,"Attacks Modifier"))</f>
        <v/>
      </c>
      <c r="BA23" s="19" t="str" cm="1">
        <f t="array" ref="BA23">IF($C23="","",KWSUM($I23&amp;", "&amp;$AC$3,"Strength Modifier"))</f>
        <v/>
      </c>
      <c r="BB23" s="19" t="str" cm="1">
        <f t="array" ref="BB23">IF($C23="","",KWSUM($I23&amp;", "&amp;$AC$3,"BS Modifier"))</f>
        <v/>
      </c>
      <c r="BC23" s="19" t="str" cm="1">
        <f t="array" ref="BC23">IF($C23="","",_xlfn.LET(_xlpm.src,$I23&amp;", "&amp;$AC$3,_xlpm.c,KWMIN(_xlpm.src,"Critical Hits"),IF(KW(_xlpm.src,"Snap Shooting")=TRUE,6,IF(ISNUMBER(_xlpm.c),MEDIAN(2,6,_xlpm.c),6))))</f>
        <v/>
      </c>
      <c r="BD23" s="19" t="str" cm="1">
        <f t="array" ref="BD23">IF($C23="","",KWSUM($I23&amp;", "&amp;$AC$3,"Save Modifier"))</f>
        <v/>
      </c>
      <c r="BH23" s="5" t="str">
        <v>Rogal Dorn Battle Tank (Imperial Guard)</v>
      </c>
    </row>
    <row r="24" spans="1:60" x14ac:dyDescent="0.25">
      <c r="A24" s="38" t="b">
        <v>1</v>
      </c>
      <c r="B24" s="59">
        <v>1</v>
      </c>
      <c r="C24" s="30"/>
      <c r="D24"/>
      <c r="E24"/>
      <c r="F24"/>
      <c r="G24"/>
      <c r="H24"/>
      <c r="I24" s="1"/>
      <c r="J24" s="120"/>
      <c r="K24" s="122"/>
      <c r="L24" s="122"/>
      <c r="M24" s="122"/>
      <c r="N24" s="122"/>
      <c r="O24" s="118"/>
      <c r="P24" s="24" t="str" cm="1">
        <f t="array" ref="P24">IF(OR($C24="",NOT($A24)),"",N($B24)*(MAX(1,DICEAVG($D24)+$AZ24)+$AH24*($E$3="Yes")+($AI24+$AJ24)*INT($H$3/5)))</f>
        <v/>
      </c>
      <c r="Q24" s="24" t="str">
        <f t="shared" si="11"/>
        <v/>
      </c>
      <c r="R24" s="24" t="str">
        <f t="shared" si="0"/>
        <v/>
      </c>
      <c r="S24" s="24" t="str">
        <f t="shared" si="1"/>
        <v/>
      </c>
      <c r="T24" s="24" t="str">
        <f t="shared" si="2"/>
        <v/>
      </c>
      <c r="U24" s="24" t="str">
        <f t="shared" si="3"/>
        <v/>
      </c>
      <c r="V24" s="24" t="str" cm="1">
        <f t="array" ref="V24">IF(OR($C24="",NOT($A24)),"",MAX(1,DICEAVG($H24)+$AK24*($E$3="Yes")+$AV24+$AH$3))</f>
        <v/>
      </c>
      <c r="W24" s="24" t="str">
        <f t="shared" si="4"/>
        <v/>
      </c>
      <c r="X24" s="24" t="str">
        <f t="shared" si="5"/>
        <v/>
      </c>
      <c r="Y24" s="31" t="str">
        <f t="shared" si="6"/>
        <v/>
      </c>
      <c r="AA24" s="17" t="str" cm="1">
        <f t="array" ref="AA24">IF($C24="","",KW(($I24&amp;", "&amp;$AC$3),"Torrent")=TRUE)</f>
        <v/>
      </c>
      <c r="AB24" s="17" t="str" cm="1">
        <f t="array" ref="AB24">IF($C24="","",KW(($I24&amp;", "&amp;$AC$3),"Lethal Hits")=TRUE)</f>
        <v/>
      </c>
      <c r="AC24" s="17" t="str" cm="1">
        <f t="array" ref="AC24">IF($C24="","",N(KW(($I24&amp;", "&amp;$AC$3),"Sustained Hits")))</f>
        <v/>
      </c>
      <c r="AD24" s="17" t="str" cm="1">
        <f t="array" ref="AD24">IF($C24="","",KW(($I24&amp;", "&amp;$AC$3),"Devastating Wounds")=TRUE)</f>
        <v/>
      </c>
      <c r="AE24" s="17" t="str" cm="1">
        <f t="array" ref="AE24">IF($C24="","",KW(($I24&amp;", "&amp;$AC$3),"Twin-Linked")=TRUE)</f>
        <v/>
      </c>
      <c r="AF24" s="17" t="str" cm="1">
        <f t="array" ref="AF24">IF($C24="","",KW(($I24&amp;", "&amp;$AC$3),"Lance")=TRUE)</f>
        <v/>
      </c>
      <c r="AG24" s="17" t="str" cm="1">
        <f t="array" ref="AG24">IF($C24="","",KW(($I24&amp;", "&amp;$AC$3),"Heavy")=TRUE)</f>
        <v/>
      </c>
      <c r="AH24" s="17" t="str" cm="1">
        <f t="array" ref="AH24">IF($C24="","",N(KW(($I24&amp;", "&amp;$AC$3),"Rapid Fire")))</f>
        <v/>
      </c>
      <c r="AI24" s="17" t="str" cm="1">
        <f t="array" ref="AI24">IF($C24="","",N(KW(($I24&amp;", "&amp;$AC$3),"Blast")))</f>
        <v/>
      </c>
      <c r="AJ24" s="17" t="str" cm="1">
        <f t="array" ref="AJ24">IF($C24="","",N(KW(($I24&amp;", "&amp;$AC$3),"Cleave")))</f>
        <v/>
      </c>
      <c r="AK24" s="17" t="str" cm="1">
        <f t="array" ref="AK24">IF($C24="","",N(KW(($I24&amp;", "&amp;$AC$3),"Melta")))</f>
        <v/>
      </c>
      <c r="AL24" s="17" t="str" cm="1">
        <f t="array" ref="AL24">IF($C24="","",KW(($I24&amp;", "&amp;$AC$3),"Ignores Cover")=TRUE)</f>
        <v/>
      </c>
      <c r="AM24" s="17" t="str" cm="1">
        <f t="array" ref="AM24">IF($C24="","",KW(($I24&amp;", "&amp;$AC$3),"Psychic")=TRUE)</f>
        <v/>
      </c>
      <c r="AN24" s="18" t="str" cm="1">
        <f t="array" ref="AN24">IF($C24="","",_xlfn.LET(_xlpm.src,$I24&amp;", "&amp;$AC$3,_xlpm.a,KWANTI(_xlpm.src,($O$6&amp;", "&amp;$AD$3)),_xlpm.c,KWMIN(_xlpm.src,"Critical Wounds"),MIN(_xlpm.a,IF(ISNUMBER(_xlpm.c),MEDIAN(2,6,_xlpm.c),6))))</f>
        <v/>
      </c>
      <c r="AO24" s="18" t="str" cm="1">
        <f t="array" ref="AO24">IF($C24="","",IF($AA24,0,_xlfn.LET(_xlpm.src,$I24&amp;", "&amp;$AC$3,_xlpm.stat,$F$3="Yes",IF(KW(_xlpm.src,"Snap Shooting")=TRUE,IF(_xlpm.stat,4,6),_xlfn.LET(_xlpm.psy,$AM24,_xlpm.hv,$AG24*_xlpm.stat,_xlpm.dmg,-($I$3="Yes"),_xlpm.am,$AS24,_xlpm.tm,$AI$3,_xlpm.mods,IF(_xlpm.psy,MAX(0,_xlpm.hv)+MAX(0,_xlpm.am)+MAX(0,_xlpm.tm),_xlpm.hv+_xlpm.dmg+_xlpm.am+_xlpm.tm),_xlpm.cov,AND(OR($G$3="Yes",$AB$3),NOT($AL24),NOT(_xlpm.psy)),_xlpm.bs,MIN(6,MAX(2,$E24+IF(_xlpm.psy,MIN(0,$BB24),$BB24+_xlpm.cov))),MEDIAN(2,6,_xlpm.bs-MAX(-1,MIN(1,_xlpm.mods))))))))</f>
        <v/>
      </c>
      <c r="AP24" s="18" t="str">
        <f t="shared" si="8"/>
        <v/>
      </c>
      <c r="AQ24" s="18" t="str">
        <f t="shared" si="9"/>
        <v/>
      </c>
      <c r="AR24" s="19" t="str">
        <f t="shared" si="7"/>
        <v/>
      </c>
      <c r="AS24" s="19" t="str" cm="1">
        <f t="array" ref="AS24">IF($C24="","",KWSUM(($I24&amp;", "&amp;$AC$3),"Hit Modifier"))</f>
        <v/>
      </c>
      <c r="AT24" s="19" t="str" cm="1">
        <f t="array" ref="AT24">IF($C24="","",KWSUM(($I24&amp;", "&amp;$AC$3),"Wound Modifier"))</f>
        <v/>
      </c>
      <c r="AU24" s="19" t="str" cm="1">
        <f t="array" ref="AU24">IF($C24="","",KWSUM(($I24&amp;", "&amp;$AC$3),"AP Modifier"))</f>
        <v/>
      </c>
      <c r="AV24" s="19" t="str" cm="1">
        <f t="array" ref="AV24">IF($C24="","",KWSUM(($I24&amp;", "&amp;$AC$3),"Damage Modifier"))</f>
        <v/>
      </c>
      <c r="AW24" s="19" t="str" cm="1">
        <f t="array" ref="AW24">IF($C24="","",_xlfn.LET(_xlpm.src,$I24&amp;", "&amp;$AC$3,IF(KW(_xlpm.src,"Snap Shooting")=TRUE,0,_xlfn.LET(_xlpm.full,ISNUMBER(_xlfn.XMATCH("Reroll Hits",TRIM(_xlfn.TEXTSPLIT(_xlpm.src,",")))),_xlpm.r,KW(_xlpm.src,"Reroll Hits"),IF(_xlpm.full,2,IF(N(_xlpm.r)&gt;=1,1,0))))))</f>
        <v/>
      </c>
      <c r="AX24" s="19" t="str" cm="1">
        <f t="array" ref="AX24">IF($C24="","",_xlfn.LET(_xlpm.src,$I24&amp;", "&amp;$AC$3,_xlpm.full,OR($AE24,ISNUMBER(_xlfn.XMATCH("Reroll Wounds",TRIM(_xlfn.TEXTSPLIT(_xlpm.src,","))))),_xlpm.r,KW(_xlpm.src,"Reroll Wounds"),IF(_xlpm.full,2,IF(N(_xlpm.r)&gt;=1,1,0))))</f>
        <v/>
      </c>
      <c r="AY24" s="19" t="str">
        <f t="shared" si="10"/>
        <v/>
      </c>
      <c r="AZ24" s="19" t="str" cm="1">
        <f t="array" ref="AZ24">IF($C24="","",KWSUM($I24&amp;", "&amp;$AC$3,"Attacks Modifier"))</f>
        <v/>
      </c>
      <c r="BA24" s="19" t="str" cm="1">
        <f t="array" ref="BA24">IF($C24="","",KWSUM($I24&amp;", "&amp;$AC$3,"Strength Modifier"))</f>
        <v/>
      </c>
      <c r="BB24" s="19" t="str" cm="1">
        <f t="array" ref="BB24">IF($C24="","",KWSUM($I24&amp;", "&amp;$AC$3,"BS Modifier"))</f>
        <v/>
      </c>
      <c r="BC24" s="19" t="str" cm="1">
        <f t="array" ref="BC24">IF($C24="","",_xlfn.LET(_xlpm.src,$I24&amp;", "&amp;$AC$3,_xlpm.c,KWMIN(_xlpm.src,"Critical Hits"),IF(KW(_xlpm.src,"Snap Shooting")=TRUE,6,IF(ISNUMBER(_xlpm.c),MEDIAN(2,6,_xlpm.c),6))))</f>
        <v/>
      </c>
      <c r="BD24" s="19" t="str" cm="1">
        <f t="array" ref="BD24">IF($C24="","",KWSUM($I24&amp;", "&amp;$AC$3,"Save Modifier"))</f>
        <v/>
      </c>
    </row>
    <row r="25" spans="1:60" x14ac:dyDescent="0.25">
      <c r="A25" s="38" t="b">
        <v>1</v>
      </c>
      <c r="B25" s="59">
        <v>1</v>
      </c>
      <c r="C25" s="30"/>
      <c r="D25"/>
      <c r="E25"/>
      <c r="F25"/>
      <c r="G25"/>
      <c r="H25"/>
      <c r="I25" s="1"/>
      <c r="J25" s="120"/>
      <c r="K25" s="122"/>
      <c r="L25" s="122"/>
      <c r="M25" s="122"/>
      <c r="N25" s="122"/>
      <c r="O25" s="118"/>
      <c r="P25" s="24" t="str" cm="1">
        <f t="array" ref="P25">IF(OR($C25="",NOT($A25)),"",N($B25)*(MAX(1,DICEAVG($D25)+$AZ25)+$AH25*($E$3="Yes")+($AI25+$AJ25)*INT($H$3/5)))</f>
        <v/>
      </c>
      <c r="Q25" s="24" t="str">
        <f t="shared" si="11"/>
        <v/>
      </c>
      <c r="R25" s="24" t="str">
        <f t="shared" si="0"/>
        <v/>
      </c>
      <c r="S25" s="24" t="str">
        <f t="shared" si="1"/>
        <v/>
      </c>
      <c r="T25" s="24" t="str">
        <f t="shared" si="2"/>
        <v/>
      </c>
      <c r="U25" s="24" t="str">
        <f t="shared" si="3"/>
        <v/>
      </c>
      <c r="V25" s="24" t="str" cm="1">
        <f t="array" ref="V25">IF(OR($C25="",NOT($A25)),"",MAX(1,DICEAVG($H25)+$AK25*($E$3="Yes")+$AV25+$AH$3))</f>
        <v/>
      </c>
      <c r="W25" s="24" t="str">
        <f t="shared" si="4"/>
        <v/>
      </c>
      <c r="X25" s="24" t="str">
        <f t="shared" si="5"/>
        <v/>
      </c>
      <c r="Y25" s="31" t="str">
        <f t="shared" si="6"/>
        <v/>
      </c>
      <c r="AA25" s="17" t="str" cm="1">
        <f t="array" ref="AA25">IF($C25="","",KW(($I25&amp;", "&amp;$AC$3),"Torrent")=TRUE)</f>
        <v/>
      </c>
      <c r="AB25" s="17" t="str" cm="1">
        <f t="array" ref="AB25">IF($C25="","",KW(($I25&amp;", "&amp;$AC$3),"Lethal Hits")=TRUE)</f>
        <v/>
      </c>
      <c r="AC25" s="17" t="str" cm="1">
        <f t="array" ref="AC25">IF($C25="","",N(KW(($I25&amp;", "&amp;$AC$3),"Sustained Hits")))</f>
        <v/>
      </c>
      <c r="AD25" s="17" t="str" cm="1">
        <f t="array" ref="AD25">IF($C25="","",KW(($I25&amp;", "&amp;$AC$3),"Devastating Wounds")=TRUE)</f>
        <v/>
      </c>
      <c r="AE25" s="17" t="str" cm="1">
        <f t="array" ref="AE25">IF($C25="","",KW(($I25&amp;", "&amp;$AC$3),"Twin-Linked")=TRUE)</f>
        <v/>
      </c>
      <c r="AF25" s="17" t="str" cm="1">
        <f t="array" ref="AF25">IF($C25="","",KW(($I25&amp;", "&amp;$AC$3),"Lance")=TRUE)</f>
        <v/>
      </c>
      <c r="AG25" s="17" t="str" cm="1">
        <f t="array" ref="AG25">IF($C25="","",KW(($I25&amp;", "&amp;$AC$3),"Heavy")=TRUE)</f>
        <v/>
      </c>
      <c r="AH25" s="17" t="str" cm="1">
        <f t="array" ref="AH25">IF($C25="","",N(KW(($I25&amp;", "&amp;$AC$3),"Rapid Fire")))</f>
        <v/>
      </c>
      <c r="AI25" s="17" t="str" cm="1">
        <f t="array" ref="AI25">IF($C25="","",N(KW(($I25&amp;", "&amp;$AC$3),"Blast")))</f>
        <v/>
      </c>
      <c r="AJ25" s="17" t="str" cm="1">
        <f t="array" ref="AJ25">IF($C25="","",N(KW(($I25&amp;", "&amp;$AC$3),"Cleave")))</f>
        <v/>
      </c>
      <c r="AK25" s="17" t="str" cm="1">
        <f t="array" ref="AK25">IF($C25="","",N(KW(($I25&amp;", "&amp;$AC$3),"Melta")))</f>
        <v/>
      </c>
      <c r="AL25" s="17" t="str" cm="1">
        <f t="array" ref="AL25">IF($C25="","",KW(($I25&amp;", "&amp;$AC$3),"Ignores Cover")=TRUE)</f>
        <v/>
      </c>
      <c r="AM25" s="17" t="str" cm="1">
        <f t="array" ref="AM25">IF($C25="","",KW(($I25&amp;", "&amp;$AC$3),"Psychic")=TRUE)</f>
        <v/>
      </c>
      <c r="AN25" s="18" t="str" cm="1">
        <f t="array" ref="AN25">IF($C25="","",_xlfn.LET(_xlpm.src,$I25&amp;", "&amp;$AC$3,_xlpm.a,KWANTI(_xlpm.src,($O$6&amp;", "&amp;$AD$3)),_xlpm.c,KWMIN(_xlpm.src,"Critical Wounds"),MIN(_xlpm.a,IF(ISNUMBER(_xlpm.c),MEDIAN(2,6,_xlpm.c),6))))</f>
        <v/>
      </c>
      <c r="AO25" s="18" t="str" cm="1">
        <f t="array" ref="AO25">IF($C25="","",IF($AA25,0,_xlfn.LET(_xlpm.src,$I25&amp;", "&amp;$AC$3,_xlpm.stat,$F$3="Yes",IF(KW(_xlpm.src,"Snap Shooting")=TRUE,IF(_xlpm.stat,4,6),_xlfn.LET(_xlpm.psy,$AM25,_xlpm.hv,$AG25*_xlpm.stat,_xlpm.dmg,-($I$3="Yes"),_xlpm.am,$AS25,_xlpm.tm,$AI$3,_xlpm.mods,IF(_xlpm.psy,MAX(0,_xlpm.hv)+MAX(0,_xlpm.am)+MAX(0,_xlpm.tm),_xlpm.hv+_xlpm.dmg+_xlpm.am+_xlpm.tm),_xlpm.cov,AND(OR($G$3="Yes",$AB$3),NOT($AL25),NOT(_xlpm.psy)),_xlpm.bs,MIN(6,MAX(2,$E25+IF(_xlpm.psy,MIN(0,$BB25),$BB25+_xlpm.cov))),MEDIAN(2,6,_xlpm.bs-MAX(-1,MIN(1,_xlpm.mods))))))))</f>
        <v/>
      </c>
      <c r="AP25" s="18" t="str">
        <f t="shared" si="8"/>
        <v/>
      </c>
      <c r="AQ25" s="18" t="str">
        <f t="shared" si="9"/>
        <v/>
      </c>
      <c r="AR25" s="19" t="str">
        <f t="shared" si="7"/>
        <v/>
      </c>
      <c r="AS25" s="19" t="str" cm="1">
        <f t="array" ref="AS25">IF($C25="","",KWSUM(($I25&amp;", "&amp;$AC$3),"Hit Modifier"))</f>
        <v/>
      </c>
      <c r="AT25" s="19" t="str" cm="1">
        <f t="array" ref="AT25">IF($C25="","",KWSUM(($I25&amp;", "&amp;$AC$3),"Wound Modifier"))</f>
        <v/>
      </c>
      <c r="AU25" s="19" t="str" cm="1">
        <f t="array" ref="AU25">IF($C25="","",KWSUM(($I25&amp;", "&amp;$AC$3),"AP Modifier"))</f>
        <v/>
      </c>
      <c r="AV25" s="19" t="str" cm="1">
        <f t="array" ref="AV25">IF($C25="","",KWSUM(($I25&amp;", "&amp;$AC$3),"Damage Modifier"))</f>
        <v/>
      </c>
      <c r="AW25" s="19" t="str" cm="1">
        <f t="array" ref="AW25">IF($C25="","",_xlfn.LET(_xlpm.src,$I25&amp;", "&amp;$AC$3,IF(KW(_xlpm.src,"Snap Shooting")=TRUE,0,_xlfn.LET(_xlpm.full,ISNUMBER(_xlfn.XMATCH("Reroll Hits",TRIM(_xlfn.TEXTSPLIT(_xlpm.src,",")))),_xlpm.r,KW(_xlpm.src,"Reroll Hits"),IF(_xlpm.full,2,IF(N(_xlpm.r)&gt;=1,1,0))))))</f>
        <v/>
      </c>
      <c r="AX25" s="19" t="str" cm="1">
        <f t="array" ref="AX25">IF($C25="","",_xlfn.LET(_xlpm.src,$I25&amp;", "&amp;$AC$3,_xlpm.full,OR($AE25,ISNUMBER(_xlfn.XMATCH("Reroll Wounds",TRIM(_xlfn.TEXTSPLIT(_xlpm.src,","))))),_xlpm.r,KW(_xlpm.src,"Reroll Wounds"),IF(_xlpm.full,2,IF(N(_xlpm.r)&gt;=1,1,0))))</f>
        <v/>
      </c>
      <c r="AY25" s="19" t="str">
        <f t="shared" si="10"/>
        <v/>
      </c>
      <c r="AZ25" s="19" t="str" cm="1">
        <f t="array" ref="AZ25">IF($C25="","",KWSUM($I25&amp;", "&amp;$AC$3,"Attacks Modifier"))</f>
        <v/>
      </c>
      <c r="BA25" s="19" t="str" cm="1">
        <f t="array" ref="BA25">IF($C25="","",KWSUM($I25&amp;", "&amp;$AC$3,"Strength Modifier"))</f>
        <v/>
      </c>
      <c r="BB25" s="19" t="str" cm="1">
        <f t="array" ref="BB25">IF($C25="","",KWSUM($I25&amp;", "&amp;$AC$3,"BS Modifier"))</f>
        <v/>
      </c>
      <c r="BC25" s="19" t="str" cm="1">
        <f t="array" ref="BC25">IF($C25="","",_xlfn.LET(_xlpm.src,$I25&amp;", "&amp;$AC$3,_xlpm.c,KWMIN(_xlpm.src,"Critical Hits"),IF(KW(_xlpm.src,"Snap Shooting")=TRUE,6,IF(ISNUMBER(_xlpm.c),MEDIAN(2,6,_xlpm.c),6))))</f>
        <v/>
      </c>
      <c r="BD25" s="19" t="str" cm="1">
        <f t="array" ref="BD25">IF($C25="","",KWSUM($I25&amp;", "&amp;$AC$3,"Save Modifier"))</f>
        <v/>
      </c>
    </row>
    <row r="26" spans="1:60" x14ac:dyDescent="0.25">
      <c r="A26" s="38" t="b">
        <v>1</v>
      </c>
      <c r="B26" s="59">
        <v>1</v>
      </c>
      <c r="C26" s="30"/>
      <c r="D26"/>
      <c r="E26"/>
      <c r="F26"/>
      <c r="G26"/>
      <c r="H26"/>
      <c r="I26" s="1"/>
      <c r="J26" s="120"/>
      <c r="K26" s="122"/>
      <c r="L26" s="122"/>
      <c r="M26" s="122"/>
      <c r="N26" s="122"/>
      <c r="O26" s="118"/>
      <c r="P26" s="24" t="str" cm="1">
        <f t="array" ref="P26">IF(OR($C26="",NOT($A26)),"",N($B26)*(MAX(1,DICEAVG($D26)+$AZ26)+$AH26*($E$3="Yes")+($AI26+$AJ26)*INT($H$3/5)))</f>
        <v/>
      </c>
      <c r="Q26" s="24" t="str">
        <f t="shared" si="11"/>
        <v/>
      </c>
      <c r="R26" s="24" t="str">
        <f t="shared" si="0"/>
        <v/>
      </c>
      <c r="S26" s="24" t="str">
        <f t="shared" si="1"/>
        <v/>
      </c>
      <c r="T26" s="24" t="str">
        <f t="shared" si="2"/>
        <v/>
      </c>
      <c r="U26" s="24" t="str">
        <f t="shared" si="3"/>
        <v/>
      </c>
      <c r="V26" s="24" t="str" cm="1">
        <f t="array" ref="V26">IF(OR($C26="",NOT($A26)),"",MAX(1,DICEAVG($H26)+$AK26*($E$3="Yes")+$AV26+$AH$3))</f>
        <v/>
      </c>
      <c r="W26" s="24" t="str">
        <f t="shared" si="4"/>
        <v/>
      </c>
      <c r="X26" s="24" t="str">
        <f t="shared" si="5"/>
        <v/>
      </c>
      <c r="Y26" s="31" t="str">
        <f t="shared" si="6"/>
        <v/>
      </c>
      <c r="AA26" s="17" t="str" cm="1">
        <f t="array" ref="AA26">IF($C26="","",KW(($I26&amp;", "&amp;$AC$3),"Torrent")=TRUE)</f>
        <v/>
      </c>
      <c r="AB26" s="17" t="str" cm="1">
        <f t="array" ref="AB26">IF($C26="","",KW(($I26&amp;", "&amp;$AC$3),"Lethal Hits")=TRUE)</f>
        <v/>
      </c>
      <c r="AC26" s="17" t="str" cm="1">
        <f t="array" ref="AC26">IF($C26="","",N(KW(($I26&amp;", "&amp;$AC$3),"Sustained Hits")))</f>
        <v/>
      </c>
      <c r="AD26" s="17" t="str" cm="1">
        <f t="array" ref="AD26">IF($C26="","",KW(($I26&amp;", "&amp;$AC$3),"Devastating Wounds")=TRUE)</f>
        <v/>
      </c>
      <c r="AE26" s="17" t="str" cm="1">
        <f t="array" ref="AE26">IF($C26="","",KW(($I26&amp;", "&amp;$AC$3),"Twin-Linked")=TRUE)</f>
        <v/>
      </c>
      <c r="AF26" s="17" t="str" cm="1">
        <f t="array" ref="AF26">IF($C26="","",KW(($I26&amp;", "&amp;$AC$3),"Lance")=TRUE)</f>
        <v/>
      </c>
      <c r="AG26" s="17" t="str" cm="1">
        <f t="array" ref="AG26">IF($C26="","",KW(($I26&amp;", "&amp;$AC$3),"Heavy")=TRUE)</f>
        <v/>
      </c>
      <c r="AH26" s="17" t="str" cm="1">
        <f t="array" ref="AH26">IF($C26="","",N(KW(($I26&amp;", "&amp;$AC$3),"Rapid Fire")))</f>
        <v/>
      </c>
      <c r="AI26" s="17" t="str" cm="1">
        <f t="array" ref="AI26">IF($C26="","",N(KW(($I26&amp;", "&amp;$AC$3),"Blast")))</f>
        <v/>
      </c>
      <c r="AJ26" s="17" t="str" cm="1">
        <f t="array" ref="AJ26">IF($C26="","",N(KW(($I26&amp;", "&amp;$AC$3),"Cleave")))</f>
        <v/>
      </c>
      <c r="AK26" s="17" t="str" cm="1">
        <f t="array" ref="AK26">IF($C26="","",N(KW(($I26&amp;", "&amp;$AC$3),"Melta")))</f>
        <v/>
      </c>
      <c r="AL26" s="17" t="str" cm="1">
        <f t="array" ref="AL26">IF($C26="","",KW(($I26&amp;", "&amp;$AC$3),"Ignores Cover")=TRUE)</f>
        <v/>
      </c>
      <c r="AM26" s="17" t="str" cm="1">
        <f t="array" ref="AM26">IF($C26="","",KW(($I26&amp;", "&amp;$AC$3),"Psychic")=TRUE)</f>
        <v/>
      </c>
      <c r="AN26" s="18" t="str" cm="1">
        <f t="array" ref="AN26">IF($C26="","",_xlfn.LET(_xlpm.src,$I26&amp;", "&amp;$AC$3,_xlpm.a,KWANTI(_xlpm.src,($O$6&amp;", "&amp;$AD$3)),_xlpm.c,KWMIN(_xlpm.src,"Critical Wounds"),MIN(_xlpm.a,IF(ISNUMBER(_xlpm.c),MEDIAN(2,6,_xlpm.c),6))))</f>
        <v/>
      </c>
      <c r="AO26" s="18" t="str" cm="1">
        <f t="array" ref="AO26">IF($C26="","",IF($AA26,0,_xlfn.LET(_xlpm.src,$I26&amp;", "&amp;$AC$3,_xlpm.stat,$F$3="Yes",IF(KW(_xlpm.src,"Snap Shooting")=TRUE,IF(_xlpm.stat,4,6),_xlfn.LET(_xlpm.psy,$AM26,_xlpm.hv,$AG26*_xlpm.stat,_xlpm.dmg,-($I$3="Yes"),_xlpm.am,$AS26,_xlpm.tm,$AI$3,_xlpm.mods,IF(_xlpm.psy,MAX(0,_xlpm.hv)+MAX(0,_xlpm.am)+MAX(0,_xlpm.tm),_xlpm.hv+_xlpm.dmg+_xlpm.am+_xlpm.tm),_xlpm.cov,AND(OR($G$3="Yes",$AB$3),NOT($AL26),NOT(_xlpm.psy)),_xlpm.bs,MIN(6,MAX(2,$E26+IF(_xlpm.psy,MIN(0,$BB26),$BB26+_xlpm.cov))),MEDIAN(2,6,_xlpm.bs-MAX(-1,MIN(1,_xlpm.mods))))))))</f>
        <v/>
      </c>
      <c r="AP26" s="18" t="str">
        <f t="shared" si="8"/>
        <v/>
      </c>
      <c r="AQ26" s="18" t="str">
        <f t="shared" si="9"/>
        <v/>
      </c>
      <c r="AR26" s="19" t="str">
        <f t="shared" si="7"/>
        <v/>
      </c>
      <c r="AS26" s="19" t="str" cm="1">
        <f t="array" ref="AS26">IF($C26="","",KWSUM(($I26&amp;", "&amp;$AC$3),"Hit Modifier"))</f>
        <v/>
      </c>
      <c r="AT26" s="19" t="str" cm="1">
        <f t="array" ref="AT26">IF($C26="","",KWSUM(($I26&amp;", "&amp;$AC$3),"Wound Modifier"))</f>
        <v/>
      </c>
      <c r="AU26" s="19" t="str" cm="1">
        <f t="array" ref="AU26">IF($C26="","",KWSUM(($I26&amp;", "&amp;$AC$3),"AP Modifier"))</f>
        <v/>
      </c>
      <c r="AV26" s="19" t="str" cm="1">
        <f t="array" ref="AV26">IF($C26="","",KWSUM(($I26&amp;", "&amp;$AC$3),"Damage Modifier"))</f>
        <v/>
      </c>
      <c r="AW26" s="19" t="str" cm="1">
        <f t="array" ref="AW26">IF($C26="","",_xlfn.LET(_xlpm.src,$I26&amp;", "&amp;$AC$3,IF(KW(_xlpm.src,"Snap Shooting")=TRUE,0,_xlfn.LET(_xlpm.full,ISNUMBER(_xlfn.XMATCH("Reroll Hits",TRIM(_xlfn.TEXTSPLIT(_xlpm.src,",")))),_xlpm.r,KW(_xlpm.src,"Reroll Hits"),IF(_xlpm.full,2,IF(N(_xlpm.r)&gt;=1,1,0))))))</f>
        <v/>
      </c>
      <c r="AX26" s="19" t="str" cm="1">
        <f t="array" ref="AX26">IF($C26="","",_xlfn.LET(_xlpm.src,$I26&amp;", "&amp;$AC$3,_xlpm.full,OR($AE26,ISNUMBER(_xlfn.XMATCH("Reroll Wounds",TRIM(_xlfn.TEXTSPLIT(_xlpm.src,","))))),_xlpm.r,KW(_xlpm.src,"Reroll Wounds"),IF(_xlpm.full,2,IF(N(_xlpm.r)&gt;=1,1,0))))</f>
        <v/>
      </c>
      <c r="AY26" s="19" t="str">
        <f t="shared" si="10"/>
        <v/>
      </c>
      <c r="AZ26" s="19" t="str" cm="1">
        <f t="array" ref="AZ26">IF($C26="","",KWSUM($I26&amp;", "&amp;$AC$3,"Attacks Modifier"))</f>
        <v/>
      </c>
      <c r="BA26" s="19" t="str" cm="1">
        <f t="array" ref="BA26">IF($C26="","",KWSUM($I26&amp;", "&amp;$AC$3,"Strength Modifier"))</f>
        <v/>
      </c>
      <c r="BB26" s="19" t="str" cm="1">
        <f t="array" ref="BB26">IF($C26="","",KWSUM($I26&amp;", "&amp;$AC$3,"BS Modifier"))</f>
        <v/>
      </c>
      <c r="BC26" s="19" t="str" cm="1">
        <f t="array" ref="BC26">IF($C26="","",_xlfn.LET(_xlpm.src,$I26&amp;", "&amp;$AC$3,_xlpm.c,KWMIN(_xlpm.src,"Critical Hits"),IF(KW(_xlpm.src,"Snap Shooting")=TRUE,6,IF(ISNUMBER(_xlpm.c),MEDIAN(2,6,_xlpm.c),6))))</f>
        <v/>
      </c>
      <c r="BD26" s="19" t="str" cm="1">
        <f t="array" ref="BD26">IF($C26="","",KWSUM($I26&amp;", "&amp;$AC$3,"Save Modifier"))</f>
        <v/>
      </c>
    </row>
    <row r="27" spans="1:60" x14ac:dyDescent="0.25">
      <c r="A27" s="38" t="b">
        <v>1</v>
      </c>
      <c r="B27" s="59">
        <v>1</v>
      </c>
      <c r="C27" s="30"/>
      <c r="D27"/>
      <c r="E27"/>
      <c r="F27"/>
      <c r="G27"/>
      <c r="H27"/>
      <c r="I27" s="1"/>
      <c r="J27" s="120"/>
      <c r="K27" s="122"/>
      <c r="L27" s="122"/>
      <c r="M27" s="122"/>
      <c r="N27" s="122"/>
      <c r="O27" s="118"/>
      <c r="P27" s="24" t="str" cm="1">
        <f t="array" ref="P27">IF(OR($C27="",NOT($A27)),"",N($B27)*(MAX(1,DICEAVG($D27)+$AZ27)+$AH27*($E$3="Yes")+($AI27+$AJ27)*INT($H$3/5)))</f>
        <v/>
      </c>
      <c r="Q27" s="24" t="str">
        <f t="shared" si="11"/>
        <v/>
      </c>
      <c r="R27" s="24" t="str">
        <f t="shared" si="0"/>
        <v/>
      </c>
      <c r="S27" s="24" t="str">
        <f t="shared" si="1"/>
        <v/>
      </c>
      <c r="T27" s="24" t="str">
        <f t="shared" si="2"/>
        <v/>
      </c>
      <c r="U27" s="24" t="str">
        <f t="shared" si="3"/>
        <v/>
      </c>
      <c r="V27" s="24" t="str" cm="1">
        <f t="array" ref="V27">IF(OR($C27="",NOT($A27)),"",MAX(1,DICEAVG($H27)+$AK27*($E$3="Yes")+$AV27+$AH$3))</f>
        <v/>
      </c>
      <c r="W27" s="24" t="str">
        <f t="shared" si="4"/>
        <v/>
      </c>
      <c r="X27" s="24" t="str">
        <f t="shared" si="5"/>
        <v/>
      </c>
      <c r="Y27" s="31" t="str">
        <f t="shared" si="6"/>
        <v/>
      </c>
      <c r="AA27" s="17" t="str" cm="1">
        <f t="array" ref="AA27">IF($C27="","",KW(($I27&amp;", "&amp;$AC$3),"Torrent")=TRUE)</f>
        <v/>
      </c>
      <c r="AB27" s="17" t="str" cm="1">
        <f t="array" ref="AB27">IF($C27="","",KW(($I27&amp;", "&amp;$AC$3),"Lethal Hits")=TRUE)</f>
        <v/>
      </c>
      <c r="AC27" s="17" t="str" cm="1">
        <f t="array" ref="AC27">IF($C27="","",N(KW(($I27&amp;", "&amp;$AC$3),"Sustained Hits")))</f>
        <v/>
      </c>
      <c r="AD27" s="17" t="str" cm="1">
        <f t="array" ref="AD27">IF($C27="","",KW(($I27&amp;", "&amp;$AC$3),"Devastating Wounds")=TRUE)</f>
        <v/>
      </c>
      <c r="AE27" s="17" t="str" cm="1">
        <f t="array" ref="AE27">IF($C27="","",KW(($I27&amp;", "&amp;$AC$3),"Twin-Linked")=TRUE)</f>
        <v/>
      </c>
      <c r="AF27" s="17" t="str" cm="1">
        <f t="array" ref="AF27">IF($C27="","",KW(($I27&amp;", "&amp;$AC$3),"Lance")=TRUE)</f>
        <v/>
      </c>
      <c r="AG27" s="17" t="str" cm="1">
        <f t="array" ref="AG27">IF($C27="","",KW(($I27&amp;", "&amp;$AC$3),"Heavy")=TRUE)</f>
        <v/>
      </c>
      <c r="AH27" s="17" t="str" cm="1">
        <f t="array" ref="AH27">IF($C27="","",N(KW(($I27&amp;", "&amp;$AC$3),"Rapid Fire")))</f>
        <v/>
      </c>
      <c r="AI27" s="17" t="str" cm="1">
        <f t="array" ref="AI27">IF($C27="","",N(KW(($I27&amp;", "&amp;$AC$3),"Blast")))</f>
        <v/>
      </c>
      <c r="AJ27" s="17" t="str" cm="1">
        <f t="array" ref="AJ27">IF($C27="","",N(KW(($I27&amp;", "&amp;$AC$3),"Cleave")))</f>
        <v/>
      </c>
      <c r="AK27" s="17" t="str" cm="1">
        <f t="array" ref="AK27">IF($C27="","",N(KW(($I27&amp;", "&amp;$AC$3),"Melta")))</f>
        <v/>
      </c>
      <c r="AL27" s="17" t="str" cm="1">
        <f t="array" ref="AL27">IF($C27="","",KW(($I27&amp;", "&amp;$AC$3),"Ignores Cover")=TRUE)</f>
        <v/>
      </c>
      <c r="AM27" s="17" t="str" cm="1">
        <f t="array" ref="AM27">IF($C27="","",KW(($I27&amp;", "&amp;$AC$3),"Psychic")=TRUE)</f>
        <v/>
      </c>
      <c r="AN27" s="18" t="str" cm="1">
        <f t="array" ref="AN27">IF($C27="","",_xlfn.LET(_xlpm.src,$I27&amp;", "&amp;$AC$3,_xlpm.a,KWANTI(_xlpm.src,($O$6&amp;", "&amp;$AD$3)),_xlpm.c,KWMIN(_xlpm.src,"Critical Wounds"),MIN(_xlpm.a,IF(ISNUMBER(_xlpm.c),MEDIAN(2,6,_xlpm.c),6))))</f>
        <v/>
      </c>
      <c r="AO27" s="18" t="str" cm="1">
        <f t="array" ref="AO27">IF($C27="","",IF($AA27,0,_xlfn.LET(_xlpm.src,$I27&amp;", "&amp;$AC$3,_xlpm.stat,$F$3="Yes",IF(KW(_xlpm.src,"Snap Shooting")=TRUE,IF(_xlpm.stat,4,6),_xlfn.LET(_xlpm.psy,$AM27,_xlpm.hv,$AG27*_xlpm.stat,_xlpm.dmg,-($I$3="Yes"),_xlpm.am,$AS27,_xlpm.tm,$AI$3,_xlpm.mods,IF(_xlpm.psy,MAX(0,_xlpm.hv)+MAX(0,_xlpm.am)+MAX(0,_xlpm.tm),_xlpm.hv+_xlpm.dmg+_xlpm.am+_xlpm.tm),_xlpm.cov,AND(OR($G$3="Yes",$AB$3),NOT($AL27),NOT(_xlpm.psy)),_xlpm.bs,MIN(6,MAX(2,$E27+IF(_xlpm.psy,MIN(0,$BB27),$BB27+_xlpm.cov))),MEDIAN(2,6,_xlpm.bs-MAX(-1,MIN(1,_xlpm.mods))))))))</f>
        <v/>
      </c>
      <c r="AP27" s="18" t="str">
        <f t="shared" si="8"/>
        <v/>
      </c>
      <c r="AQ27" s="18" t="str">
        <f t="shared" si="9"/>
        <v/>
      </c>
      <c r="AR27" s="19" t="str">
        <f t="shared" si="7"/>
        <v/>
      </c>
      <c r="AS27" s="19" t="str" cm="1">
        <f t="array" ref="AS27">IF($C27="","",KWSUM(($I27&amp;", "&amp;$AC$3),"Hit Modifier"))</f>
        <v/>
      </c>
      <c r="AT27" s="19" t="str" cm="1">
        <f t="array" ref="AT27">IF($C27="","",KWSUM(($I27&amp;", "&amp;$AC$3),"Wound Modifier"))</f>
        <v/>
      </c>
      <c r="AU27" s="19" t="str" cm="1">
        <f t="array" ref="AU27">IF($C27="","",KWSUM(($I27&amp;", "&amp;$AC$3),"AP Modifier"))</f>
        <v/>
      </c>
      <c r="AV27" s="19" t="str" cm="1">
        <f t="array" ref="AV27">IF($C27="","",KWSUM(($I27&amp;", "&amp;$AC$3),"Damage Modifier"))</f>
        <v/>
      </c>
      <c r="AW27" s="19" t="str" cm="1">
        <f t="array" ref="AW27">IF($C27="","",_xlfn.LET(_xlpm.src,$I27&amp;", "&amp;$AC$3,IF(KW(_xlpm.src,"Snap Shooting")=TRUE,0,_xlfn.LET(_xlpm.full,ISNUMBER(_xlfn.XMATCH("Reroll Hits",TRIM(_xlfn.TEXTSPLIT(_xlpm.src,",")))),_xlpm.r,KW(_xlpm.src,"Reroll Hits"),IF(_xlpm.full,2,IF(N(_xlpm.r)&gt;=1,1,0))))))</f>
        <v/>
      </c>
      <c r="AX27" s="19" t="str" cm="1">
        <f t="array" ref="AX27">IF($C27="","",_xlfn.LET(_xlpm.src,$I27&amp;", "&amp;$AC$3,_xlpm.full,OR($AE27,ISNUMBER(_xlfn.XMATCH("Reroll Wounds",TRIM(_xlfn.TEXTSPLIT(_xlpm.src,","))))),_xlpm.r,KW(_xlpm.src,"Reroll Wounds"),IF(_xlpm.full,2,IF(N(_xlpm.r)&gt;=1,1,0))))</f>
        <v/>
      </c>
      <c r="AY27" s="19" t="str">
        <f t="shared" si="10"/>
        <v/>
      </c>
      <c r="AZ27" s="19" t="str" cm="1">
        <f t="array" ref="AZ27">IF($C27="","",KWSUM($I27&amp;", "&amp;$AC$3,"Attacks Modifier"))</f>
        <v/>
      </c>
      <c r="BA27" s="19" t="str" cm="1">
        <f t="array" ref="BA27">IF($C27="","",KWSUM($I27&amp;", "&amp;$AC$3,"Strength Modifier"))</f>
        <v/>
      </c>
      <c r="BB27" s="19" t="str" cm="1">
        <f t="array" ref="BB27">IF($C27="","",KWSUM($I27&amp;", "&amp;$AC$3,"BS Modifier"))</f>
        <v/>
      </c>
      <c r="BC27" s="19" t="str" cm="1">
        <f t="array" ref="BC27">IF($C27="","",_xlfn.LET(_xlpm.src,$I27&amp;", "&amp;$AC$3,_xlpm.c,KWMIN(_xlpm.src,"Critical Hits"),IF(KW(_xlpm.src,"Snap Shooting")=TRUE,6,IF(ISNUMBER(_xlpm.c),MEDIAN(2,6,_xlpm.c),6))))</f>
        <v/>
      </c>
      <c r="BD27" s="19" t="str" cm="1">
        <f t="array" ref="BD27">IF($C27="","",KWSUM($I27&amp;", "&amp;$AC$3,"Save Modifier"))</f>
        <v/>
      </c>
    </row>
    <row r="28" spans="1:60" x14ac:dyDescent="0.25">
      <c r="A28" s="38" t="b">
        <v>1</v>
      </c>
      <c r="B28" s="59">
        <v>1</v>
      </c>
      <c r="C28" s="30"/>
      <c r="D28"/>
      <c r="E28"/>
      <c r="F28"/>
      <c r="G28"/>
      <c r="H28"/>
      <c r="I28" s="1"/>
      <c r="J28" s="120"/>
      <c r="K28" s="122"/>
      <c r="L28" s="122"/>
      <c r="M28" s="122"/>
      <c r="N28" s="122"/>
      <c r="O28" s="118"/>
      <c r="P28" s="24" t="str" cm="1">
        <f t="array" ref="P28">IF(OR($C28="",NOT($A28)),"",N($B28)*(MAX(1,DICEAVG($D28)+$AZ28)+$AH28*($E$3="Yes")+($AI28+$AJ28)*INT($H$3/5)))</f>
        <v/>
      </c>
      <c r="Q28" s="24" t="str">
        <f t="shared" si="11"/>
        <v/>
      </c>
      <c r="R28" s="24" t="str">
        <f t="shared" si="0"/>
        <v/>
      </c>
      <c r="S28" s="24" t="str">
        <f t="shared" si="1"/>
        <v/>
      </c>
      <c r="T28" s="24" t="str">
        <f t="shared" si="2"/>
        <v/>
      </c>
      <c r="U28" s="24" t="str">
        <f t="shared" si="3"/>
        <v/>
      </c>
      <c r="V28" s="24" t="str" cm="1">
        <f t="array" ref="V28">IF(OR($C28="",NOT($A28)),"",MAX(1,DICEAVG($H28)+$AK28*($E$3="Yes")+$AV28+$AH$3))</f>
        <v/>
      </c>
      <c r="W28" s="24" t="str">
        <f t="shared" si="4"/>
        <v/>
      </c>
      <c r="X28" s="24" t="str">
        <f t="shared" si="5"/>
        <v/>
      </c>
      <c r="Y28" s="31" t="str">
        <f t="shared" si="6"/>
        <v/>
      </c>
      <c r="AA28" s="17" t="str" cm="1">
        <f t="array" ref="AA28">IF($C28="","",KW(($I28&amp;", "&amp;$AC$3),"Torrent")=TRUE)</f>
        <v/>
      </c>
      <c r="AB28" s="17" t="str" cm="1">
        <f t="array" ref="AB28">IF($C28="","",KW(($I28&amp;", "&amp;$AC$3),"Lethal Hits")=TRUE)</f>
        <v/>
      </c>
      <c r="AC28" s="17" t="str" cm="1">
        <f t="array" ref="AC28">IF($C28="","",N(KW(($I28&amp;", "&amp;$AC$3),"Sustained Hits")))</f>
        <v/>
      </c>
      <c r="AD28" s="17" t="str" cm="1">
        <f t="array" ref="AD28">IF($C28="","",KW(($I28&amp;", "&amp;$AC$3),"Devastating Wounds")=TRUE)</f>
        <v/>
      </c>
      <c r="AE28" s="17" t="str" cm="1">
        <f t="array" ref="AE28">IF($C28="","",KW(($I28&amp;", "&amp;$AC$3),"Twin-Linked")=TRUE)</f>
        <v/>
      </c>
      <c r="AF28" s="17" t="str" cm="1">
        <f t="array" ref="AF28">IF($C28="","",KW(($I28&amp;", "&amp;$AC$3),"Lance")=TRUE)</f>
        <v/>
      </c>
      <c r="AG28" s="17" t="str" cm="1">
        <f t="array" ref="AG28">IF($C28="","",KW(($I28&amp;", "&amp;$AC$3),"Heavy")=TRUE)</f>
        <v/>
      </c>
      <c r="AH28" s="17" t="str" cm="1">
        <f t="array" ref="AH28">IF($C28="","",N(KW(($I28&amp;", "&amp;$AC$3),"Rapid Fire")))</f>
        <v/>
      </c>
      <c r="AI28" s="17" t="str" cm="1">
        <f t="array" ref="AI28">IF($C28="","",N(KW(($I28&amp;", "&amp;$AC$3),"Blast")))</f>
        <v/>
      </c>
      <c r="AJ28" s="17" t="str" cm="1">
        <f t="array" ref="AJ28">IF($C28="","",N(KW(($I28&amp;", "&amp;$AC$3),"Cleave")))</f>
        <v/>
      </c>
      <c r="AK28" s="17" t="str" cm="1">
        <f t="array" ref="AK28">IF($C28="","",N(KW(($I28&amp;", "&amp;$AC$3),"Melta")))</f>
        <v/>
      </c>
      <c r="AL28" s="17" t="str" cm="1">
        <f t="array" ref="AL28">IF($C28="","",KW(($I28&amp;", "&amp;$AC$3),"Ignores Cover")=TRUE)</f>
        <v/>
      </c>
      <c r="AM28" s="17" t="str" cm="1">
        <f t="array" ref="AM28">IF($C28="","",KW(($I28&amp;", "&amp;$AC$3),"Psychic")=TRUE)</f>
        <v/>
      </c>
      <c r="AN28" s="18" t="str" cm="1">
        <f t="array" ref="AN28">IF($C28="","",_xlfn.LET(_xlpm.src,$I28&amp;", "&amp;$AC$3,_xlpm.a,KWANTI(_xlpm.src,($O$6&amp;", "&amp;$AD$3)),_xlpm.c,KWMIN(_xlpm.src,"Critical Wounds"),MIN(_xlpm.a,IF(ISNUMBER(_xlpm.c),MEDIAN(2,6,_xlpm.c),6))))</f>
        <v/>
      </c>
      <c r="AO28" s="18" t="str" cm="1">
        <f t="array" ref="AO28">IF($C28="","",IF($AA28,0,_xlfn.LET(_xlpm.src,$I28&amp;", "&amp;$AC$3,_xlpm.stat,$F$3="Yes",IF(KW(_xlpm.src,"Snap Shooting")=TRUE,IF(_xlpm.stat,4,6),_xlfn.LET(_xlpm.psy,$AM28,_xlpm.hv,$AG28*_xlpm.stat,_xlpm.dmg,-($I$3="Yes"),_xlpm.am,$AS28,_xlpm.tm,$AI$3,_xlpm.mods,IF(_xlpm.psy,MAX(0,_xlpm.hv)+MAX(0,_xlpm.am)+MAX(0,_xlpm.tm),_xlpm.hv+_xlpm.dmg+_xlpm.am+_xlpm.tm),_xlpm.cov,AND(OR($G$3="Yes",$AB$3),NOT($AL28),NOT(_xlpm.psy)),_xlpm.bs,MIN(6,MAX(2,$E28+IF(_xlpm.psy,MIN(0,$BB28),$BB28+_xlpm.cov))),MEDIAN(2,6,_xlpm.bs-MAX(-1,MIN(1,_xlpm.mods))))))))</f>
        <v/>
      </c>
      <c r="AP28" s="18" t="str">
        <f t="shared" si="8"/>
        <v/>
      </c>
      <c r="AQ28" s="18" t="str">
        <f t="shared" si="9"/>
        <v/>
      </c>
      <c r="AR28" s="19" t="str">
        <f t="shared" si="7"/>
        <v/>
      </c>
      <c r="AS28" s="19" t="str" cm="1">
        <f t="array" ref="AS28">IF($C28="","",KWSUM(($I28&amp;", "&amp;$AC$3),"Hit Modifier"))</f>
        <v/>
      </c>
      <c r="AT28" s="19" t="str" cm="1">
        <f t="array" ref="AT28">IF($C28="","",KWSUM(($I28&amp;", "&amp;$AC$3),"Wound Modifier"))</f>
        <v/>
      </c>
      <c r="AU28" s="19" t="str" cm="1">
        <f t="array" ref="AU28">IF($C28="","",KWSUM(($I28&amp;", "&amp;$AC$3),"AP Modifier"))</f>
        <v/>
      </c>
      <c r="AV28" s="19" t="str" cm="1">
        <f t="array" ref="AV28">IF($C28="","",KWSUM(($I28&amp;", "&amp;$AC$3),"Damage Modifier"))</f>
        <v/>
      </c>
      <c r="AW28" s="19" t="str" cm="1">
        <f t="array" ref="AW28">IF($C28="","",_xlfn.LET(_xlpm.src,$I28&amp;", "&amp;$AC$3,IF(KW(_xlpm.src,"Snap Shooting")=TRUE,0,_xlfn.LET(_xlpm.full,ISNUMBER(_xlfn.XMATCH("Reroll Hits",TRIM(_xlfn.TEXTSPLIT(_xlpm.src,",")))),_xlpm.r,KW(_xlpm.src,"Reroll Hits"),IF(_xlpm.full,2,IF(N(_xlpm.r)&gt;=1,1,0))))))</f>
        <v/>
      </c>
      <c r="AX28" s="19" t="str" cm="1">
        <f t="array" ref="AX28">IF($C28="","",_xlfn.LET(_xlpm.src,$I28&amp;", "&amp;$AC$3,_xlpm.full,OR($AE28,ISNUMBER(_xlfn.XMATCH("Reroll Wounds",TRIM(_xlfn.TEXTSPLIT(_xlpm.src,","))))),_xlpm.r,KW(_xlpm.src,"Reroll Wounds"),IF(_xlpm.full,2,IF(N(_xlpm.r)&gt;=1,1,0))))</f>
        <v/>
      </c>
      <c r="AY28" s="19" t="str">
        <f t="shared" si="10"/>
        <v/>
      </c>
      <c r="AZ28" s="19" t="str" cm="1">
        <f t="array" ref="AZ28">IF($C28="","",KWSUM($I28&amp;", "&amp;$AC$3,"Attacks Modifier"))</f>
        <v/>
      </c>
      <c r="BA28" s="19" t="str" cm="1">
        <f t="array" ref="BA28">IF($C28="","",KWSUM($I28&amp;", "&amp;$AC$3,"Strength Modifier"))</f>
        <v/>
      </c>
      <c r="BB28" s="19" t="str" cm="1">
        <f t="array" ref="BB28">IF($C28="","",KWSUM($I28&amp;", "&amp;$AC$3,"BS Modifier"))</f>
        <v/>
      </c>
      <c r="BC28" s="19" t="str" cm="1">
        <f t="array" ref="BC28">IF($C28="","",_xlfn.LET(_xlpm.src,$I28&amp;", "&amp;$AC$3,_xlpm.c,KWMIN(_xlpm.src,"Critical Hits"),IF(KW(_xlpm.src,"Snap Shooting")=TRUE,6,IF(ISNUMBER(_xlpm.c),MEDIAN(2,6,_xlpm.c),6))))</f>
        <v/>
      </c>
      <c r="BD28" s="19" t="str" cm="1">
        <f t="array" ref="BD28">IF($C28="","",KWSUM($I28&amp;", "&amp;$AC$3,"Save Modifier"))</f>
        <v/>
      </c>
    </row>
    <row r="29" spans="1:60" x14ac:dyDescent="0.25">
      <c r="A29" s="38" t="b">
        <v>1</v>
      </c>
      <c r="B29" s="59">
        <v>1</v>
      </c>
      <c r="C29" s="30"/>
      <c r="D29"/>
      <c r="E29"/>
      <c r="F29"/>
      <c r="G29"/>
      <c r="H29"/>
      <c r="I29" s="1"/>
      <c r="J29" s="120"/>
      <c r="K29" s="122"/>
      <c r="L29" s="122"/>
      <c r="M29" s="122"/>
      <c r="N29" s="122"/>
      <c r="O29" s="118"/>
      <c r="P29" s="24" t="str" cm="1">
        <f t="array" ref="P29">IF(OR($C29="",NOT($A29)),"",N($B29)*(MAX(1,DICEAVG($D29)+$AZ29)+$AH29*($E$3="Yes")+($AI29+$AJ29)*INT($H$3/5)))</f>
        <v/>
      </c>
      <c r="Q29" s="24" t="str">
        <f t="shared" si="11"/>
        <v/>
      </c>
      <c r="R29" s="24" t="str">
        <f t="shared" si="0"/>
        <v/>
      </c>
      <c r="S29" s="24" t="str">
        <f t="shared" si="1"/>
        <v/>
      </c>
      <c r="T29" s="24" t="str">
        <f t="shared" si="2"/>
        <v/>
      </c>
      <c r="U29" s="24" t="str">
        <f t="shared" si="3"/>
        <v/>
      </c>
      <c r="V29" s="24" t="str" cm="1">
        <f t="array" ref="V29">IF(OR($C29="",NOT($A29)),"",MAX(1,DICEAVG($H29)+$AK29*($E$3="Yes")+$AV29+$AH$3))</f>
        <v/>
      </c>
      <c r="W29" s="24" t="str">
        <f t="shared" si="4"/>
        <v/>
      </c>
      <c r="X29" s="24" t="str">
        <f t="shared" si="5"/>
        <v/>
      </c>
      <c r="Y29" s="31" t="str">
        <f t="shared" si="6"/>
        <v/>
      </c>
      <c r="AA29" s="17" t="str" cm="1">
        <f t="array" ref="AA29">IF($C29="","",KW(($I29&amp;", "&amp;$AC$3),"Torrent")=TRUE)</f>
        <v/>
      </c>
      <c r="AB29" s="17" t="str" cm="1">
        <f t="array" ref="AB29">IF($C29="","",KW(($I29&amp;", "&amp;$AC$3),"Lethal Hits")=TRUE)</f>
        <v/>
      </c>
      <c r="AC29" s="17" t="str" cm="1">
        <f t="array" ref="AC29">IF($C29="","",N(KW(($I29&amp;", "&amp;$AC$3),"Sustained Hits")))</f>
        <v/>
      </c>
      <c r="AD29" s="17" t="str" cm="1">
        <f t="array" ref="AD29">IF($C29="","",KW(($I29&amp;", "&amp;$AC$3),"Devastating Wounds")=TRUE)</f>
        <v/>
      </c>
      <c r="AE29" s="17" t="str" cm="1">
        <f t="array" ref="AE29">IF($C29="","",KW(($I29&amp;", "&amp;$AC$3),"Twin-Linked")=TRUE)</f>
        <v/>
      </c>
      <c r="AF29" s="17" t="str" cm="1">
        <f t="array" ref="AF29">IF($C29="","",KW(($I29&amp;", "&amp;$AC$3),"Lance")=TRUE)</f>
        <v/>
      </c>
      <c r="AG29" s="17" t="str" cm="1">
        <f t="array" ref="AG29">IF($C29="","",KW(($I29&amp;", "&amp;$AC$3),"Heavy")=TRUE)</f>
        <v/>
      </c>
      <c r="AH29" s="17" t="str" cm="1">
        <f t="array" ref="AH29">IF($C29="","",N(KW(($I29&amp;", "&amp;$AC$3),"Rapid Fire")))</f>
        <v/>
      </c>
      <c r="AI29" s="17" t="str" cm="1">
        <f t="array" ref="AI29">IF($C29="","",N(KW(($I29&amp;", "&amp;$AC$3),"Blast")))</f>
        <v/>
      </c>
      <c r="AJ29" s="17" t="str" cm="1">
        <f t="array" ref="AJ29">IF($C29="","",N(KW(($I29&amp;", "&amp;$AC$3),"Cleave")))</f>
        <v/>
      </c>
      <c r="AK29" s="17" t="str" cm="1">
        <f t="array" ref="AK29">IF($C29="","",N(KW(($I29&amp;", "&amp;$AC$3),"Melta")))</f>
        <v/>
      </c>
      <c r="AL29" s="17" t="str" cm="1">
        <f t="array" ref="AL29">IF($C29="","",KW(($I29&amp;", "&amp;$AC$3),"Ignores Cover")=TRUE)</f>
        <v/>
      </c>
      <c r="AM29" s="17" t="str" cm="1">
        <f t="array" ref="AM29">IF($C29="","",KW(($I29&amp;", "&amp;$AC$3),"Psychic")=TRUE)</f>
        <v/>
      </c>
      <c r="AN29" s="18" t="str" cm="1">
        <f t="array" ref="AN29">IF($C29="","",_xlfn.LET(_xlpm.src,$I29&amp;", "&amp;$AC$3,_xlpm.a,KWANTI(_xlpm.src,($O$6&amp;", "&amp;$AD$3)),_xlpm.c,KWMIN(_xlpm.src,"Critical Wounds"),MIN(_xlpm.a,IF(ISNUMBER(_xlpm.c),MEDIAN(2,6,_xlpm.c),6))))</f>
        <v/>
      </c>
      <c r="AO29" s="18" t="str" cm="1">
        <f t="array" ref="AO29">IF($C29="","",IF($AA29,0,_xlfn.LET(_xlpm.src,$I29&amp;", "&amp;$AC$3,_xlpm.stat,$F$3="Yes",IF(KW(_xlpm.src,"Snap Shooting")=TRUE,IF(_xlpm.stat,4,6),_xlfn.LET(_xlpm.psy,$AM29,_xlpm.hv,$AG29*_xlpm.stat,_xlpm.dmg,-($I$3="Yes"),_xlpm.am,$AS29,_xlpm.tm,$AI$3,_xlpm.mods,IF(_xlpm.psy,MAX(0,_xlpm.hv)+MAX(0,_xlpm.am)+MAX(0,_xlpm.tm),_xlpm.hv+_xlpm.dmg+_xlpm.am+_xlpm.tm),_xlpm.cov,AND(OR($G$3="Yes",$AB$3),NOT($AL29),NOT(_xlpm.psy)),_xlpm.bs,MIN(6,MAX(2,$E29+IF(_xlpm.psy,MIN(0,$BB29),$BB29+_xlpm.cov))),MEDIAN(2,6,_xlpm.bs-MAX(-1,MIN(1,_xlpm.mods))))))))</f>
        <v/>
      </c>
      <c r="AP29" s="18" t="str">
        <f t="shared" si="8"/>
        <v/>
      </c>
      <c r="AQ29" s="18" t="str">
        <f t="shared" si="9"/>
        <v/>
      </c>
      <c r="AR29" s="19" t="str">
        <f t="shared" si="7"/>
        <v/>
      </c>
      <c r="AS29" s="19" t="str" cm="1">
        <f t="array" ref="AS29">IF($C29="","",KWSUM(($I29&amp;", "&amp;$AC$3),"Hit Modifier"))</f>
        <v/>
      </c>
      <c r="AT29" s="19" t="str" cm="1">
        <f t="array" ref="AT29">IF($C29="","",KWSUM(($I29&amp;", "&amp;$AC$3),"Wound Modifier"))</f>
        <v/>
      </c>
      <c r="AU29" s="19" t="str" cm="1">
        <f t="array" ref="AU29">IF($C29="","",KWSUM(($I29&amp;", "&amp;$AC$3),"AP Modifier"))</f>
        <v/>
      </c>
      <c r="AV29" s="19" t="str" cm="1">
        <f t="array" ref="AV29">IF($C29="","",KWSUM(($I29&amp;", "&amp;$AC$3),"Damage Modifier"))</f>
        <v/>
      </c>
      <c r="AW29" s="19" t="str" cm="1">
        <f t="array" ref="AW29">IF($C29="","",_xlfn.LET(_xlpm.src,$I29&amp;", "&amp;$AC$3,IF(KW(_xlpm.src,"Snap Shooting")=TRUE,0,_xlfn.LET(_xlpm.full,ISNUMBER(_xlfn.XMATCH("Reroll Hits",TRIM(_xlfn.TEXTSPLIT(_xlpm.src,",")))),_xlpm.r,KW(_xlpm.src,"Reroll Hits"),IF(_xlpm.full,2,IF(N(_xlpm.r)&gt;=1,1,0))))))</f>
        <v/>
      </c>
      <c r="AX29" s="19" t="str" cm="1">
        <f t="array" ref="AX29">IF($C29="","",_xlfn.LET(_xlpm.src,$I29&amp;", "&amp;$AC$3,_xlpm.full,OR($AE29,ISNUMBER(_xlfn.XMATCH("Reroll Wounds",TRIM(_xlfn.TEXTSPLIT(_xlpm.src,","))))),_xlpm.r,KW(_xlpm.src,"Reroll Wounds"),IF(_xlpm.full,2,IF(N(_xlpm.r)&gt;=1,1,0))))</f>
        <v/>
      </c>
      <c r="AY29" s="19" t="str">
        <f t="shared" si="10"/>
        <v/>
      </c>
      <c r="AZ29" s="19" t="str" cm="1">
        <f t="array" ref="AZ29">IF($C29="","",KWSUM($I29&amp;", "&amp;$AC$3,"Attacks Modifier"))</f>
        <v/>
      </c>
      <c r="BA29" s="19" t="str" cm="1">
        <f t="array" ref="BA29">IF($C29="","",KWSUM($I29&amp;", "&amp;$AC$3,"Strength Modifier"))</f>
        <v/>
      </c>
      <c r="BB29" s="19" t="str" cm="1">
        <f t="array" ref="BB29">IF($C29="","",KWSUM($I29&amp;", "&amp;$AC$3,"BS Modifier"))</f>
        <v/>
      </c>
      <c r="BC29" s="19" t="str" cm="1">
        <f t="array" ref="BC29">IF($C29="","",_xlfn.LET(_xlpm.src,$I29&amp;", "&amp;$AC$3,_xlpm.c,KWMIN(_xlpm.src,"Critical Hits"),IF(KW(_xlpm.src,"Snap Shooting")=TRUE,6,IF(ISNUMBER(_xlpm.c),MEDIAN(2,6,_xlpm.c),6))))</f>
        <v/>
      </c>
      <c r="BD29" s="19" t="str" cm="1">
        <f t="array" ref="BD29">IF($C29="","",KWSUM($I29&amp;", "&amp;$AC$3,"Save Modifier"))</f>
        <v/>
      </c>
    </row>
    <row r="30" spans="1:60" x14ac:dyDescent="0.25">
      <c r="A30" s="38" t="b">
        <v>1</v>
      </c>
      <c r="B30" s="60">
        <v>1</v>
      </c>
      <c r="C30" s="32"/>
      <c r="D30" s="33"/>
      <c r="E30" s="33"/>
      <c r="F30" s="33"/>
      <c r="G30" s="33"/>
      <c r="H30" s="33"/>
      <c r="I30" s="34"/>
      <c r="J30" s="121"/>
      <c r="K30" s="123"/>
      <c r="L30" s="123"/>
      <c r="M30" s="123"/>
      <c r="N30" s="123"/>
      <c r="O30" s="119"/>
      <c r="P30" s="35" t="str" cm="1">
        <f t="array" ref="P30">IF(OR($C30="",NOT($A30)),"",N($B30)*(MAX(1,DICEAVG($D30)+$AZ30)+$AH30*($E$3="Yes")+($AI30+$AJ30)*INT($H$3/5)))</f>
        <v/>
      </c>
      <c r="Q30" s="35" t="str">
        <f t="shared" si="11"/>
        <v/>
      </c>
      <c r="R30" s="35" t="str">
        <f t="shared" si="0"/>
        <v/>
      </c>
      <c r="S30" s="35" t="str">
        <f t="shared" si="1"/>
        <v/>
      </c>
      <c r="T30" s="35" t="str">
        <f t="shared" si="2"/>
        <v/>
      </c>
      <c r="U30" s="35" t="str">
        <f t="shared" si="3"/>
        <v/>
      </c>
      <c r="V30" s="35" t="str" cm="1">
        <f t="array" ref="V30">IF(OR($C30="",NOT($A30)),"",MAX(1,DICEAVG($H30)+$AK30*($E$3="Yes")+$AV30+$AH$3))</f>
        <v/>
      </c>
      <c r="W30" s="35" t="str">
        <f t="shared" si="4"/>
        <v/>
      </c>
      <c r="X30" s="35" t="str">
        <f t="shared" si="5"/>
        <v/>
      </c>
      <c r="Y30" s="36" t="str">
        <f t="shared" si="6"/>
        <v/>
      </c>
      <c r="AA30" s="17" t="str" cm="1">
        <f t="array" ref="AA30">IF($C30="","",KW(($I30&amp;", "&amp;$AC$3),"Torrent")=TRUE)</f>
        <v/>
      </c>
      <c r="AB30" s="17" t="str" cm="1">
        <f t="array" ref="AB30">IF($C30="","",KW(($I30&amp;", "&amp;$AC$3),"Lethal Hits")=TRUE)</f>
        <v/>
      </c>
      <c r="AC30" s="17" t="str" cm="1">
        <f t="array" ref="AC30">IF($C30="","",N(KW(($I30&amp;", "&amp;$AC$3),"Sustained Hits")))</f>
        <v/>
      </c>
      <c r="AD30" s="17" t="str" cm="1">
        <f t="array" ref="AD30">IF($C30="","",KW(($I30&amp;", "&amp;$AC$3),"Devastating Wounds")=TRUE)</f>
        <v/>
      </c>
      <c r="AE30" s="17" t="str" cm="1">
        <f t="array" ref="AE30">IF($C30="","",KW(($I30&amp;", "&amp;$AC$3),"Twin-Linked")=TRUE)</f>
        <v/>
      </c>
      <c r="AF30" s="17" t="str" cm="1">
        <f t="array" ref="AF30">IF($C30="","",KW(($I30&amp;", "&amp;$AC$3),"Lance")=TRUE)</f>
        <v/>
      </c>
      <c r="AG30" s="17" t="str" cm="1">
        <f t="array" ref="AG30">IF($C30="","",KW(($I30&amp;", "&amp;$AC$3),"Heavy")=TRUE)</f>
        <v/>
      </c>
      <c r="AH30" s="17" t="str" cm="1">
        <f t="array" ref="AH30">IF($C30="","",N(KW(($I30&amp;", "&amp;$AC$3),"Rapid Fire")))</f>
        <v/>
      </c>
      <c r="AI30" s="17" t="str" cm="1">
        <f t="array" ref="AI30">IF($C30="","",N(KW(($I30&amp;", "&amp;$AC$3),"Blast")))</f>
        <v/>
      </c>
      <c r="AJ30" s="17" t="str" cm="1">
        <f t="array" ref="AJ30">IF($C30="","",N(KW(($I30&amp;", "&amp;$AC$3),"Cleave")))</f>
        <v/>
      </c>
      <c r="AK30" s="17" t="str" cm="1">
        <f t="array" ref="AK30">IF($C30="","",N(KW(($I30&amp;", "&amp;$AC$3),"Melta")))</f>
        <v/>
      </c>
      <c r="AL30" s="17" t="str" cm="1">
        <f t="array" ref="AL30">IF($C30="","",KW(($I30&amp;", "&amp;$AC$3),"Ignores Cover")=TRUE)</f>
        <v/>
      </c>
      <c r="AM30" s="17" t="str" cm="1">
        <f t="array" ref="AM30">IF($C30="","",KW(($I30&amp;", "&amp;$AC$3),"Psychic")=TRUE)</f>
        <v/>
      </c>
      <c r="AN30" s="18" t="str" cm="1">
        <f t="array" ref="AN30">IF($C30="","",_xlfn.LET(_xlpm.src,$I30&amp;", "&amp;$AC$3,_xlpm.a,KWANTI(_xlpm.src,($O$6&amp;", "&amp;$AD$3)),_xlpm.c,KWMIN(_xlpm.src,"Critical Wounds"),MIN(_xlpm.a,IF(ISNUMBER(_xlpm.c),MEDIAN(2,6,_xlpm.c),6))))</f>
        <v/>
      </c>
      <c r="AO30" s="18" t="str" cm="1">
        <f t="array" ref="AO30">IF($C30="","",IF($AA30,0,_xlfn.LET(_xlpm.src,$I30&amp;", "&amp;$AC$3,_xlpm.stat,$F$3="Yes",IF(KW(_xlpm.src,"Snap Shooting")=TRUE,IF(_xlpm.stat,4,6),_xlfn.LET(_xlpm.psy,$AM30,_xlpm.hv,$AG30*_xlpm.stat,_xlpm.dmg,-($I$3="Yes"),_xlpm.am,$AS30,_xlpm.tm,$AI$3,_xlpm.mods,IF(_xlpm.psy,MAX(0,_xlpm.hv)+MAX(0,_xlpm.am)+MAX(0,_xlpm.tm),_xlpm.hv+_xlpm.dmg+_xlpm.am+_xlpm.tm),_xlpm.cov,AND(OR($G$3="Yes",$AB$3),NOT($AL30),NOT(_xlpm.psy)),_xlpm.bs,MIN(6,MAX(2,$E30+IF(_xlpm.psy,MIN(0,$BB30),$BB30+_xlpm.cov))),MEDIAN(2,6,_xlpm.bs-MAX(-1,MIN(1,_xlpm.mods))))))))</f>
        <v/>
      </c>
      <c r="AP30" s="18" t="str">
        <f t="shared" si="8"/>
        <v/>
      </c>
      <c r="AQ30" s="18" t="str">
        <f t="shared" si="9"/>
        <v/>
      </c>
      <c r="AR30" s="19" t="str">
        <f t="shared" si="7"/>
        <v/>
      </c>
      <c r="AS30" s="19" t="str" cm="1">
        <f t="array" ref="AS30">IF($C30="","",KWSUM(($I30&amp;", "&amp;$AC$3),"Hit Modifier"))</f>
        <v/>
      </c>
      <c r="AT30" s="19" t="str" cm="1">
        <f t="array" ref="AT30">IF($C30="","",KWSUM(($I30&amp;", "&amp;$AC$3),"Wound Modifier"))</f>
        <v/>
      </c>
      <c r="AU30" s="19" t="str" cm="1">
        <f t="array" ref="AU30">IF($C30="","",KWSUM(($I30&amp;", "&amp;$AC$3),"AP Modifier"))</f>
        <v/>
      </c>
      <c r="AV30" s="19" t="str" cm="1">
        <f t="array" ref="AV30">IF($C30="","",KWSUM(($I30&amp;", "&amp;$AC$3),"Damage Modifier"))</f>
        <v/>
      </c>
      <c r="AW30" s="19" t="str" cm="1">
        <f t="array" ref="AW30">IF($C30="","",_xlfn.LET(_xlpm.src,$I30&amp;", "&amp;$AC$3,IF(KW(_xlpm.src,"Snap Shooting")=TRUE,0,_xlfn.LET(_xlpm.full,ISNUMBER(_xlfn.XMATCH("Reroll Hits",TRIM(_xlfn.TEXTSPLIT(_xlpm.src,",")))),_xlpm.r,KW(_xlpm.src,"Reroll Hits"),IF(_xlpm.full,2,IF(N(_xlpm.r)&gt;=1,1,0))))))</f>
        <v/>
      </c>
      <c r="AX30" s="19" t="str" cm="1">
        <f t="array" ref="AX30">IF($C30="","",_xlfn.LET(_xlpm.src,$I30&amp;", "&amp;$AC$3,_xlpm.full,OR($AE30,ISNUMBER(_xlfn.XMATCH("Reroll Wounds",TRIM(_xlfn.TEXTSPLIT(_xlpm.src,","))))),_xlpm.r,KW(_xlpm.src,"Reroll Wounds"),IF(_xlpm.full,2,IF(N(_xlpm.r)&gt;=1,1,0))))</f>
        <v/>
      </c>
      <c r="AY30" s="19" t="str">
        <f t="shared" si="10"/>
        <v/>
      </c>
      <c r="AZ30" s="19" t="str" cm="1">
        <f t="array" ref="AZ30">IF($C30="","",KWSUM($I30&amp;", "&amp;$AC$3,"Attacks Modifier"))</f>
        <v/>
      </c>
      <c r="BA30" s="19" t="str" cm="1">
        <f t="array" ref="BA30">IF($C30="","",KWSUM($I30&amp;", "&amp;$AC$3,"Strength Modifier"))</f>
        <v/>
      </c>
      <c r="BB30" s="19" t="str" cm="1">
        <f t="array" ref="BB30">IF($C30="","",KWSUM($I30&amp;", "&amp;$AC$3,"BS Modifier"))</f>
        <v/>
      </c>
      <c r="BC30" s="19" t="str" cm="1">
        <f t="array" ref="BC30">IF($C30="","",_xlfn.LET(_xlpm.src,$I30&amp;", "&amp;$AC$3,_xlpm.c,KWMIN(_xlpm.src,"Critical Hits"),IF(KW(_xlpm.src,"Snap Shooting")=TRUE,6,IF(ISNUMBER(_xlpm.c),MEDIAN(2,6,_xlpm.c),6))))</f>
        <v/>
      </c>
      <c r="BD30" s="19" t="str" cm="1">
        <f t="array" ref="BD30">IF($C30="","",KWSUM($I30&amp;", "&amp;$AC$3,"Save Modifier"))</f>
        <v/>
      </c>
    </row>
    <row r="32" spans="1:60" x14ac:dyDescent="0.25">
      <c r="C32" s="106" t="s">
        <v>175</v>
      </c>
      <c r="D32" s="107"/>
      <c r="E32" s="107"/>
      <c r="F32" s="107"/>
      <c r="G32" s="107"/>
      <c r="H32" s="107"/>
      <c r="I32" s="108"/>
    </row>
    <row r="33" spans="1:9" x14ac:dyDescent="0.25">
      <c r="A33" s="58" t="s">
        <v>121</v>
      </c>
      <c r="C33" s="25" t="s">
        <v>176</v>
      </c>
      <c r="D33" s="26" t="s">
        <v>177</v>
      </c>
      <c r="E33" s="26" t="s">
        <v>178</v>
      </c>
      <c r="F33" s="26"/>
      <c r="G33" s="26"/>
      <c r="H33" s="26"/>
      <c r="I33" s="27"/>
    </row>
    <row r="34" spans="1:9" x14ac:dyDescent="0.25">
      <c r="A34" s="38" t="b">
        <v>0</v>
      </c>
      <c r="C34" s="30" t="str" cm="1">
        <f t="array" ref="C34:E36">_xlfn.TAKE(OPTIONS($C$3,"Attacker","Shooting"),15)</f>
        <v>Command Re-roll</v>
      </c>
      <c r="D34" s="3" t="str">
        <v>Core Strat</v>
      </c>
      <c r="E34" s="3" t="str">
        <v/>
      </c>
      <c r="F34" s="3"/>
      <c r="G34" s="3"/>
      <c r="H34" s="3"/>
      <c r="I34" s="31"/>
    </row>
    <row r="35" spans="1:9" x14ac:dyDescent="0.25">
      <c r="A35" s="38" t="b">
        <v>0</v>
      </c>
      <c r="C35" s="30" t="str">
        <v>Explosives</v>
      </c>
      <c r="D35" s="3" t="str">
        <v>Core Strat</v>
      </c>
      <c r="E35" s="3" t="str">
        <v/>
      </c>
      <c r="F35" s="3"/>
      <c r="G35" s="3"/>
      <c r="H35" s="3"/>
      <c r="I35" s="31"/>
    </row>
    <row r="36" spans="1:9" x14ac:dyDescent="0.25">
      <c r="A36" s="38" t="b">
        <v>0</v>
      </c>
      <c r="C36" s="30" t="str">
        <v>Fire Overwatch</v>
      </c>
      <c r="D36" s="3" t="str">
        <v>Core Strat</v>
      </c>
      <c r="E36" s="3" t="str">
        <v>Snap Shooting</v>
      </c>
      <c r="F36" s="3"/>
      <c r="G36" s="3"/>
      <c r="H36" s="3"/>
      <c r="I36" s="31"/>
    </row>
    <row r="37" spans="1:9" x14ac:dyDescent="0.25">
      <c r="A37" s="38" t="b">
        <v>0</v>
      </c>
      <c r="C37" s="30"/>
      <c r="D37" s="3"/>
      <c r="E37" s="3"/>
      <c r="F37" s="3"/>
      <c r="G37" s="3"/>
      <c r="H37" s="3"/>
      <c r="I37" s="31"/>
    </row>
    <row r="38" spans="1:9" x14ac:dyDescent="0.25">
      <c r="A38" s="38" t="b">
        <v>0</v>
      </c>
      <c r="C38" s="30"/>
      <c r="D38" s="3"/>
      <c r="E38" s="3"/>
      <c r="F38" s="3"/>
      <c r="G38" s="3"/>
      <c r="H38" s="3"/>
      <c r="I38" s="31"/>
    </row>
    <row r="39" spans="1:9" x14ac:dyDescent="0.25">
      <c r="A39" s="38" t="b">
        <v>0</v>
      </c>
      <c r="C39" s="30"/>
      <c r="D39" s="3"/>
      <c r="E39" s="3"/>
      <c r="F39" s="3"/>
      <c r="G39" s="3"/>
      <c r="H39" s="3"/>
      <c r="I39" s="31"/>
    </row>
    <row r="40" spans="1:9" x14ac:dyDescent="0.25">
      <c r="A40" s="38" t="b">
        <v>0</v>
      </c>
      <c r="C40" s="30"/>
      <c r="D40" s="3"/>
      <c r="E40" s="3"/>
      <c r="F40" s="3"/>
      <c r="G40" s="3"/>
      <c r="H40" s="3"/>
      <c r="I40" s="31"/>
    </row>
    <row r="41" spans="1:9" x14ac:dyDescent="0.25">
      <c r="A41" s="38" t="b">
        <v>0</v>
      </c>
      <c r="C41" s="30"/>
      <c r="D41" s="3"/>
      <c r="E41" s="3"/>
      <c r="F41" s="3"/>
      <c r="G41" s="3"/>
      <c r="H41" s="3"/>
      <c r="I41" s="31"/>
    </row>
    <row r="42" spans="1:9" x14ac:dyDescent="0.25">
      <c r="A42" s="38" t="b">
        <v>0</v>
      </c>
      <c r="C42" s="30"/>
      <c r="D42" s="3"/>
      <c r="E42" s="3"/>
      <c r="F42" s="3"/>
      <c r="G42" s="3"/>
      <c r="H42" s="3"/>
      <c r="I42" s="31"/>
    </row>
    <row r="43" spans="1:9" x14ac:dyDescent="0.25">
      <c r="A43" s="38" t="b">
        <v>0</v>
      </c>
      <c r="C43" s="30"/>
      <c r="D43" s="3"/>
      <c r="E43" s="3"/>
      <c r="F43" s="3"/>
      <c r="G43" s="3"/>
      <c r="H43" s="3"/>
      <c r="I43" s="31"/>
    </row>
    <row r="44" spans="1:9" x14ac:dyDescent="0.25">
      <c r="A44" s="38" t="b">
        <v>0</v>
      </c>
      <c r="C44" s="30"/>
      <c r="D44" s="3"/>
      <c r="E44" s="3"/>
      <c r="F44" s="3"/>
      <c r="G44" s="3"/>
      <c r="H44" s="3"/>
      <c r="I44" s="31"/>
    </row>
    <row r="45" spans="1:9" x14ac:dyDescent="0.25">
      <c r="A45" s="38" t="b">
        <v>0</v>
      </c>
      <c r="C45" s="30"/>
      <c r="D45" s="3"/>
      <c r="E45" s="3"/>
      <c r="F45" s="3"/>
      <c r="G45" s="3"/>
      <c r="H45" s="3"/>
      <c r="I45" s="31"/>
    </row>
    <row r="46" spans="1:9" x14ac:dyDescent="0.25">
      <c r="A46" s="38" t="b">
        <v>0</v>
      </c>
      <c r="C46" s="30"/>
      <c r="D46" s="3"/>
      <c r="E46" s="3"/>
      <c r="F46" s="3"/>
      <c r="G46" s="3"/>
      <c r="H46" s="3"/>
      <c r="I46" s="31"/>
    </row>
    <row r="47" spans="1:9" x14ac:dyDescent="0.25">
      <c r="A47" s="38" t="b">
        <v>0</v>
      </c>
      <c r="C47" s="30"/>
      <c r="D47" s="3"/>
      <c r="E47" s="3"/>
      <c r="F47" s="3"/>
      <c r="G47" s="3"/>
      <c r="H47" s="3"/>
      <c r="I47" s="31"/>
    </row>
    <row r="48" spans="1:9" x14ac:dyDescent="0.25">
      <c r="A48" s="38" t="b">
        <v>0</v>
      </c>
      <c r="C48" s="30"/>
      <c r="D48" s="3"/>
      <c r="E48" s="3"/>
      <c r="F48" s="3"/>
      <c r="G48" s="3"/>
      <c r="H48" s="3"/>
      <c r="I48" s="31"/>
    </row>
    <row r="50" spans="1:9" x14ac:dyDescent="0.25">
      <c r="C50" s="107" t="s">
        <v>179</v>
      </c>
      <c r="D50" s="107"/>
      <c r="E50" s="107"/>
      <c r="F50" s="107"/>
      <c r="G50" s="107"/>
      <c r="H50" s="107"/>
      <c r="I50" s="107"/>
    </row>
    <row r="51" spans="1:9" x14ac:dyDescent="0.25">
      <c r="A51" s="58" t="s">
        <v>121</v>
      </c>
      <c r="C51" s="25" t="s">
        <v>176</v>
      </c>
      <c r="D51" s="26" t="s">
        <v>177</v>
      </c>
      <c r="E51" s="26" t="s">
        <v>178</v>
      </c>
      <c r="F51" s="26"/>
      <c r="G51" s="26"/>
      <c r="H51" s="26"/>
      <c r="I51" s="27"/>
    </row>
    <row r="52" spans="1:9" x14ac:dyDescent="0.25">
      <c r="A52" s="38" t="b">
        <v>0</v>
      </c>
      <c r="C52" s="30" t="str" cm="1">
        <f t="array" ref="C52:E52">_xlfn.TAKE(OPTIONS($AE$3,"Target","Shooting"),15)</f>
        <v>Smokescreen</v>
      </c>
      <c r="D52" s="3" t="str">
        <v>Core Strat</v>
      </c>
      <c r="E52" s="3" t="str">
        <v>Stealth</v>
      </c>
      <c r="F52" s="3"/>
      <c r="G52" s="3"/>
      <c r="H52" s="3"/>
      <c r="I52" s="31"/>
    </row>
    <row r="53" spans="1:9" x14ac:dyDescent="0.25">
      <c r="A53" s="38" t="b">
        <v>0</v>
      </c>
      <c r="C53" s="30"/>
      <c r="D53" s="3"/>
      <c r="E53" s="3"/>
      <c r="F53" s="3"/>
      <c r="G53" s="3"/>
      <c r="H53" s="3"/>
      <c r="I53" s="31"/>
    </row>
    <row r="54" spans="1:9" x14ac:dyDescent="0.25">
      <c r="A54" s="38" t="b">
        <v>0</v>
      </c>
      <c r="C54" s="30"/>
      <c r="D54" s="3"/>
      <c r="E54" s="3"/>
      <c r="F54" s="3"/>
      <c r="G54" s="3"/>
      <c r="H54" s="3"/>
      <c r="I54" s="31"/>
    </row>
    <row r="55" spans="1:9" x14ac:dyDescent="0.25">
      <c r="A55" s="38" t="b">
        <v>0</v>
      </c>
      <c r="C55" s="30"/>
      <c r="D55" s="3"/>
      <c r="E55" s="3"/>
      <c r="F55" s="3"/>
      <c r="G55" s="3"/>
      <c r="H55" s="3"/>
      <c r="I55" s="31"/>
    </row>
    <row r="56" spans="1:9" x14ac:dyDescent="0.25">
      <c r="A56" s="38" t="b">
        <v>0</v>
      </c>
      <c r="C56" s="30"/>
      <c r="D56" s="3"/>
      <c r="E56" s="3"/>
      <c r="F56" s="3"/>
      <c r="G56" s="3"/>
      <c r="H56" s="3"/>
      <c r="I56" s="31"/>
    </row>
    <row r="57" spans="1:9" x14ac:dyDescent="0.25">
      <c r="A57" s="38" t="b">
        <v>0</v>
      </c>
      <c r="C57" s="30"/>
      <c r="D57" s="3"/>
      <c r="E57" s="3"/>
      <c r="F57" s="3"/>
      <c r="G57" s="3"/>
      <c r="H57" s="3"/>
      <c r="I57" s="31"/>
    </row>
    <row r="58" spans="1:9" x14ac:dyDescent="0.25">
      <c r="A58" s="38" t="b">
        <v>0</v>
      </c>
      <c r="C58" s="30"/>
      <c r="D58" s="3"/>
      <c r="E58" s="3"/>
      <c r="F58" s="3"/>
      <c r="G58" s="3"/>
      <c r="H58" s="3"/>
      <c r="I58" s="31"/>
    </row>
    <row r="59" spans="1:9" x14ac:dyDescent="0.25">
      <c r="A59" s="38" t="b">
        <v>0</v>
      </c>
      <c r="C59" s="30"/>
      <c r="D59" s="3"/>
      <c r="E59" s="3"/>
      <c r="F59" s="3"/>
      <c r="G59" s="3"/>
      <c r="H59" s="3"/>
      <c r="I59" s="31"/>
    </row>
    <row r="60" spans="1:9" x14ac:dyDescent="0.25">
      <c r="A60" s="38" t="b">
        <v>0</v>
      </c>
      <c r="C60" s="30"/>
      <c r="D60" s="3"/>
      <c r="E60" s="3"/>
      <c r="F60" s="3"/>
      <c r="G60" s="3"/>
      <c r="H60" s="3"/>
      <c r="I60" s="31"/>
    </row>
    <row r="61" spans="1:9" x14ac:dyDescent="0.25">
      <c r="A61" s="38" t="b">
        <v>0</v>
      </c>
      <c r="C61" s="30"/>
      <c r="D61" s="3"/>
      <c r="E61" s="3"/>
      <c r="F61" s="3"/>
      <c r="G61" s="3"/>
      <c r="H61" s="3"/>
      <c r="I61" s="31"/>
    </row>
    <row r="62" spans="1:9" x14ac:dyDescent="0.25">
      <c r="A62" s="38" t="b">
        <v>0</v>
      </c>
      <c r="C62" s="30"/>
      <c r="D62" s="3"/>
      <c r="E62" s="3"/>
      <c r="F62" s="3"/>
      <c r="G62" s="3"/>
      <c r="H62" s="3"/>
      <c r="I62" s="31"/>
    </row>
    <row r="63" spans="1:9" x14ac:dyDescent="0.25">
      <c r="A63" s="38" t="b">
        <v>0</v>
      </c>
      <c r="C63" s="30"/>
      <c r="D63" s="3"/>
      <c r="E63" s="3"/>
      <c r="F63" s="3"/>
      <c r="G63" s="3"/>
      <c r="H63" s="3"/>
      <c r="I63" s="31"/>
    </row>
    <row r="64" spans="1:9" x14ac:dyDescent="0.25">
      <c r="A64" s="38" t="b">
        <v>0</v>
      </c>
      <c r="C64" s="30"/>
      <c r="D64" s="3"/>
      <c r="E64" s="3"/>
      <c r="F64" s="3"/>
      <c r="G64" s="3"/>
      <c r="H64" s="3"/>
      <c r="I64" s="31"/>
    </row>
    <row r="65" spans="1:9" x14ac:dyDescent="0.25">
      <c r="A65" s="38" t="b">
        <v>0</v>
      </c>
      <c r="C65" s="30"/>
      <c r="D65" s="3"/>
      <c r="E65" s="3"/>
      <c r="F65" s="3"/>
      <c r="G65" s="3"/>
      <c r="H65" s="3"/>
      <c r="I65" s="31"/>
    </row>
    <row r="66" spans="1:9" x14ac:dyDescent="0.25">
      <c r="A66" s="38" t="b">
        <v>0</v>
      </c>
      <c r="C66" s="30"/>
      <c r="D66" s="3"/>
      <c r="E66" s="3"/>
      <c r="F66" s="3"/>
      <c r="G66" s="3"/>
      <c r="H66" s="3"/>
      <c r="I66" s="31"/>
    </row>
  </sheetData>
  <mergeCells count="18">
    <mergeCell ref="AA4:AR4"/>
    <mergeCell ref="O6:O30"/>
    <mergeCell ref="J6:J30"/>
    <mergeCell ref="K6:K30"/>
    <mergeCell ref="L6:L30"/>
    <mergeCell ref="M6:M30"/>
    <mergeCell ref="N6:N30"/>
    <mergeCell ref="J4:O4"/>
    <mergeCell ref="P4:Y4"/>
    <mergeCell ref="S3:Y3"/>
    <mergeCell ref="C32:I32"/>
    <mergeCell ref="C50:I50"/>
    <mergeCell ref="J2:K2"/>
    <mergeCell ref="J3:K3"/>
    <mergeCell ref="C4:I4"/>
    <mergeCell ref="L2:M2"/>
    <mergeCell ref="L3:M3"/>
    <mergeCell ref="S2:Y2"/>
  </mergeCells>
  <conditionalFormatting sqref="A34:A48 C34:I48">
    <cfRule type="expression" dxfId="19" priority="3">
      <formula>AND($C34&lt;&gt;"",$A34=TRUE)</formula>
    </cfRule>
    <cfRule type="expression" dxfId="18" priority="4">
      <formula>AND($C34="",$A34=TRUE)</formula>
    </cfRule>
  </conditionalFormatting>
  <conditionalFormatting sqref="A52:A66 C52:I66">
    <cfRule type="expression" dxfId="17" priority="5">
      <formula>AND($C52&lt;&gt;"",$A52=TRUE)</formula>
    </cfRule>
    <cfRule type="expression" dxfId="16" priority="6">
      <formula>AND($C52="",$A52=TRUE)</formula>
    </cfRule>
  </conditionalFormatting>
  <conditionalFormatting sqref="A6:Y30">
    <cfRule type="expression" dxfId="15" priority="1">
      <formula>AND($C6&lt;&gt;"",$A6=FALSE)</formula>
    </cfRule>
  </conditionalFormatting>
  <conditionalFormatting sqref="S3:Y3">
    <cfRule type="expression" dxfId="14" priority="7">
      <formula>LEFT($S$3,2)&lt;&gt;"OK"</formula>
    </cfRule>
  </conditionalFormatting>
  <dataValidations count="7">
    <dataValidation type="list" allowBlank="1" showInputMessage="1" showErrorMessage="1" sqref="E3:G3 I3" xr:uid="{B7BA6C21-9007-4332-92AC-34B89DFF0693}">
      <formula1>"Yes,No"</formula1>
    </dataValidation>
    <dataValidation type="whole" allowBlank="1" showInputMessage="1" showErrorMessage="1" sqref="H3" xr:uid="{EE9C636F-0B7B-46C9-BBA0-62626E29F149}">
      <formula1>1</formula1>
      <formula2>100</formula2>
    </dataValidation>
    <dataValidation type="list" allowBlank="1" showInputMessage="1" showErrorMessage="1" sqref="C4" xr:uid="{82AACC9A-8716-40DB-9273-AF2D660EAFEE}">
      <formula1>_xlfn.ANCHORARRAY($BF$6)</formula1>
    </dataValidation>
    <dataValidation type="list" allowBlank="1" showInputMessage="1" showErrorMessage="1" sqref="J4" xr:uid="{83B15AEC-F19C-4CBC-A6EF-46DA9B47C50B}">
      <formula1>_xlfn.ANCHORARRAY($BH$6)</formula1>
    </dataValidation>
    <dataValidation type="list" allowBlank="1" showInputMessage="1" showErrorMessage="1" sqref="C3" xr:uid="{BB3E2C8F-7FDE-42CC-8DCD-A12FC491DEC3}">
      <formula1>FactionList</formula1>
    </dataValidation>
    <dataValidation type="list" allowBlank="1" showInputMessage="1" showErrorMessage="1" sqref="K4:O4" xr:uid="{E50DF35D-7448-4459-999C-C088BC0BE2E9}">
      <formula1>#REF!</formula1>
    </dataValidation>
    <dataValidation type="whole" allowBlank="1" showInputMessage="1" showErrorMessage="1" errorTitle="Weapon count" error="Enter a whole number of weapons (0–100)." promptTitle="Qty" prompt="Number of this weapon firing/fighting" sqref="B6:B30" xr:uid="{63B05968-0BA1-4810-8620-B61BB79A50F4}">
      <formula1>0</formula1>
      <formula2>100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7229C2E-B489-49CF-9F98-0DE5953AB557}">
          <x14:formula1>
            <xm:f>DeathGuard!$B$4:$B$40</xm:f>
          </x14:formula1>
          <xm:sqref>D4:I4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A64DA-6EBE-48B6-9A79-170EDBF1FA91}">
  <sheetPr codeName="Sheet2">
    <tabColor theme="5"/>
  </sheetPr>
  <dimension ref="A1:BN66"/>
  <sheetViews>
    <sheetView workbookViewId="0">
      <selection activeCell="L43" sqref="L43"/>
    </sheetView>
  </sheetViews>
  <sheetFormatPr defaultColWidth="9.140625" defaultRowHeight="15" x14ac:dyDescent="0.25"/>
  <cols>
    <col min="1" max="1" width="5.28515625" style="5" bestFit="1" customWidth="1"/>
    <col min="2" max="2" width="6.7109375" style="5" customWidth="1"/>
    <col min="3" max="3" width="26.28515625" style="5" customWidth="1"/>
    <col min="4" max="4" width="9.140625" style="5"/>
    <col min="5" max="8" width="13" style="5" customWidth="1"/>
    <col min="9" max="9" width="27.7109375" style="5" customWidth="1"/>
    <col min="10" max="11" width="9.140625" style="5" customWidth="1"/>
    <col min="12" max="15" width="9.140625" style="5"/>
    <col min="16" max="24" width="11.42578125" style="5" customWidth="1"/>
    <col min="25" max="25" width="27.7109375" style="5" customWidth="1"/>
    <col min="26" max="26" width="2.7109375" style="5" customWidth="1"/>
    <col min="27" max="51" width="9.7109375" style="5" customWidth="1"/>
    <col min="52" max="56" width="11.140625" style="5" customWidth="1"/>
    <col min="57" max="57" width="9.140625" style="5" collapsed="1"/>
    <col min="58" max="16384" width="9.140625" style="5"/>
  </cols>
  <sheetData>
    <row r="1" spans="1:66" ht="14.65" customHeight="1" x14ac:dyDescent="0.25">
      <c r="BN1"/>
    </row>
    <row r="2" spans="1:66" ht="45" x14ac:dyDescent="0.25">
      <c r="C2" s="5" t="s">
        <v>94</v>
      </c>
      <c r="E2" s="13" t="s">
        <v>180</v>
      </c>
      <c r="F2" s="13" t="s">
        <v>77</v>
      </c>
      <c r="G2" s="13" t="s">
        <v>98</v>
      </c>
      <c r="H2" s="109" t="s">
        <v>99</v>
      </c>
      <c r="I2" s="110"/>
      <c r="J2" s="109" t="s">
        <v>100</v>
      </c>
      <c r="K2" s="110"/>
      <c r="P2" s="55" t="s">
        <v>101</v>
      </c>
      <c r="Q2" s="55" t="s">
        <v>102</v>
      </c>
      <c r="R2" s="55" t="s">
        <v>103</v>
      </c>
      <c r="S2" s="116" t="s">
        <v>104</v>
      </c>
      <c r="T2" s="116"/>
      <c r="U2" s="116"/>
      <c r="V2" s="116"/>
      <c r="W2" s="116"/>
      <c r="X2" s="116"/>
      <c r="Y2" s="116"/>
      <c r="AA2" s="14" t="s">
        <v>105</v>
      </c>
      <c r="AB2" s="14" t="s">
        <v>106</v>
      </c>
      <c r="AC2" s="14" t="s">
        <v>107</v>
      </c>
      <c r="AD2" s="14" t="s">
        <v>108</v>
      </c>
      <c r="AE2" s="14" t="s">
        <v>109</v>
      </c>
      <c r="AF2" s="14" t="s">
        <v>110</v>
      </c>
      <c r="AG2" s="14" t="s">
        <v>111</v>
      </c>
      <c r="AH2" s="14" t="s">
        <v>112</v>
      </c>
      <c r="AI2" s="14" t="s">
        <v>113</v>
      </c>
      <c r="AJ2" s="14" t="s">
        <v>114</v>
      </c>
      <c r="AK2" s="14" t="s">
        <v>115</v>
      </c>
      <c r="BN2"/>
    </row>
    <row r="3" spans="1:66" ht="30" customHeight="1" x14ac:dyDescent="0.25">
      <c r="C3" s="5" t="s">
        <v>116</v>
      </c>
      <c r="E3" s="23" t="s">
        <v>117</v>
      </c>
      <c r="F3" s="23">
        <v>5</v>
      </c>
      <c r="G3" s="23" t="s">
        <v>118</v>
      </c>
      <c r="H3" s="111" t="str">
        <f>IF($AC$3="","None ticked",$AC$3)</f>
        <v>None ticked</v>
      </c>
      <c r="I3" s="112"/>
      <c r="J3" s="111" t="str">
        <f>IF($AD$3="","None ticked",$AD$3)</f>
        <v>None ticked</v>
      </c>
      <c r="K3" s="112"/>
      <c r="P3" s="16">
        <f>SUM(W6:W30)</f>
        <v>1.375</v>
      </c>
      <c r="Q3" s="16">
        <f>MIN($F$3,SUM(X6:X30))</f>
        <v>0.6875</v>
      </c>
      <c r="R3" s="49" t="str" cm="1">
        <f t="array" ref="R3">SUMPRODUCT(($C$6:$C$30&lt;&gt;"")*($A$6:$A$30=TRUE))&amp;" of "&amp;COUNTIF($C$6:$C$30,"?*")</f>
        <v>1 of 1</v>
      </c>
      <c r="S3" s="105" t="str" cm="1">
        <f t="array" ref="S3">_xlfn.LET(_xlpm.nw,IFERROR(IF(INDEX(_xlfn.ANCHORARRAY($C$6),1)="",0,ROWS(_xlfn.ANCHORARRAY($C$6))),0),_xlpm.un,_xlfn._xlws.FILTER($C$6:$C$30,($C$6:$C$30&lt;&gt;"")*($A$6:$A$30=FALSE),""),_xlpm.ao,IFERROR(ROWS(OPTIONS($C$3,"Attacker","Fighting")),0),_xlpm.to,IFERROR(ROWS(OPTIONS($AE$3,"Target","Fighting")),0),_xlpm.bad,SUMPRODUCT(($A$34:$A$48=TRUE)*($C$34:$C$48=""))+SUMPRODUCT(($A$52:$A$66=TRUE)*($C$52:$C$66="")),_xlpm.w,_xlfn.TEXTJOIN(" | ",TRUE,IF($AE$3="","Target not found - pick a target in I4",""),IF(AND(_xlpm.nw&gt;0,$AE$3&lt;&gt;"",OR(N($J$6)&lt;=0,N($K$6)&lt;=0,NOT(ISNUMBER($L$6)))),"Target is missing T, W or Sv",""),IF(_xlpm.nw&gt;25,"Unit has "&amp;_xlpm.nw&amp;" weapons - only the first 25 are shown",""),IF(_xlpm.ao&gt;15,"Attacker has "&amp;_xlpm.ao&amp;" rules/stratagems - only 15 shown",""),IF(_xlpm.to&gt;15,"Target has "&amp;_xlpm.to&amp;" rules/stratagems - only 15 shown",""),IF(_xlpm.bad&gt;0,_xlpm.bad&amp;" ticked rule/stratagem row(s) are empty - untick them",""),IF(INDEX(_xlpm.un,1)&lt;&gt;"","Unticked: "&amp;_xlfn.TEXTJOIN(", ",TRUE,_xlpm.un),"")),IF(_xlpm.w="","OK - after changing unit, target or faction, re-check your ticks",_xlpm.w))</f>
        <v>OK - after changing unit, target or faction, re-check your ticks</v>
      </c>
      <c r="T3" s="105"/>
      <c r="U3" s="105"/>
      <c r="V3" s="105"/>
      <c r="W3" s="105"/>
      <c r="X3" s="105"/>
      <c r="Y3" s="105"/>
      <c r="AA3" s="15" cm="1">
        <f t="array" ref="AA3">_xlfn.LET(_xlpm.a,$N$6,_xlpm.b,KWMIN(($O$6&amp;", "&amp;$AD$3),"Feel No Pain"),MIN(IF(AND(ISNUMBER(_xlpm.a),_xlpm.a&gt;=2,_xlpm.a&lt;=6),_xlpm.a,7),IF(ISNUMBER(_xlpm.b),_xlpm.b,7)))</f>
        <v>7</v>
      </c>
      <c r="AB3" s="15" t="b" cm="1">
        <f t="array" ref="AB3">KW(($O$6&amp;", "&amp;$AD$3),"Stealth")=TRUE</f>
        <v>0</v>
      </c>
      <c r="AC3" s="15" t="str" cm="1">
        <f t="array" ref="AC3">_xlfn.TEXTJOIN(", ",TRUE,_xlfn._xlws.FILTER($E$34:$E$48,($A$34:$A$48=TRUE)*($C$34:$C$48&lt;&gt;""),""))</f>
        <v/>
      </c>
      <c r="AD3" s="15" t="str" cm="1">
        <f t="array" ref="AD3">_xlfn.TEXTJOIN(", ",TRUE,_xlfn._xlws.FILTER($E$52:$E$66,($A$52:$A$66=TRUE)*($C$52:$C$66&lt;&gt;""),""))</f>
        <v/>
      </c>
      <c r="AE3" s="15" t="str">
        <f>IFERROR(_xlfn.TEXTBEFORE(_xlfn.TEXTAFTER($J$4," (",-1),")",-1),"")</f>
        <v>Space Marines</v>
      </c>
      <c r="AF3" s="15" cm="1">
        <f t="array" ref="AF3">KWSUM(($O$6&amp;", "&amp;$AD$3),"Toughness Modifier")</f>
        <v>0</v>
      </c>
      <c r="AG3" s="15" cm="1">
        <f t="array" ref="AG3">KWSUM(($O$6&amp;", "&amp;$AD$3),"Save Modifier")</f>
        <v>0</v>
      </c>
      <c r="AH3" s="15" cm="1">
        <f t="array" ref="AH3">KWSUM(($O$6&amp;", "&amp;$AD$3),"Damage Modifier")</f>
        <v>0</v>
      </c>
      <c r="AI3" s="15" cm="1">
        <f t="array" ref="AI3">KWSUM(($O$6&amp;", "&amp;$AD$3),"Hit Modifier")</f>
        <v>0</v>
      </c>
      <c r="AJ3" s="15" cm="1">
        <f t="array" ref="AJ3">KWSUM(($O$6&amp;", "&amp;$AD$3),"Wound Modifier")</f>
        <v>0</v>
      </c>
      <c r="AK3" s="15" cm="1">
        <f t="array" ref="AK3">KWSUM(($O$6&amp;", "&amp;$AD$3),"AP Modifier")</f>
        <v>0</v>
      </c>
      <c r="BN3"/>
    </row>
    <row r="4" spans="1:66" ht="14.65" customHeight="1" x14ac:dyDescent="0.25">
      <c r="C4" s="113" t="s">
        <v>181</v>
      </c>
      <c r="D4" s="114"/>
      <c r="E4" s="114"/>
      <c r="F4" s="114"/>
      <c r="G4" s="114"/>
      <c r="H4" s="114"/>
      <c r="I4" s="115"/>
      <c r="J4" s="124" t="s">
        <v>182</v>
      </c>
      <c r="K4" s="124"/>
      <c r="L4" s="124"/>
      <c r="M4" s="124"/>
      <c r="N4" s="124"/>
      <c r="O4" s="125"/>
      <c r="P4" s="126" t="s">
        <v>119</v>
      </c>
      <c r="Q4" s="127"/>
      <c r="R4" s="127"/>
      <c r="S4" s="127"/>
      <c r="T4" s="127"/>
      <c r="U4" s="127"/>
      <c r="V4" s="127"/>
      <c r="W4" s="127"/>
      <c r="X4" s="127"/>
      <c r="Y4" s="128"/>
      <c r="AA4" s="117" t="s">
        <v>120</v>
      </c>
      <c r="AB4" s="117"/>
      <c r="AC4" s="117"/>
      <c r="AD4" s="117"/>
      <c r="AE4" s="117"/>
      <c r="AF4" s="117"/>
      <c r="AG4" s="117"/>
      <c r="AH4" s="117"/>
      <c r="AI4" s="117"/>
      <c r="AJ4" s="117"/>
      <c r="AK4" s="117"/>
      <c r="AL4" s="117"/>
      <c r="AM4" s="117"/>
      <c r="AN4" s="117"/>
      <c r="AO4" s="117"/>
      <c r="AP4" s="117"/>
      <c r="AQ4" s="117"/>
      <c r="AR4" s="117"/>
      <c r="AS4" s="54"/>
      <c r="AT4" s="54"/>
      <c r="AU4" s="54"/>
      <c r="AV4" s="54"/>
      <c r="AW4" s="54"/>
      <c r="AX4" s="54"/>
      <c r="AY4" s="54"/>
      <c r="AZ4" s="54"/>
      <c r="BA4" s="54"/>
      <c r="BB4" s="54"/>
      <c r="BC4" s="54"/>
      <c r="BD4" s="54"/>
      <c r="BN4"/>
    </row>
    <row r="5" spans="1:66" s="21" customFormat="1" ht="28.9" customHeight="1" x14ac:dyDescent="0.25">
      <c r="A5" s="58" t="s">
        <v>121</v>
      </c>
      <c r="B5" s="58" t="s">
        <v>493</v>
      </c>
      <c r="C5" s="25" t="s">
        <v>122</v>
      </c>
      <c r="D5" s="26" t="s">
        <v>123</v>
      </c>
      <c r="E5" s="26" t="s">
        <v>124</v>
      </c>
      <c r="F5" s="26" t="s">
        <v>125</v>
      </c>
      <c r="G5" s="26" t="s">
        <v>126</v>
      </c>
      <c r="H5" s="26" t="s">
        <v>127</v>
      </c>
      <c r="I5" s="27" t="s">
        <v>128</v>
      </c>
      <c r="J5" s="25" t="s">
        <v>129</v>
      </c>
      <c r="K5" s="26" t="s">
        <v>130</v>
      </c>
      <c r="L5" s="26" t="s">
        <v>131</v>
      </c>
      <c r="M5" s="26" t="s">
        <v>132</v>
      </c>
      <c r="N5" s="26" t="s">
        <v>133</v>
      </c>
      <c r="O5" s="27" t="s">
        <v>134</v>
      </c>
      <c r="P5" s="28" t="s">
        <v>135</v>
      </c>
      <c r="Q5" s="28" t="s">
        <v>136</v>
      </c>
      <c r="R5" s="28" t="s">
        <v>137</v>
      </c>
      <c r="S5" s="28" t="s">
        <v>138</v>
      </c>
      <c r="T5" s="28" t="s">
        <v>139</v>
      </c>
      <c r="U5" s="28" t="s">
        <v>140</v>
      </c>
      <c r="V5" s="28" t="s">
        <v>141</v>
      </c>
      <c r="W5" s="28" t="s">
        <v>101</v>
      </c>
      <c r="X5" s="28" t="s">
        <v>47</v>
      </c>
      <c r="Y5" s="29" t="s">
        <v>142</v>
      </c>
      <c r="AA5" s="14" t="s">
        <v>143</v>
      </c>
      <c r="AB5" s="14" t="s">
        <v>144</v>
      </c>
      <c r="AC5" s="14" t="s">
        <v>145</v>
      </c>
      <c r="AD5" s="14" t="s">
        <v>146</v>
      </c>
      <c r="AE5" s="14" t="s">
        <v>147</v>
      </c>
      <c r="AF5" s="14" t="s">
        <v>148</v>
      </c>
      <c r="AG5" s="14" t="s">
        <v>149</v>
      </c>
      <c r="AH5" s="14" t="s">
        <v>150</v>
      </c>
      <c r="AI5" s="14" t="s">
        <v>151</v>
      </c>
      <c r="AJ5" s="14" t="s">
        <v>152</v>
      </c>
      <c r="AK5" s="14" t="s">
        <v>153</v>
      </c>
      <c r="AL5" s="14" t="s">
        <v>154</v>
      </c>
      <c r="AM5" s="14" t="s">
        <v>155</v>
      </c>
      <c r="AN5" s="14" t="s">
        <v>156</v>
      </c>
      <c r="AO5" s="14" t="s">
        <v>157</v>
      </c>
      <c r="AP5" s="14" t="s">
        <v>158</v>
      </c>
      <c r="AQ5" s="14" t="s">
        <v>159</v>
      </c>
      <c r="AR5" s="14" t="s">
        <v>160</v>
      </c>
      <c r="AS5" s="14" t="s">
        <v>161</v>
      </c>
      <c r="AT5" s="14" t="s">
        <v>162</v>
      </c>
      <c r="AU5" s="14" t="s">
        <v>163</v>
      </c>
      <c r="AV5" s="14" t="s">
        <v>164</v>
      </c>
      <c r="AW5" s="14" t="s">
        <v>165</v>
      </c>
      <c r="AX5" s="14" t="s">
        <v>166</v>
      </c>
      <c r="AY5" s="14" t="s">
        <v>167</v>
      </c>
      <c r="AZ5" s="14" t="s">
        <v>168</v>
      </c>
      <c r="BA5" s="14" t="s">
        <v>169</v>
      </c>
      <c r="BB5" s="14" t="s">
        <v>183</v>
      </c>
      <c r="BC5" s="14" t="s">
        <v>171</v>
      </c>
      <c r="BD5" s="14" t="s">
        <v>172</v>
      </c>
      <c r="BF5" s="12" t="s">
        <v>184</v>
      </c>
      <c r="BH5" s="12" t="s">
        <v>174</v>
      </c>
      <c r="BJ5" s="12"/>
      <c r="BK5" s="12"/>
      <c r="BL5" s="12"/>
      <c r="BN5"/>
    </row>
    <row r="6" spans="1:66" ht="14.65" customHeight="1" x14ac:dyDescent="0.25">
      <c r="A6" s="38" t="b">
        <v>1</v>
      </c>
      <c r="B6" s="59">
        <v>1</v>
      </c>
      <c r="C6" s="30" t="str" cm="1">
        <f t="array" ref="C6:I6">IFERROR(_xlfn.LET(_xlpm.k,_xlfn.XMATCH(TRIM($C$3),Factions[Faction]),_xlpm.u,$C$4,_xlpm.blk,FACTIONBLOCK(_xlpm.k),_xlpm.srcUnit,_xlfn.CHOOSECOLS(_xlpm.blk,1),_xlpm.srcWeapon,_xlfn.CHOOSECOLS(_xlpm.blk,16),_xlpm.srcType,_xlfn.CHOOSECOLS(_xlpm.blk,17),_xlpm.unitFill,_xlfn.SCAN("",_xlpm.srcUnit,_xlfn.LAMBDA(_xlpm.a,_xlpm.v,IF(_xlpm.v&lt;&gt;"",_xlpm.v,_xlpm.a))),_xlpm.names,_xlfn._xlws.FILTER(_xlpm.srcWeapon,(_xlpm.unitFill=_xlpm.u)*(_xlpm.srcWeapon&lt;&gt;"")*(_xlpm.srcType="Melee")),_xlpm.stats,_xlfn.CHOOSECOLS(_xlpm.blk,_xlfn.SEQUENCE(1,7,29)),_xlpm.statNames,_xlfn.CHOOSECOLS(_xlpm.blk,29),_xlpm.idx,_xlfn.XMATCH(_xlpm.names,_xlpm.statNames),_xlpm.res,_xlfn.CHOOSEROWS(_xlpm.stats,_xlfn._xlws.FILTER(_xlpm.idx,ISNUMBER(_xlpm.idx))),IF(_xlpm.res="","",_xlpm.res)),"")</f>
        <v>Hideous Mutations</v>
      </c>
      <c r="D6" s="2" t="str">
        <v>D6+2</v>
      </c>
      <c r="E6" s="2">
        <v>4</v>
      </c>
      <c r="F6" s="2">
        <v>5</v>
      </c>
      <c r="G6" s="2">
        <v>-1</v>
      </c>
      <c r="H6" s="2">
        <v>2</v>
      </c>
      <c r="I6" s="1" t="str">
        <v/>
      </c>
      <c r="J6" s="120" cm="1">
        <f t="array" ref="J6">IF($C$6="","",_xlfn.XLOOKUP($J$4,_xlfn.CHOOSECOLS(AllTargets,1),_xlfn.CHOOSECOLS(AllTargets,COLUMN()-COLUMN($I$6)+1),""))</f>
        <v>5</v>
      </c>
      <c r="K6" s="122" cm="1">
        <f t="array" ref="K6">IF($C$6="","",_xlfn.XLOOKUP($J$4,_xlfn.CHOOSECOLS(AllTargets,1),_xlfn.CHOOSECOLS(AllTargets,COLUMN()-COLUMN($I$6)+1),""))</f>
        <v>2</v>
      </c>
      <c r="L6" s="122" cm="1">
        <f t="array" ref="L6">IF($C$6="","",_xlfn.XLOOKUP($J$4,_xlfn.CHOOSECOLS(AllTargets,1),_xlfn.CHOOSECOLS(AllTargets,COLUMN()-COLUMN($I$6)+1),""))</f>
        <v>3</v>
      </c>
      <c r="M6" s="122" t="str" cm="1">
        <f t="array" ref="M6">IF($C$6="","",_xlfn.XLOOKUP($J$4,_xlfn.CHOOSECOLS(AllTargets,1),_xlfn.CHOOSECOLS(AllTargets,COLUMN()-COLUMN($I$6)+1),""))</f>
        <v>-</v>
      </c>
      <c r="N6" s="122" t="str" cm="1">
        <f t="array" ref="N6">IF($C$6="","",_xlfn.XLOOKUP($J$4,_xlfn.CHOOSECOLS(AllTargets,1),_xlfn.CHOOSECOLS(AllTargets,COLUMN()-COLUMN($I$6)+1),""))</f>
        <v>-</v>
      </c>
      <c r="O6" s="118" t="str" cm="1">
        <f t="array" ref="O6">IF($C$6="","",_xlfn.XLOOKUP($J$4,_xlfn.CHOOSECOLS(AllTargets,1),_xlfn.CHOOSECOLS(AllTargets,COLUMN()-COLUMN($I$6)+1),""))</f>
        <v>-</v>
      </c>
      <c r="P6" s="24" cm="1">
        <f t="array" ref="P6">IF(OR($C6="",NOT($A6)),"",N($B6)*(MAX(1,DICEAVG($D6)+$AZ6)+$AH6*FALSE+($AI6+$AJ6)*INT($F$3/5)))</f>
        <v>5.5</v>
      </c>
      <c r="Q6" s="24">
        <f>IF(OR($C6="",NOT($A6)),"",IF($AA6,$P6,_xlfn.LET(_xlpm.p,MAX((7-$AO6)/6,(7-$BC6)/6),_xlpm.ph,IF($AW6=2,_xlpm.p+(1-_xlpm.p)*_xlpm.p,IF($AW6=1,_xlpm.p+_xlpm.p/6,_xlpm.p)),$P6*_xlpm.ph+$P6*$AY6*$AC6)))</f>
        <v>2.75</v>
      </c>
      <c r="R6" s="24">
        <f t="shared" ref="R6:R30" si="0">IF(OR($C6="",NOT($A6)),"",IF(AND($AB6,NOT($AA6)),$P6*$AY6,0))</f>
        <v>0</v>
      </c>
      <c r="S6" s="24">
        <f t="shared" ref="S6:S30" si="1">IF(OR($C6="",NOT($A6)),"",_xlfn.LET(_xlpm.n,$Q6-$R6,_xlpm.pW,(7-$AP6)/6,_xlpm.pC,(7-$AN6)/6,_xlpm.pT,MAX(_xlpm.pW,_xlpm.pC),_xlpm.rr,$AX6,_xlpm.n*IF(_xlpm.rr=2,1-(1-_xlpm.pT)^2,IF(_xlpm.rr=1,_xlpm.pT+_xlpm.pT/6,_xlpm.pT))+$R6))</f>
        <v>1.375</v>
      </c>
      <c r="T6" s="24">
        <f t="shared" ref="T6:T30" si="2">IF(OR($C6="",NOT($A6)),"",IF($AD6,_xlfn.LET(_xlpm.n,$Q6-$R6,_xlpm.pW,(7-$AP6)/6,_xlpm.pC,(7-$AN6)/6,_xlpm.pT,MAX(_xlpm.pW,_xlpm.pC),_xlpm.rr,$AX6,_xlpm.n*IF(_xlpm.rr=2,_xlpm.pC+(1-_xlpm.pT)*_xlpm.pC,IF(_xlpm.rr=1,_xlpm.pC+_xlpm.pC/6,_xlpm.pC))),0))</f>
        <v>0</v>
      </c>
      <c r="U6" s="24">
        <f t="shared" ref="U6:U30" si="3">IF(OR($C6="",NOT($A6)),"",($S6-$T6)*($AQ6-1)/6)</f>
        <v>0.6875</v>
      </c>
      <c r="V6" s="24" cm="1">
        <f t="array" ref="V6">IF(OR($C6="",NOT($A6)),"",MAX(1,DICEAVG($H6)+$AK6*FALSE+$AV6+$AH$3))</f>
        <v>2</v>
      </c>
      <c r="W6" s="24">
        <f t="shared" ref="W6:W30" si="4">IF(OR($C6="",NOT($A6)),"",($U6+$T6)*IF(N($K$6)&gt;0,MIN($V6,$K$6),$V6)*($AA$3-1)/6)</f>
        <v>1.375</v>
      </c>
      <c r="X6" s="24">
        <f t="shared" ref="X6:X30" si="5">IF(OR($C6="",NOT($A6),$AR6=""),"",MIN($F$3,($U6+$T6)/$AR6))</f>
        <v>0.6875</v>
      </c>
      <c r="Y6" s="31" t="str">
        <f t="shared" ref="Y6:Y30" si="6">IF(OR($C6="",NOT($A6)),"",TEXT($W6,"0.00")&amp;" dmg"&amp;IF($X6="","",", "&amp;TEXT($X6,"0.00")&amp;" kills"))</f>
        <v>1.38 dmg, 0.69 kills</v>
      </c>
      <c r="AA6" s="17" t="b" cm="1">
        <f t="array" ref="AA6">IF($C6="","",KW(($I6&amp;", "&amp;$AC$3),"Torrent")=TRUE)</f>
        <v>0</v>
      </c>
      <c r="AB6" s="17" t="b" cm="1">
        <f t="array" ref="AB6">IF($C6="","",KW(($I6&amp;", "&amp;$AC$3),"Lethal Hits")=TRUE)</f>
        <v>0</v>
      </c>
      <c r="AC6" s="17" cm="1">
        <f t="array" ref="AC6">IF($C6="","",N(KW(($I6&amp;", "&amp;$AC$3),"Sustained Hits")))</f>
        <v>0</v>
      </c>
      <c r="AD6" s="17" t="b" cm="1">
        <f t="array" ref="AD6">IF($C6="","",KW(($I6&amp;", "&amp;$AC$3),"Devastating Wounds")=TRUE)</f>
        <v>0</v>
      </c>
      <c r="AE6" s="17" t="b" cm="1">
        <f t="array" ref="AE6">IF($C6="","",KW(($I6&amp;", "&amp;$AC$3),"Twin-Linked")=TRUE)</f>
        <v>0</v>
      </c>
      <c r="AF6" s="17" t="b" cm="1">
        <f t="array" ref="AF6">IF($C6="","",KW(($I6&amp;", "&amp;$AC$3),"Lance")=TRUE)</f>
        <v>0</v>
      </c>
      <c r="AG6" s="17" t="b" cm="1">
        <f t="array" ref="AG6">IF($C6="","",KW(($I6&amp;", "&amp;$AC$3),"Heavy")=TRUE)</f>
        <v>0</v>
      </c>
      <c r="AH6" s="17" cm="1">
        <f t="array" ref="AH6">IF($C6="","",N(KW(($I6&amp;", "&amp;$AC$3),"Rapid Fire")))</f>
        <v>0</v>
      </c>
      <c r="AI6" s="17" cm="1">
        <f t="array" ref="AI6">IF($C6="","",N(KW(($I6&amp;", "&amp;$AC$3),"Blast")))</f>
        <v>0</v>
      </c>
      <c r="AJ6" s="17" cm="1">
        <f t="array" ref="AJ6">IF($C6="","",N(KW(($I6&amp;", "&amp;$AC$3),"Cleave")))</f>
        <v>0</v>
      </c>
      <c r="AK6" s="17" cm="1">
        <f t="array" ref="AK6">IF($C6="","",N(KW(($I6&amp;", "&amp;$AC$3),"Melta")))</f>
        <v>0</v>
      </c>
      <c r="AL6" s="17" t="b" cm="1">
        <f t="array" ref="AL6">IF($C6="","",KW(($I6&amp;", "&amp;$AC$3),"Ignores Cover")=TRUE)</f>
        <v>0</v>
      </c>
      <c r="AM6" s="17" t="b" cm="1">
        <f t="array" ref="AM6">IF($C6="","",KW(($I6&amp;", "&amp;$AC$3),"Psychic")=TRUE)</f>
        <v>0</v>
      </c>
      <c r="AN6" s="18" cm="1">
        <f t="array" ref="AN6">IF($C6="","",_xlfn.LET(_xlpm.src,$I6&amp;", "&amp;$AC$3,_xlpm.a,KWANTI(_xlpm.src,($O$6&amp;", "&amp;$AD$3)),_xlpm.c,KWMIN(_xlpm.src,"Critical Wounds"),MIN(_xlpm.a,IF(ISNUMBER(_xlpm.c),MEDIAN(2,6,_xlpm.c),6))))</f>
        <v>6</v>
      </c>
      <c r="AO6" s="18">
        <f>IF($C6="","",IF($AA6,0,_xlfn.LET(_xlpm.psy,$AM6,_xlpm.dmg,-($G$3="Yes"),_xlpm.am,$AS6,_xlpm.tm,$AI$3,_xlpm.mods,IF(_xlpm.psy,MAX(0,_xlpm.am)+MAX(0,_xlpm.tm),_xlpm.dmg+_xlpm.am+_xlpm.tm),_xlpm.ws,MIN(6,MAX(2,$E6+IF(_xlpm.psy,MIN(0,$BB6),$BB6))),MEDIAN(2,6,_xlpm.ws-MAX(-1,MIN(1,_xlpm.mods))))))</f>
        <v>4</v>
      </c>
      <c r="AP6" s="18">
        <f>IF($C6="","",_xlfn.LET(_xlpm.s,MAX(1,$F6+$BA6),_xlpm.t,MAX(1,N($J$6)+$AF$3),_xlpm.base,7-(1+(_xlpm.s&gt;=2*_xlpm.t)+(_xlpm.s&gt;_xlpm.t)+(_xlpm.s&gt;=_xlpm.t)+(_xlpm.s&gt;_xlpm.t/2)),MEDIAN(2,6,_xlpm.base-MAX(-1,MIN(1,$AT6+$AF6*($E$3="Yes")+$AJ$3)))))</f>
        <v>4</v>
      </c>
      <c r="AQ6" s="18">
        <f>IF($C6="","",_xlfn.LET(_xlpm.ap,MIN(0,$G6+$AU6+$AK$3),_xlpm.arm,$L$6-_xlpm.ap-$AG$3-$BD6,_xlpm.inv,IF(ISNUMBER($M$6),$M$6,7),MEDIAN(2,7,MIN(_xlpm.arm,_xlpm.inv))))</f>
        <v>4</v>
      </c>
      <c r="AR6" s="19">
        <f t="shared" ref="AR6:AR30" si="7">IF(OR($C6="",N($K$6)&lt;=0),"",ROUNDUP($K$6/MIN($V6,$K$6),0)/(($AA$3-1)/6))</f>
        <v>1</v>
      </c>
      <c r="AS6" s="19" cm="1">
        <f t="array" ref="AS6">IF($C6="","",KWSUM(($I6&amp;", "&amp;$AC$3),"Hit Modifier"))</f>
        <v>0</v>
      </c>
      <c r="AT6" s="19" cm="1">
        <f t="array" ref="AT6">IF($C6="","",KWSUM(($I6&amp;", "&amp;$AC$3),"Wound Modifier"))</f>
        <v>0</v>
      </c>
      <c r="AU6" s="19" cm="1">
        <f t="array" ref="AU6">IF($C6="","",KWSUM(($I6&amp;", "&amp;$AC$3),"AP Modifier"))</f>
        <v>0</v>
      </c>
      <c r="AV6" s="19" cm="1">
        <f t="array" ref="AV6">IF($C6="","",KWSUM(($I6&amp;", "&amp;$AC$3),"Damage Modifier"))</f>
        <v>0</v>
      </c>
      <c r="AW6" s="19" cm="1">
        <f t="array" ref="AW6">IF($C6="","",_xlfn.LET(_xlpm.src,$I6&amp;", "&amp;$AC$3,_xlpm.full,ISNUMBER(_xlfn.XMATCH("Reroll Hits",TRIM(_xlfn.TEXTSPLIT(_xlpm.src,",")))),_xlpm.r,KW(_xlpm.src,"Reroll Hits"),IF(_xlpm.full,2,IF(N(_xlpm.r)&gt;=1,1,0))))</f>
        <v>0</v>
      </c>
      <c r="AX6" s="19" cm="1">
        <f t="array" ref="AX6">IF($C6="","",_xlfn.LET(_xlpm.src,$I6&amp;", "&amp;$AC$3,_xlpm.full,OR($AE6,ISNUMBER(_xlfn.XMATCH("Reroll Wounds",TRIM(_xlfn.TEXTSPLIT(_xlpm.src,","))))),_xlpm.r,KW(_xlpm.src,"Reroll Wounds"),IF(_xlpm.full,2,IF(N(_xlpm.r)&gt;=1,1,0))))</f>
        <v>0</v>
      </c>
      <c r="AY6" s="19">
        <f>IF($C6="","",IF($AA6,0,_xlfn.LET(_xlpm.pc,(7-$BC6)/6,_xlpm.p,MAX((7-$AO6)/6,_xlpm.pc),IF($AW6=2,_xlpm.pc+(1-_xlpm.p)*_xlpm.pc,IF($AW6=1,_xlpm.pc+_xlpm.pc/6,_xlpm.pc)))))</f>
        <v>0.16666666666666666</v>
      </c>
      <c r="AZ6" s="19" cm="1">
        <f t="array" ref="AZ6">IF($C6="","",KWSUM($I6&amp;", "&amp;$AC$3,"Attacks Modifier"))</f>
        <v>0</v>
      </c>
      <c r="BA6" s="19" cm="1">
        <f t="array" ref="BA6">IF($C6="","",KWSUM($I6&amp;", "&amp;$AC$3,"Strength Modifier"))</f>
        <v>0</v>
      </c>
      <c r="BB6" s="19" cm="1">
        <f t="array" ref="BB6">IF($C6="","",KWSUM($I6&amp;", "&amp;$AC$3,"WS Modifier"))</f>
        <v>0</v>
      </c>
      <c r="BC6" s="19" cm="1">
        <f t="array" ref="BC6">IF($C6="","",_xlfn.LET(_xlpm.c,KWMIN($I6&amp;", "&amp;$AC$3,"Critical Hits"),IF(ISNUMBER(_xlpm.c),MEDIAN(2,6,_xlpm.c),6)))</f>
        <v>6</v>
      </c>
      <c r="BD6" s="19" cm="1">
        <f t="array" ref="BD6">IF($C6="","",KWSUM($I6&amp;", "&amp;$AC$3,"Save Modifier"))</f>
        <v>0</v>
      </c>
      <c r="BF6" s="5" t="str" cm="1">
        <f t="array" ref="BF6:BF14">_xlfn.LET(_xlpm.k,_xlfn.XMATCH(TRIM($C$3),Factions[Faction]),_xlpm.blk,FACTIONBLOCK(_xlpm.k),_xlpm.unitFill,_xlfn.SCAN("",_xlfn.CHOOSECOLS(_xlpm.blk,1),_xlfn.LAMBDA(_xlpm.a,_xlpm.v,IF(_xlpm.v&lt;&gt;"",_xlpm.v,_xlpm.a))),IFERROR(_xlfn.UNIQUE(_xlfn._xlws.FILTER(_xlpm.unitFill,(_xlpm.unitFill&lt;&gt;"")*(_xlfn.CHOOSECOLS(_xlpm.blk,17)="Melee"))),"No melee units"))</f>
        <v>Myphitic Blight Hauler</v>
      </c>
      <c r="BH6" s="5" t="str" cm="1">
        <f t="array" ref="BH6:BH23">_xlfn.LET(_xlpm.n,_xlfn.CHOOSECOLS(AllTargets,1),_xlfn.UNIQUE(_xlfn._xlws.FILTER(_xlpm.n,_xlpm.n&lt;&gt;"")))</f>
        <v>Myphitic Blight Hauler (DeathGuard)</v>
      </c>
      <c r="BN6"/>
    </row>
    <row r="7" spans="1:66" ht="14.65" customHeight="1" x14ac:dyDescent="0.25">
      <c r="A7" s="38" t="b">
        <v>1</v>
      </c>
      <c r="B7" s="59">
        <v>1</v>
      </c>
      <c r="C7" s="30"/>
      <c r="D7" s="2"/>
      <c r="E7" s="2"/>
      <c r="F7" s="2"/>
      <c r="G7" s="2"/>
      <c r="H7" s="2"/>
      <c r="I7" s="1"/>
      <c r="J7" s="120"/>
      <c r="K7" s="122"/>
      <c r="L7" s="122"/>
      <c r="M7" s="122"/>
      <c r="N7" s="122"/>
      <c r="O7" s="118"/>
      <c r="P7" s="24" t="str" cm="1">
        <f t="array" ref="P7">IF(OR($C7="",NOT($A7)),"",N($B7)*(MAX(1,DICEAVG($D7)+$AZ7)+$AH7*FALSE+($AI7+$AJ7)*INT($F$3/5)))</f>
        <v/>
      </c>
      <c r="Q7" s="24" t="str">
        <f t="shared" ref="Q7:Q30" si="8">IF(OR($C7="",NOT($A7)),"",IF($AA7,$P7,_xlfn.LET(_xlpm.p,MAX((7-$AO7)/6,(7-$BC7)/6),_xlpm.ph,IF($AW7=2,_xlpm.p+(1-_xlpm.p)*_xlpm.p,IF($AW7=1,_xlpm.p+_xlpm.p/6,_xlpm.p)),$P7*_xlpm.ph+$P7*$AY7*$AC7)))</f>
        <v/>
      </c>
      <c r="R7" s="24" t="str">
        <f t="shared" si="0"/>
        <v/>
      </c>
      <c r="S7" s="24" t="str">
        <f t="shared" si="1"/>
        <v/>
      </c>
      <c r="T7" s="24" t="str">
        <f t="shared" si="2"/>
        <v/>
      </c>
      <c r="U7" s="24" t="str">
        <f t="shared" si="3"/>
        <v/>
      </c>
      <c r="V7" s="24" t="str" cm="1">
        <f t="array" ref="V7">IF(OR($C7="",NOT($A7)),"",MAX(1,DICEAVG($H7)+$AK7*FALSE+$AV7+$AH$3))</f>
        <v/>
      </c>
      <c r="W7" s="24" t="str">
        <f t="shared" si="4"/>
        <v/>
      </c>
      <c r="X7" s="24" t="str">
        <f t="shared" si="5"/>
        <v/>
      </c>
      <c r="Y7" s="31" t="str">
        <f t="shared" si="6"/>
        <v/>
      </c>
      <c r="AA7" s="17" t="str" cm="1">
        <f t="array" ref="AA7">IF($C7="","",KW(($I7&amp;", "&amp;$AC$3),"Torrent")=TRUE)</f>
        <v/>
      </c>
      <c r="AB7" s="17" t="str" cm="1">
        <f t="array" ref="AB7">IF($C7="","",KW(($I7&amp;", "&amp;$AC$3),"Lethal Hits")=TRUE)</f>
        <v/>
      </c>
      <c r="AC7" s="17" t="str" cm="1">
        <f t="array" ref="AC7">IF($C7="","",N(KW(($I7&amp;", "&amp;$AC$3),"Sustained Hits")))</f>
        <v/>
      </c>
      <c r="AD7" s="17" t="str" cm="1">
        <f t="array" ref="AD7">IF($C7="","",KW(($I7&amp;", "&amp;$AC$3),"Devastating Wounds")=TRUE)</f>
        <v/>
      </c>
      <c r="AE7" s="17" t="str" cm="1">
        <f t="array" ref="AE7">IF($C7="","",KW(($I7&amp;", "&amp;$AC$3),"Twin-Linked")=TRUE)</f>
        <v/>
      </c>
      <c r="AF7" s="17" t="str" cm="1">
        <f t="array" ref="AF7">IF($C7="","",KW(($I7&amp;", "&amp;$AC$3),"Lance")=TRUE)</f>
        <v/>
      </c>
      <c r="AG7" s="17" t="str" cm="1">
        <f t="array" ref="AG7">IF($C7="","",KW(($I7&amp;", "&amp;$AC$3),"Heavy")=TRUE)</f>
        <v/>
      </c>
      <c r="AH7" s="17" t="str" cm="1">
        <f t="array" ref="AH7">IF($C7="","",N(KW(($I7&amp;", "&amp;$AC$3),"Rapid Fire")))</f>
        <v/>
      </c>
      <c r="AI7" s="17" t="str" cm="1">
        <f t="array" ref="AI7">IF($C7="","",N(KW(($I7&amp;", "&amp;$AC$3),"Blast")))</f>
        <v/>
      </c>
      <c r="AJ7" s="17" t="str" cm="1">
        <f t="array" ref="AJ7">IF($C7="","",N(KW(($I7&amp;", "&amp;$AC$3),"Cleave")))</f>
        <v/>
      </c>
      <c r="AK7" s="17" t="str" cm="1">
        <f t="array" ref="AK7">IF($C7="","",N(KW(($I7&amp;", "&amp;$AC$3),"Melta")))</f>
        <v/>
      </c>
      <c r="AL7" s="17" t="str" cm="1">
        <f t="array" ref="AL7">IF($C7="","",KW(($I7&amp;", "&amp;$AC$3),"Ignores Cover")=TRUE)</f>
        <v/>
      </c>
      <c r="AM7" s="17" t="str" cm="1">
        <f t="array" ref="AM7">IF($C7="","",KW(($I7&amp;", "&amp;$AC$3),"Psychic")=TRUE)</f>
        <v/>
      </c>
      <c r="AN7" s="18" t="str" cm="1">
        <f t="array" ref="AN7">IF($C7="","",_xlfn.LET(_xlpm.src,$I7&amp;", "&amp;$AC$3,_xlpm.a,KWANTI(_xlpm.src,($O$6&amp;", "&amp;$AD$3)),_xlpm.c,KWMIN(_xlpm.src,"Critical Wounds"),MIN(_xlpm.a,IF(ISNUMBER(_xlpm.c),MEDIAN(2,6,_xlpm.c),6))))</f>
        <v/>
      </c>
      <c r="AO7" s="18" t="str">
        <f t="shared" ref="AO7:AO30" si="9">IF($C7="","",IF($AA7,0,_xlfn.LET(_xlpm.psy,$AM7,_xlpm.dmg,-($G$3="Yes"),_xlpm.am,$AS7,_xlpm.tm,$AI$3,_xlpm.mods,IF(_xlpm.psy,MAX(0,_xlpm.am)+MAX(0,_xlpm.tm),_xlpm.dmg+_xlpm.am+_xlpm.tm),_xlpm.ws,MIN(6,MAX(2,$E7+IF(_xlpm.psy,MIN(0,$BB7),$BB7))),MEDIAN(2,6,_xlpm.ws-MAX(-1,MIN(1,_xlpm.mods))))))</f>
        <v/>
      </c>
      <c r="AP7" s="18" t="str">
        <f t="shared" ref="AP7:AP30" si="10">IF($C7="","",_xlfn.LET(_xlpm.s,MAX(1,$F7+$BA7),_xlpm.t,MAX(1,N($J$6)+$AF$3),_xlpm.base,7-(1+(_xlpm.s&gt;=2*_xlpm.t)+(_xlpm.s&gt;_xlpm.t)+(_xlpm.s&gt;=_xlpm.t)+(_xlpm.s&gt;_xlpm.t/2)),MEDIAN(2,6,_xlpm.base-MAX(-1,MIN(1,$AT7+$AF7*($E$3="Yes")+$AJ$3)))))</f>
        <v/>
      </c>
      <c r="AQ7" s="18" t="str">
        <f t="shared" ref="AQ7:AQ30" si="11">IF($C7="","",_xlfn.LET(_xlpm.ap,MIN(0,$G7+$AU7+$AK$3),_xlpm.arm,$L$6-_xlpm.ap-$AG$3-$BD7,_xlpm.inv,IF(ISNUMBER($M$6),$M$6,7),MEDIAN(2,7,MIN(_xlpm.arm,_xlpm.inv))))</f>
        <v/>
      </c>
      <c r="AR7" s="19" t="str">
        <f t="shared" si="7"/>
        <v/>
      </c>
      <c r="AS7" s="19" t="str" cm="1">
        <f t="array" ref="AS7">IF($C7="","",KWSUM(($I7&amp;", "&amp;$AC$3),"Hit Modifier"))</f>
        <v/>
      </c>
      <c r="AT7" s="19" t="str" cm="1">
        <f t="array" ref="AT7">IF($C7="","",KWSUM(($I7&amp;", "&amp;$AC$3),"Wound Modifier"))</f>
        <v/>
      </c>
      <c r="AU7" s="19" t="str" cm="1">
        <f t="array" ref="AU7">IF($C7="","",KWSUM(($I7&amp;", "&amp;$AC$3),"AP Modifier"))</f>
        <v/>
      </c>
      <c r="AV7" s="19" t="str" cm="1">
        <f t="array" ref="AV7">IF($C7="","",KWSUM(($I7&amp;", "&amp;$AC$3),"Damage Modifier"))</f>
        <v/>
      </c>
      <c r="AW7" s="19" t="str" cm="1">
        <f t="array" ref="AW7">IF($C7="","",_xlfn.LET(_xlpm.src,$I7&amp;", "&amp;$AC$3,_xlpm.full,ISNUMBER(_xlfn.XMATCH("Reroll Hits",TRIM(_xlfn.TEXTSPLIT(_xlpm.src,",")))),_xlpm.r,KW(_xlpm.src,"Reroll Hits"),IF(_xlpm.full,2,IF(N(_xlpm.r)&gt;=1,1,0))))</f>
        <v/>
      </c>
      <c r="AX7" s="19" t="str" cm="1">
        <f t="array" ref="AX7">IF($C7="","",_xlfn.LET(_xlpm.src,$I7&amp;", "&amp;$AC$3,_xlpm.full,OR($AE7,ISNUMBER(_xlfn.XMATCH("Reroll Wounds",TRIM(_xlfn.TEXTSPLIT(_xlpm.src,","))))),_xlpm.r,KW(_xlpm.src,"Reroll Wounds"),IF(_xlpm.full,2,IF(N(_xlpm.r)&gt;=1,1,0))))</f>
        <v/>
      </c>
      <c r="AY7" s="19" t="str">
        <f t="shared" ref="AY7:AY30" si="12">IF($C7="","",IF($AA7,0,_xlfn.LET(_xlpm.pc,(7-$BC7)/6,_xlpm.p,MAX((7-$AO7)/6,_xlpm.pc),IF($AW7=2,_xlpm.pc+(1-_xlpm.p)*_xlpm.pc,IF($AW7=1,_xlpm.pc+_xlpm.pc/6,_xlpm.pc)))))</f>
        <v/>
      </c>
      <c r="AZ7" s="19" t="str" cm="1">
        <f t="array" ref="AZ7">IF($C7="","",KWSUM($I7&amp;", "&amp;$AC$3,"Attacks Modifier"))</f>
        <v/>
      </c>
      <c r="BA7" s="19" t="str" cm="1">
        <f t="array" ref="BA7">IF($C7="","",KWSUM($I7&amp;", "&amp;$AC$3,"Strength Modifier"))</f>
        <v/>
      </c>
      <c r="BB7" s="19" t="str" cm="1">
        <f t="array" ref="BB7">IF($C7="","",KWSUM($I7&amp;", "&amp;$AC$3,"WS Modifier"))</f>
        <v/>
      </c>
      <c r="BC7" s="19" t="str" cm="1">
        <f t="array" ref="BC7">IF($C7="","",_xlfn.LET(_xlpm.c,KWMIN($I7&amp;", "&amp;$AC$3,"Critical Hits"),IF(ISNUMBER(_xlpm.c),MEDIAN(2,6,_xlpm.c),6)))</f>
        <v/>
      </c>
      <c r="BD7" s="19" t="str" cm="1">
        <f t="array" ref="BD7">IF($C7="","",KWSUM($I7&amp;", "&amp;$AC$3,"Save Modifier"))</f>
        <v/>
      </c>
      <c r="BF7" s="5" t="str">
        <v>Plague Marines (Ranged)</v>
      </c>
      <c r="BH7" s="5" t="str">
        <v>Plague Marines (Ranged) (DeathGuard)</v>
      </c>
      <c r="BN7"/>
    </row>
    <row r="8" spans="1:66" ht="14.65" customHeight="1" x14ac:dyDescent="0.25">
      <c r="A8" s="38" t="b">
        <v>1</v>
      </c>
      <c r="B8" s="59">
        <v>1</v>
      </c>
      <c r="C8" s="30"/>
      <c r="D8" s="2"/>
      <c r="E8" s="2"/>
      <c r="F8" s="2"/>
      <c r="G8" s="2"/>
      <c r="H8" s="2"/>
      <c r="I8" s="1"/>
      <c r="J8" s="120"/>
      <c r="K8" s="122"/>
      <c r="L8" s="122"/>
      <c r="M8" s="122"/>
      <c r="N8" s="122"/>
      <c r="O8" s="118"/>
      <c r="P8" s="24" t="str" cm="1">
        <f t="array" ref="P8">IF(OR($C8="",NOT($A8)),"",N($B8)*(MAX(1,DICEAVG($D8)+$AZ8)+$AH8*FALSE+($AI8+$AJ8)*INT($F$3/5)))</f>
        <v/>
      </c>
      <c r="Q8" s="24" t="str">
        <f t="shared" si="8"/>
        <v/>
      </c>
      <c r="R8" s="24" t="str">
        <f t="shared" si="0"/>
        <v/>
      </c>
      <c r="S8" s="24" t="str">
        <f t="shared" si="1"/>
        <v/>
      </c>
      <c r="T8" s="24" t="str">
        <f t="shared" si="2"/>
        <v/>
      </c>
      <c r="U8" s="24" t="str">
        <f t="shared" si="3"/>
        <v/>
      </c>
      <c r="V8" s="24" t="str" cm="1">
        <f t="array" ref="V8">IF(OR($C8="",NOT($A8)),"",MAX(1,DICEAVG($H8)+$AK8*FALSE+$AV8+$AH$3))</f>
        <v/>
      </c>
      <c r="W8" s="24" t="str">
        <f t="shared" si="4"/>
        <v/>
      </c>
      <c r="X8" s="24" t="str">
        <f t="shared" si="5"/>
        <v/>
      </c>
      <c r="Y8" s="31" t="str">
        <f t="shared" si="6"/>
        <v/>
      </c>
      <c r="AA8" s="17" t="str" cm="1">
        <f t="array" ref="AA8">IF($C8="","",KW(($I8&amp;", "&amp;$AC$3),"Torrent")=TRUE)</f>
        <v/>
      </c>
      <c r="AB8" s="17" t="str" cm="1">
        <f t="array" ref="AB8">IF($C8="","",KW(($I8&amp;", "&amp;$AC$3),"Lethal Hits")=TRUE)</f>
        <v/>
      </c>
      <c r="AC8" s="17" t="str" cm="1">
        <f t="array" ref="AC8">IF($C8="","",N(KW(($I8&amp;", "&amp;$AC$3),"Sustained Hits")))</f>
        <v/>
      </c>
      <c r="AD8" s="17" t="str" cm="1">
        <f t="array" ref="AD8">IF($C8="","",KW(($I8&amp;", "&amp;$AC$3),"Devastating Wounds")=TRUE)</f>
        <v/>
      </c>
      <c r="AE8" s="17" t="str" cm="1">
        <f t="array" ref="AE8">IF($C8="","",KW(($I8&amp;", "&amp;$AC$3),"Twin-Linked")=TRUE)</f>
        <v/>
      </c>
      <c r="AF8" s="17" t="str" cm="1">
        <f t="array" ref="AF8">IF($C8="","",KW(($I8&amp;", "&amp;$AC$3),"Lance")=TRUE)</f>
        <v/>
      </c>
      <c r="AG8" s="17" t="str" cm="1">
        <f t="array" ref="AG8">IF($C8="","",KW(($I8&amp;", "&amp;$AC$3),"Heavy")=TRUE)</f>
        <v/>
      </c>
      <c r="AH8" s="17" t="str" cm="1">
        <f t="array" ref="AH8">IF($C8="","",N(KW(($I8&amp;", "&amp;$AC$3),"Rapid Fire")))</f>
        <v/>
      </c>
      <c r="AI8" s="17" t="str" cm="1">
        <f t="array" ref="AI8">IF($C8="","",N(KW(($I8&amp;", "&amp;$AC$3),"Blast")))</f>
        <v/>
      </c>
      <c r="AJ8" s="17" t="str" cm="1">
        <f t="array" ref="AJ8">IF($C8="","",N(KW(($I8&amp;", "&amp;$AC$3),"Cleave")))</f>
        <v/>
      </c>
      <c r="AK8" s="17" t="str" cm="1">
        <f t="array" ref="AK8">IF($C8="","",N(KW(($I8&amp;", "&amp;$AC$3),"Melta")))</f>
        <v/>
      </c>
      <c r="AL8" s="17" t="str" cm="1">
        <f t="array" ref="AL8">IF($C8="","",KW(($I8&amp;", "&amp;$AC$3),"Ignores Cover")=TRUE)</f>
        <v/>
      </c>
      <c r="AM8" s="17" t="str" cm="1">
        <f t="array" ref="AM8">IF($C8="","",KW(($I8&amp;", "&amp;$AC$3),"Psychic")=TRUE)</f>
        <v/>
      </c>
      <c r="AN8" s="18" t="str" cm="1">
        <f t="array" ref="AN8">IF($C8="","",_xlfn.LET(_xlpm.src,$I8&amp;", "&amp;$AC$3,_xlpm.a,KWANTI(_xlpm.src,($O$6&amp;", "&amp;$AD$3)),_xlpm.c,KWMIN(_xlpm.src,"Critical Wounds"),MIN(_xlpm.a,IF(ISNUMBER(_xlpm.c),MEDIAN(2,6,_xlpm.c),6))))</f>
        <v/>
      </c>
      <c r="AO8" s="18" t="str">
        <f t="shared" si="9"/>
        <v/>
      </c>
      <c r="AP8" s="18" t="str">
        <f t="shared" si="10"/>
        <v/>
      </c>
      <c r="AQ8" s="18" t="str">
        <f t="shared" si="11"/>
        <v/>
      </c>
      <c r="AR8" s="19" t="str">
        <f t="shared" si="7"/>
        <v/>
      </c>
      <c r="AS8" s="19" t="str" cm="1">
        <f t="array" ref="AS8">IF($C8="","",KWSUM(($I8&amp;", "&amp;$AC$3),"Hit Modifier"))</f>
        <v/>
      </c>
      <c r="AT8" s="19" t="str" cm="1">
        <f t="array" ref="AT8">IF($C8="","",KWSUM(($I8&amp;", "&amp;$AC$3),"Wound Modifier"))</f>
        <v/>
      </c>
      <c r="AU8" s="19" t="str" cm="1">
        <f t="array" ref="AU8">IF($C8="","",KWSUM(($I8&amp;", "&amp;$AC$3),"AP Modifier"))</f>
        <v/>
      </c>
      <c r="AV8" s="19" t="str" cm="1">
        <f t="array" ref="AV8">IF($C8="","",KWSUM(($I8&amp;", "&amp;$AC$3),"Damage Modifier"))</f>
        <v/>
      </c>
      <c r="AW8" s="19" t="str" cm="1">
        <f t="array" ref="AW8">IF($C8="","",_xlfn.LET(_xlpm.src,$I8&amp;", "&amp;$AC$3,_xlpm.full,ISNUMBER(_xlfn.XMATCH("Reroll Hits",TRIM(_xlfn.TEXTSPLIT(_xlpm.src,",")))),_xlpm.r,KW(_xlpm.src,"Reroll Hits"),IF(_xlpm.full,2,IF(N(_xlpm.r)&gt;=1,1,0))))</f>
        <v/>
      </c>
      <c r="AX8" s="19" t="str" cm="1">
        <f t="array" ref="AX8">IF($C8="","",_xlfn.LET(_xlpm.src,$I8&amp;", "&amp;$AC$3,_xlpm.full,OR($AE8,ISNUMBER(_xlfn.XMATCH("Reroll Wounds",TRIM(_xlfn.TEXTSPLIT(_xlpm.src,","))))),_xlpm.r,KW(_xlpm.src,"Reroll Wounds"),IF(_xlpm.full,2,IF(N(_xlpm.r)&gt;=1,1,0))))</f>
        <v/>
      </c>
      <c r="AY8" s="19" t="str">
        <f t="shared" si="12"/>
        <v/>
      </c>
      <c r="AZ8" s="19" t="str" cm="1">
        <f t="array" ref="AZ8">IF($C8="","",KWSUM($I8&amp;", "&amp;$AC$3,"Attacks Modifier"))</f>
        <v/>
      </c>
      <c r="BA8" s="19" t="str" cm="1">
        <f t="array" ref="BA8">IF($C8="","",KWSUM($I8&amp;", "&amp;$AC$3,"Strength Modifier"))</f>
        <v/>
      </c>
      <c r="BB8" s="19" t="str" cm="1">
        <f t="array" ref="BB8">IF($C8="","",KWSUM($I8&amp;", "&amp;$AC$3,"WS Modifier"))</f>
        <v/>
      </c>
      <c r="BC8" s="19" t="str" cm="1">
        <f t="array" ref="BC8">IF($C8="","",_xlfn.LET(_xlpm.c,KWMIN($I8&amp;", "&amp;$AC$3,"Critical Hits"),IF(ISNUMBER(_xlpm.c),MEDIAN(2,6,_xlpm.c),6)))</f>
        <v/>
      </c>
      <c r="BD8" s="19" t="str" cm="1">
        <f t="array" ref="BD8">IF($C8="","",KWSUM($I8&amp;", "&amp;$AC$3,"Save Modifier"))</f>
        <v/>
      </c>
      <c r="BF8" s="5" t="str">
        <v>Deathshroud Terminators</v>
      </c>
      <c r="BH8" s="5" t="str">
        <v>Deathshroud Terminators (DeathGuard)</v>
      </c>
      <c r="BN8"/>
    </row>
    <row r="9" spans="1:66" ht="14.65" customHeight="1" x14ac:dyDescent="0.25">
      <c r="A9" s="38" t="b">
        <v>1</v>
      </c>
      <c r="B9" s="59">
        <v>1</v>
      </c>
      <c r="C9" s="30"/>
      <c r="D9" s="2"/>
      <c r="E9" s="2"/>
      <c r="F9" s="2"/>
      <c r="G9" s="2"/>
      <c r="H9" s="2"/>
      <c r="I9" s="1"/>
      <c r="J9" s="120"/>
      <c r="K9" s="122"/>
      <c r="L9" s="122"/>
      <c r="M9" s="122"/>
      <c r="N9" s="122"/>
      <c r="O9" s="118"/>
      <c r="P9" s="24" t="str" cm="1">
        <f t="array" ref="P9">IF(OR($C9="",NOT($A9)),"",N($B9)*(MAX(1,DICEAVG($D9)+$AZ9)+$AH9*FALSE+($AI9+$AJ9)*INT($F$3/5)))</f>
        <v/>
      </c>
      <c r="Q9" s="24" t="str">
        <f t="shared" si="8"/>
        <v/>
      </c>
      <c r="R9" s="24" t="str">
        <f t="shared" si="0"/>
        <v/>
      </c>
      <c r="S9" s="24" t="str">
        <f t="shared" si="1"/>
        <v/>
      </c>
      <c r="T9" s="24" t="str">
        <f t="shared" si="2"/>
        <v/>
      </c>
      <c r="U9" s="24" t="str">
        <f t="shared" si="3"/>
        <v/>
      </c>
      <c r="V9" s="24" t="str" cm="1">
        <f t="array" ref="V9">IF(OR($C9="",NOT($A9)),"",MAX(1,DICEAVG($H9)+$AK9*FALSE+$AV9+$AH$3))</f>
        <v/>
      </c>
      <c r="W9" s="24" t="str">
        <f t="shared" si="4"/>
        <v/>
      </c>
      <c r="X9" s="24" t="str">
        <f t="shared" si="5"/>
        <v/>
      </c>
      <c r="Y9" s="31" t="str">
        <f t="shared" si="6"/>
        <v/>
      </c>
      <c r="AA9" s="17" t="str" cm="1">
        <f t="array" ref="AA9">IF($C9="","",KW(($I9&amp;", "&amp;$AC$3),"Torrent")=TRUE)</f>
        <v/>
      </c>
      <c r="AB9" s="17" t="str" cm="1">
        <f t="array" ref="AB9">IF($C9="","",KW(($I9&amp;", "&amp;$AC$3),"Lethal Hits")=TRUE)</f>
        <v/>
      </c>
      <c r="AC9" s="17" t="str" cm="1">
        <f t="array" ref="AC9">IF($C9="","",N(KW(($I9&amp;", "&amp;$AC$3),"Sustained Hits")))</f>
        <v/>
      </c>
      <c r="AD9" s="17" t="str" cm="1">
        <f t="array" ref="AD9">IF($C9="","",KW(($I9&amp;", "&amp;$AC$3),"Devastating Wounds")=TRUE)</f>
        <v/>
      </c>
      <c r="AE9" s="17" t="str" cm="1">
        <f t="array" ref="AE9">IF($C9="","",KW(($I9&amp;", "&amp;$AC$3),"Twin-Linked")=TRUE)</f>
        <v/>
      </c>
      <c r="AF9" s="17" t="str" cm="1">
        <f t="array" ref="AF9">IF($C9="","",KW(($I9&amp;", "&amp;$AC$3),"Lance")=TRUE)</f>
        <v/>
      </c>
      <c r="AG9" s="17" t="str" cm="1">
        <f t="array" ref="AG9">IF($C9="","",KW(($I9&amp;", "&amp;$AC$3),"Heavy")=TRUE)</f>
        <v/>
      </c>
      <c r="AH9" s="17" t="str" cm="1">
        <f t="array" ref="AH9">IF($C9="","",N(KW(($I9&amp;", "&amp;$AC$3),"Rapid Fire")))</f>
        <v/>
      </c>
      <c r="AI9" s="17" t="str" cm="1">
        <f t="array" ref="AI9">IF($C9="","",N(KW(($I9&amp;", "&amp;$AC$3),"Blast")))</f>
        <v/>
      </c>
      <c r="AJ9" s="17" t="str" cm="1">
        <f t="array" ref="AJ9">IF($C9="","",N(KW(($I9&amp;", "&amp;$AC$3),"Cleave")))</f>
        <v/>
      </c>
      <c r="AK9" s="17" t="str" cm="1">
        <f t="array" ref="AK9">IF($C9="","",N(KW(($I9&amp;", "&amp;$AC$3),"Melta")))</f>
        <v/>
      </c>
      <c r="AL9" s="17" t="str" cm="1">
        <f t="array" ref="AL9">IF($C9="","",KW(($I9&amp;", "&amp;$AC$3),"Ignores Cover")=TRUE)</f>
        <v/>
      </c>
      <c r="AM9" s="17" t="str" cm="1">
        <f t="array" ref="AM9">IF($C9="","",KW(($I9&amp;", "&amp;$AC$3),"Psychic")=TRUE)</f>
        <v/>
      </c>
      <c r="AN9" s="18" t="str" cm="1">
        <f t="array" ref="AN9">IF($C9="","",_xlfn.LET(_xlpm.src,$I9&amp;", "&amp;$AC$3,_xlpm.a,KWANTI(_xlpm.src,($O$6&amp;", "&amp;$AD$3)),_xlpm.c,KWMIN(_xlpm.src,"Critical Wounds"),MIN(_xlpm.a,IF(ISNUMBER(_xlpm.c),MEDIAN(2,6,_xlpm.c),6))))</f>
        <v/>
      </c>
      <c r="AO9" s="18" t="str">
        <f t="shared" si="9"/>
        <v/>
      </c>
      <c r="AP9" s="18" t="str">
        <f t="shared" si="10"/>
        <v/>
      </c>
      <c r="AQ9" s="18" t="str">
        <f t="shared" si="11"/>
        <v/>
      </c>
      <c r="AR9" s="19" t="str">
        <f t="shared" si="7"/>
        <v/>
      </c>
      <c r="AS9" s="19" t="str" cm="1">
        <f t="array" ref="AS9">IF($C9="","",KWSUM(($I9&amp;", "&amp;$AC$3),"Hit Modifier"))</f>
        <v/>
      </c>
      <c r="AT9" s="19" t="str" cm="1">
        <f t="array" ref="AT9">IF($C9="","",KWSUM(($I9&amp;", "&amp;$AC$3),"Wound Modifier"))</f>
        <v/>
      </c>
      <c r="AU9" s="19" t="str" cm="1">
        <f t="array" ref="AU9">IF($C9="","",KWSUM(($I9&amp;", "&amp;$AC$3),"AP Modifier"))</f>
        <v/>
      </c>
      <c r="AV9" s="19" t="str" cm="1">
        <f t="array" ref="AV9">IF($C9="","",KWSUM(($I9&amp;", "&amp;$AC$3),"Damage Modifier"))</f>
        <v/>
      </c>
      <c r="AW9" s="19" t="str" cm="1">
        <f t="array" ref="AW9">IF($C9="","",_xlfn.LET(_xlpm.src,$I9&amp;", "&amp;$AC$3,_xlpm.full,ISNUMBER(_xlfn.XMATCH("Reroll Hits",TRIM(_xlfn.TEXTSPLIT(_xlpm.src,",")))),_xlpm.r,KW(_xlpm.src,"Reroll Hits"),IF(_xlpm.full,2,IF(N(_xlpm.r)&gt;=1,1,0))))</f>
        <v/>
      </c>
      <c r="AX9" s="19" t="str" cm="1">
        <f t="array" ref="AX9">IF($C9="","",_xlfn.LET(_xlpm.src,$I9&amp;", "&amp;$AC$3,_xlpm.full,OR($AE9,ISNUMBER(_xlfn.XMATCH("Reroll Wounds",TRIM(_xlfn.TEXTSPLIT(_xlpm.src,","))))),_xlpm.r,KW(_xlpm.src,"Reroll Wounds"),IF(_xlpm.full,2,IF(N(_xlpm.r)&gt;=1,1,0))))</f>
        <v/>
      </c>
      <c r="AY9" s="19" t="str">
        <f t="shared" si="12"/>
        <v/>
      </c>
      <c r="AZ9" s="19" t="str" cm="1">
        <f t="array" ref="AZ9">IF($C9="","",KWSUM($I9&amp;", "&amp;$AC$3,"Attacks Modifier"))</f>
        <v/>
      </c>
      <c r="BA9" s="19" t="str" cm="1">
        <f t="array" ref="BA9">IF($C9="","",KWSUM($I9&amp;", "&amp;$AC$3,"Strength Modifier"))</f>
        <v/>
      </c>
      <c r="BB9" s="19" t="str" cm="1">
        <f t="array" ref="BB9">IF($C9="","",KWSUM($I9&amp;", "&amp;$AC$3,"WS Modifier"))</f>
        <v/>
      </c>
      <c r="BC9" s="19" t="str" cm="1">
        <f t="array" ref="BC9">IF($C9="","",_xlfn.LET(_xlpm.c,KWMIN($I9&amp;", "&amp;$AC$3,"Critical Hits"),IF(ISNUMBER(_xlpm.c),MEDIAN(2,6,_xlpm.c),6)))</f>
        <v/>
      </c>
      <c r="BD9" s="19" t="str" cm="1">
        <f t="array" ref="BD9">IF($C9="","",KWSUM($I9&amp;", "&amp;$AC$3,"Save Modifier"))</f>
        <v/>
      </c>
      <c r="BF9" s="5" t="str">
        <v>Lord of Contagion</v>
      </c>
      <c r="BH9" s="5" t="str">
        <v>Lord of Contagion (DeathGuard)</v>
      </c>
    </row>
    <row r="10" spans="1:66" ht="14.65" customHeight="1" x14ac:dyDescent="0.25">
      <c r="A10" s="38" t="b">
        <v>1</v>
      </c>
      <c r="B10" s="59">
        <v>1</v>
      </c>
      <c r="C10" s="30"/>
      <c r="D10"/>
      <c r="E10"/>
      <c r="F10"/>
      <c r="G10"/>
      <c r="H10"/>
      <c r="I10" s="1"/>
      <c r="J10" s="120"/>
      <c r="K10" s="122"/>
      <c r="L10" s="122"/>
      <c r="M10" s="122"/>
      <c r="N10" s="122"/>
      <c r="O10" s="118"/>
      <c r="P10" s="24" t="str" cm="1">
        <f t="array" ref="P10">IF(OR($C10="",NOT($A10)),"",N($B10)*(MAX(1,DICEAVG($D10)+$AZ10)+$AH10*FALSE+($AI10+$AJ10)*INT($F$3/5)))</f>
        <v/>
      </c>
      <c r="Q10" s="24" t="str">
        <f t="shared" si="8"/>
        <v/>
      </c>
      <c r="R10" s="24" t="str">
        <f t="shared" si="0"/>
        <v/>
      </c>
      <c r="S10" s="24" t="str">
        <f t="shared" si="1"/>
        <v/>
      </c>
      <c r="T10" s="24" t="str">
        <f t="shared" si="2"/>
        <v/>
      </c>
      <c r="U10" s="24" t="str">
        <f t="shared" si="3"/>
        <v/>
      </c>
      <c r="V10" s="24" t="str" cm="1">
        <f t="array" ref="V10">IF(OR($C10="",NOT($A10)),"",MAX(1,DICEAVG($H10)+$AK10*FALSE+$AV10+$AH$3))</f>
        <v/>
      </c>
      <c r="W10" s="24" t="str">
        <f t="shared" si="4"/>
        <v/>
      </c>
      <c r="X10" s="24" t="str">
        <f t="shared" si="5"/>
        <v/>
      </c>
      <c r="Y10" s="31" t="str">
        <f t="shared" si="6"/>
        <v/>
      </c>
      <c r="AA10" s="17" t="str" cm="1">
        <f t="array" ref="AA10">IF($C10="","",KW(($I10&amp;", "&amp;$AC$3),"Torrent")=TRUE)</f>
        <v/>
      </c>
      <c r="AB10" s="17" t="str" cm="1">
        <f t="array" ref="AB10">IF($C10="","",KW(($I10&amp;", "&amp;$AC$3),"Lethal Hits")=TRUE)</f>
        <v/>
      </c>
      <c r="AC10" s="17" t="str" cm="1">
        <f t="array" ref="AC10">IF($C10="","",N(KW(($I10&amp;", "&amp;$AC$3),"Sustained Hits")))</f>
        <v/>
      </c>
      <c r="AD10" s="17" t="str" cm="1">
        <f t="array" ref="AD10">IF($C10="","",KW(($I10&amp;", "&amp;$AC$3),"Devastating Wounds")=TRUE)</f>
        <v/>
      </c>
      <c r="AE10" s="17" t="str" cm="1">
        <f t="array" ref="AE10">IF($C10="","",KW(($I10&amp;", "&amp;$AC$3),"Twin-Linked")=TRUE)</f>
        <v/>
      </c>
      <c r="AF10" s="17" t="str" cm="1">
        <f t="array" ref="AF10">IF($C10="","",KW(($I10&amp;", "&amp;$AC$3),"Lance")=TRUE)</f>
        <v/>
      </c>
      <c r="AG10" s="17" t="str" cm="1">
        <f t="array" ref="AG10">IF($C10="","",KW(($I10&amp;", "&amp;$AC$3),"Heavy")=TRUE)</f>
        <v/>
      </c>
      <c r="AH10" s="17" t="str" cm="1">
        <f t="array" ref="AH10">IF($C10="","",N(KW(($I10&amp;", "&amp;$AC$3),"Rapid Fire")))</f>
        <v/>
      </c>
      <c r="AI10" s="17" t="str" cm="1">
        <f t="array" ref="AI10">IF($C10="","",N(KW(($I10&amp;", "&amp;$AC$3),"Blast")))</f>
        <v/>
      </c>
      <c r="AJ10" s="17" t="str" cm="1">
        <f t="array" ref="AJ10">IF($C10="","",N(KW(($I10&amp;", "&amp;$AC$3),"Cleave")))</f>
        <v/>
      </c>
      <c r="AK10" s="17" t="str" cm="1">
        <f t="array" ref="AK10">IF($C10="","",N(KW(($I10&amp;", "&amp;$AC$3),"Melta")))</f>
        <v/>
      </c>
      <c r="AL10" s="17" t="str" cm="1">
        <f t="array" ref="AL10">IF($C10="","",KW(($I10&amp;", "&amp;$AC$3),"Ignores Cover")=TRUE)</f>
        <v/>
      </c>
      <c r="AM10" s="17" t="str" cm="1">
        <f t="array" ref="AM10">IF($C10="","",KW(($I10&amp;", "&amp;$AC$3),"Psychic")=TRUE)</f>
        <v/>
      </c>
      <c r="AN10" s="18" t="str" cm="1">
        <f t="array" ref="AN10">IF($C10="","",_xlfn.LET(_xlpm.src,$I10&amp;", "&amp;$AC$3,_xlpm.a,KWANTI(_xlpm.src,($O$6&amp;", "&amp;$AD$3)),_xlpm.c,KWMIN(_xlpm.src,"Critical Wounds"),MIN(_xlpm.a,IF(ISNUMBER(_xlpm.c),MEDIAN(2,6,_xlpm.c),6))))</f>
        <v/>
      </c>
      <c r="AO10" s="18" t="str">
        <f t="shared" si="9"/>
        <v/>
      </c>
      <c r="AP10" s="18" t="str">
        <f t="shared" si="10"/>
        <v/>
      </c>
      <c r="AQ10" s="18" t="str">
        <f t="shared" si="11"/>
        <v/>
      </c>
      <c r="AR10" s="19" t="str">
        <f t="shared" si="7"/>
        <v/>
      </c>
      <c r="AS10" s="19" t="str" cm="1">
        <f t="array" ref="AS10">IF($C10="","",KWSUM(($I10&amp;", "&amp;$AC$3),"Hit Modifier"))</f>
        <v/>
      </c>
      <c r="AT10" s="19" t="str" cm="1">
        <f t="array" ref="AT10">IF($C10="","",KWSUM(($I10&amp;", "&amp;$AC$3),"Wound Modifier"))</f>
        <v/>
      </c>
      <c r="AU10" s="19" t="str" cm="1">
        <f t="array" ref="AU10">IF($C10="","",KWSUM(($I10&amp;", "&amp;$AC$3),"AP Modifier"))</f>
        <v/>
      </c>
      <c r="AV10" s="19" t="str" cm="1">
        <f t="array" ref="AV10">IF($C10="","",KWSUM(($I10&amp;", "&amp;$AC$3),"Damage Modifier"))</f>
        <v/>
      </c>
      <c r="AW10" s="19" t="str" cm="1">
        <f t="array" ref="AW10">IF($C10="","",_xlfn.LET(_xlpm.src,$I10&amp;", "&amp;$AC$3,_xlpm.full,ISNUMBER(_xlfn.XMATCH("Reroll Hits",TRIM(_xlfn.TEXTSPLIT(_xlpm.src,",")))),_xlpm.r,KW(_xlpm.src,"Reroll Hits"),IF(_xlpm.full,2,IF(N(_xlpm.r)&gt;=1,1,0))))</f>
        <v/>
      </c>
      <c r="AX10" s="19" t="str" cm="1">
        <f t="array" ref="AX10">IF($C10="","",_xlfn.LET(_xlpm.src,$I10&amp;", "&amp;$AC$3,_xlpm.full,OR($AE10,ISNUMBER(_xlfn.XMATCH("Reroll Wounds",TRIM(_xlfn.TEXTSPLIT(_xlpm.src,","))))),_xlpm.r,KW(_xlpm.src,"Reroll Wounds"),IF(_xlpm.full,2,IF(N(_xlpm.r)&gt;=1,1,0))))</f>
        <v/>
      </c>
      <c r="AY10" s="19" t="str">
        <f t="shared" si="12"/>
        <v/>
      </c>
      <c r="AZ10" s="19" t="str" cm="1">
        <f t="array" ref="AZ10">IF($C10="","",KWSUM($I10&amp;", "&amp;$AC$3,"Attacks Modifier"))</f>
        <v/>
      </c>
      <c r="BA10" s="19" t="str" cm="1">
        <f t="array" ref="BA10">IF($C10="","",KWSUM($I10&amp;", "&amp;$AC$3,"Strength Modifier"))</f>
        <v/>
      </c>
      <c r="BB10" s="19" t="str" cm="1">
        <f t="array" ref="BB10">IF($C10="","",KWSUM($I10&amp;", "&amp;$AC$3,"WS Modifier"))</f>
        <v/>
      </c>
      <c r="BC10" s="19" t="str" cm="1">
        <f t="array" ref="BC10">IF($C10="","",_xlfn.LET(_xlpm.c,KWMIN($I10&amp;", "&amp;$AC$3,"Critical Hits"),IF(ISNUMBER(_xlpm.c),MEDIAN(2,6,_xlpm.c),6)))</f>
        <v/>
      </c>
      <c r="BD10" s="19" t="str" cm="1">
        <f t="array" ref="BD10">IF($C10="","",KWSUM($I10&amp;", "&amp;$AC$3,"Save Modifier"))</f>
        <v/>
      </c>
      <c r="BF10" s="5" t="str">
        <v>Lord of Poxes</v>
      </c>
      <c r="BH10" s="5" t="str">
        <v>Lord of Poxes (DeathGuard)</v>
      </c>
    </row>
    <row r="11" spans="1:66" ht="14.65" customHeight="1" x14ac:dyDescent="0.25">
      <c r="A11" s="38" t="b">
        <v>1</v>
      </c>
      <c r="B11" s="59">
        <v>1</v>
      </c>
      <c r="C11" s="30"/>
      <c r="D11"/>
      <c r="E11"/>
      <c r="F11"/>
      <c r="G11"/>
      <c r="H11"/>
      <c r="I11" s="1"/>
      <c r="J11" s="120"/>
      <c r="K11" s="122"/>
      <c r="L11" s="122"/>
      <c r="M11" s="122"/>
      <c r="N11" s="122"/>
      <c r="O11" s="118"/>
      <c r="P11" s="24" t="str" cm="1">
        <f t="array" ref="P11">IF(OR($C11="",NOT($A11)),"",N($B11)*(MAX(1,DICEAVG($D11)+$AZ11)+$AH11*FALSE+($AI11+$AJ11)*INT($F$3/5)))</f>
        <v/>
      </c>
      <c r="Q11" s="24" t="str">
        <f t="shared" si="8"/>
        <v/>
      </c>
      <c r="R11" s="24" t="str">
        <f t="shared" si="0"/>
        <v/>
      </c>
      <c r="S11" s="24" t="str">
        <f t="shared" si="1"/>
        <v/>
      </c>
      <c r="T11" s="24" t="str">
        <f t="shared" si="2"/>
        <v/>
      </c>
      <c r="U11" s="24" t="str">
        <f t="shared" si="3"/>
        <v/>
      </c>
      <c r="V11" s="24" t="str" cm="1">
        <f t="array" ref="V11">IF(OR($C11="",NOT($A11)),"",MAX(1,DICEAVG($H11)+$AK11*FALSE+$AV11+$AH$3))</f>
        <v/>
      </c>
      <c r="W11" s="24" t="str">
        <f t="shared" si="4"/>
        <v/>
      </c>
      <c r="X11" s="24" t="str">
        <f t="shared" si="5"/>
        <v/>
      </c>
      <c r="Y11" s="31" t="str">
        <f t="shared" si="6"/>
        <v/>
      </c>
      <c r="AA11" s="17" t="str" cm="1">
        <f t="array" ref="AA11">IF($C11="","",KW(($I11&amp;", "&amp;$AC$3),"Torrent")=TRUE)</f>
        <v/>
      </c>
      <c r="AB11" s="17" t="str" cm="1">
        <f t="array" ref="AB11">IF($C11="","",KW(($I11&amp;", "&amp;$AC$3),"Lethal Hits")=TRUE)</f>
        <v/>
      </c>
      <c r="AC11" s="17" t="str" cm="1">
        <f t="array" ref="AC11">IF($C11="","",N(KW(($I11&amp;", "&amp;$AC$3),"Sustained Hits")))</f>
        <v/>
      </c>
      <c r="AD11" s="17" t="str" cm="1">
        <f t="array" ref="AD11">IF($C11="","",KW(($I11&amp;", "&amp;$AC$3),"Devastating Wounds")=TRUE)</f>
        <v/>
      </c>
      <c r="AE11" s="17" t="str" cm="1">
        <f t="array" ref="AE11">IF($C11="","",KW(($I11&amp;", "&amp;$AC$3),"Twin-Linked")=TRUE)</f>
        <v/>
      </c>
      <c r="AF11" s="17" t="str" cm="1">
        <f t="array" ref="AF11">IF($C11="","",KW(($I11&amp;", "&amp;$AC$3),"Lance")=TRUE)</f>
        <v/>
      </c>
      <c r="AG11" s="17" t="str" cm="1">
        <f t="array" ref="AG11">IF($C11="","",KW(($I11&amp;", "&amp;$AC$3),"Heavy")=TRUE)</f>
        <v/>
      </c>
      <c r="AH11" s="17" t="str" cm="1">
        <f t="array" ref="AH11">IF($C11="","",N(KW(($I11&amp;", "&amp;$AC$3),"Rapid Fire")))</f>
        <v/>
      </c>
      <c r="AI11" s="17" t="str" cm="1">
        <f t="array" ref="AI11">IF($C11="","",N(KW(($I11&amp;", "&amp;$AC$3),"Blast")))</f>
        <v/>
      </c>
      <c r="AJ11" s="17" t="str" cm="1">
        <f t="array" ref="AJ11">IF($C11="","",N(KW(($I11&amp;", "&amp;$AC$3),"Cleave")))</f>
        <v/>
      </c>
      <c r="AK11" s="17" t="str" cm="1">
        <f t="array" ref="AK11">IF($C11="","",N(KW(($I11&amp;", "&amp;$AC$3),"Melta")))</f>
        <v/>
      </c>
      <c r="AL11" s="17" t="str" cm="1">
        <f t="array" ref="AL11">IF($C11="","",KW(($I11&amp;", "&amp;$AC$3),"Ignores Cover")=TRUE)</f>
        <v/>
      </c>
      <c r="AM11" s="17" t="str" cm="1">
        <f t="array" ref="AM11">IF($C11="","",KW(($I11&amp;", "&amp;$AC$3),"Psychic")=TRUE)</f>
        <v/>
      </c>
      <c r="AN11" s="18" t="str" cm="1">
        <f t="array" ref="AN11">IF($C11="","",_xlfn.LET(_xlpm.src,$I11&amp;", "&amp;$AC$3,_xlpm.a,KWANTI(_xlpm.src,($O$6&amp;", "&amp;$AD$3)),_xlpm.c,KWMIN(_xlpm.src,"Critical Wounds"),MIN(_xlpm.a,IF(ISNUMBER(_xlpm.c),MEDIAN(2,6,_xlpm.c),6))))</f>
        <v/>
      </c>
      <c r="AO11" s="18" t="str">
        <f t="shared" si="9"/>
        <v/>
      </c>
      <c r="AP11" s="18" t="str">
        <f t="shared" si="10"/>
        <v/>
      </c>
      <c r="AQ11" s="18" t="str">
        <f t="shared" si="11"/>
        <v/>
      </c>
      <c r="AR11" s="19" t="str">
        <f t="shared" si="7"/>
        <v/>
      </c>
      <c r="AS11" s="19" t="str" cm="1">
        <f t="array" ref="AS11">IF($C11="","",KWSUM(($I11&amp;", "&amp;$AC$3),"Hit Modifier"))</f>
        <v/>
      </c>
      <c r="AT11" s="19" t="str" cm="1">
        <f t="array" ref="AT11">IF($C11="","",KWSUM(($I11&amp;", "&amp;$AC$3),"Wound Modifier"))</f>
        <v/>
      </c>
      <c r="AU11" s="19" t="str" cm="1">
        <f t="array" ref="AU11">IF($C11="","",KWSUM(($I11&amp;", "&amp;$AC$3),"AP Modifier"))</f>
        <v/>
      </c>
      <c r="AV11" s="19" t="str" cm="1">
        <f t="array" ref="AV11">IF($C11="","",KWSUM(($I11&amp;", "&amp;$AC$3),"Damage Modifier"))</f>
        <v/>
      </c>
      <c r="AW11" s="19" t="str" cm="1">
        <f t="array" ref="AW11">IF($C11="","",_xlfn.LET(_xlpm.src,$I11&amp;", "&amp;$AC$3,_xlpm.full,ISNUMBER(_xlfn.XMATCH("Reroll Hits",TRIM(_xlfn.TEXTSPLIT(_xlpm.src,",")))),_xlpm.r,KW(_xlpm.src,"Reroll Hits"),IF(_xlpm.full,2,IF(N(_xlpm.r)&gt;=1,1,0))))</f>
        <v/>
      </c>
      <c r="AX11" s="19" t="str" cm="1">
        <f t="array" ref="AX11">IF($C11="","",_xlfn.LET(_xlpm.src,$I11&amp;", "&amp;$AC$3,_xlpm.full,OR($AE11,ISNUMBER(_xlfn.XMATCH("Reroll Wounds",TRIM(_xlfn.TEXTSPLIT(_xlpm.src,","))))),_xlpm.r,KW(_xlpm.src,"Reroll Wounds"),IF(_xlpm.full,2,IF(N(_xlpm.r)&gt;=1,1,0))))</f>
        <v/>
      </c>
      <c r="AY11" s="19" t="str">
        <f t="shared" si="12"/>
        <v/>
      </c>
      <c r="AZ11" s="19" t="str" cm="1">
        <f t="array" ref="AZ11">IF($C11="","",KWSUM($I11&amp;", "&amp;$AC$3,"Attacks Modifier"))</f>
        <v/>
      </c>
      <c r="BA11" s="19" t="str" cm="1">
        <f t="array" ref="BA11">IF($C11="","",KWSUM($I11&amp;", "&amp;$AC$3,"Strength Modifier"))</f>
        <v/>
      </c>
      <c r="BB11" s="19" t="str" cm="1">
        <f t="array" ref="BB11">IF($C11="","",KWSUM($I11&amp;", "&amp;$AC$3,"WS Modifier"))</f>
        <v/>
      </c>
      <c r="BC11" s="19" t="str" cm="1">
        <f t="array" ref="BC11">IF($C11="","",_xlfn.LET(_xlpm.c,KWMIN($I11&amp;", "&amp;$AC$3,"Critical Hits"),IF(ISNUMBER(_xlpm.c),MEDIAN(2,6,_xlpm.c),6)))</f>
        <v/>
      </c>
      <c r="BD11" s="19" t="str" cm="1">
        <f t="array" ref="BD11">IF($C11="","",KWSUM($I11&amp;", "&amp;$AC$3,"Save Modifier"))</f>
        <v/>
      </c>
      <c r="BF11" s="5" t="str">
        <v>Tallyman</v>
      </c>
      <c r="BH11" s="5" t="str">
        <v>Tallyman (DeathGuard)</v>
      </c>
    </row>
    <row r="12" spans="1:66" ht="14.65" customHeight="1" x14ac:dyDescent="0.25">
      <c r="A12" s="38" t="b">
        <v>1</v>
      </c>
      <c r="B12" s="59">
        <v>1</v>
      </c>
      <c r="C12" s="30"/>
      <c r="D12"/>
      <c r="E12"/>
      <c r="F12"/>
      <c r="G12"/>
      <c r="H12"/>
      <c r="I12" s="1"/>
      <c r="J12" s="120"/>
      <c r="K12" s="122"/>
      <c r="L12" s="122"/>
      <c r="M12" s="122"/>
      <c r="N12" s="122"/>
      <c r="O12" s="118"/>
      <c r="P12" s="24" t="str" cm="1">
        <f t="array" ref="P12">IF(OR($C12="",NOT($A12)),"",N($B12)*(MAX(1,DICEAVG($D12)+$AZ12)+$AH12*FALSE+($AI12+$AJ12)*INT($F$3/5)))</f>
        <v/>
      </c>
      <c r="Q12" s="24" t="str">
        <f t="shared" si="8"/>
        <v/>
      </c>
      <c r="R12" s="24" t="str">
        <f t="shared" si="0"/>
        <v/>
      </c>
      <c r="S12" s="24" t="str">
        <f t="shared" si="1"/>
        <v/>
      </c>
      <c r="T12" s="24" t="str">
        <f t="shared" si="2"/>
        <v/>
      </c>
      <c r="U12" s="24" t="str">
        <f t="shared" si="3"/>
        <v/>
      </c>
      <c r="V12" s="24" t="str" cm="1">
        <f t="array" ref="V12">IF(OR($C12="",NOT($A12)),"",MAX(1,DICEAVG($H12)+$AK12*FALSE+$AV12+$AH$3))</f>
        <v/>
      </c>
      <c r="W12" s="24" t="str">
        <f t="shared" si="4"/>
        <v/>
      </c>
      <c r="X12" s="24" t="str">
        <f t="shared" si="5"/>
        <v/>
      </c>
      <c r="Y12" s="31" t="str">
        <f t="shared" si="6"/>
        <v/>
      </c>
      <c r="AA12" s="17" t="str" cm="1">
        <f t="array" ref="AA12">IF($C12="","",KW(($I12&amp;", "&amp;$AC$3),"Torrent")=TRUE)</f>
        <v/>
      </c>
      <c r="AB12" s="17" t="str" cm="1">
        <f t="array" ref="AB12">IF($C12="","",KW(($I12&amp;", "&amp;$AC$3),"Lethal Hits")=TRUE)</f>
        <v/>
      </c>
      <c r="AC12" s="17" t="str" cm="1">
        <f t="array" ref="AC12">IF($C12="","",N(KW(($I12&amp;", "&amp;$AC$3),"Sustained Hits")))</f>
        <v/>
      </c>
      <c r="AD12" s="17" t="str" cm="1">
        <f t="array" ref="AD12">IF($C12="","",KW(($I12&amp;", "&amp;$AC$3),"Devastating Wounds")=TRUE)</f>
        <v/>
      </c>
      <c r="AE12" s="17" t="str" cm="1">
        <f t="array" ref="AE12">IF($C12="","",KW(($I12&amp;", "&amp;$AC$3),"Twin-Linked")=TRUE)</f>
        <v/>
      </c>
      <c r="AF12" s="17" t="str" cm="1">
        <f t="array" ref="AF12">IF($C12="","",KW(($I12&amp;", "&amp;$AC$3),"Lance")=TRUE)</f>
        <v/>
      </c>
      <c r="AG12" s="17" t="str" cm="1">
        <f t="array" ref="AG12">IF($C12="","",KW(($I12&amp;", "&amp;$AC$3),"Heavy")=TRUE)</f>
        <v/>
      </c>
      <c r="AH12" s="17" t="str" cm="1">
        <f t="array" ref="AH12">IF($C12="","",N(KW(($I12&amp;", "&amp;$AC$3),"Rapid Fire")))</f>
        <v/>
      </c>
      <c r="AI12" s="17" t="str" cm="1">
        <f t="array" ref="AI12">IF($C12="","",N(KW(($I12&amp;", "&amp;$AC$3),"Blast")))</f>
        <v/>
      </c>
      <c r="AJ12" s="17" t="str" cm="1">
        <f t="array" ref="AJ12">IF($C12="","",N(KW(($I12&amp;", "&amp;$AC$3),"Cleave")))</f>
        <v/>
      </c>
      <c r="AK12" s="17" t="str" cm="1">
        <f t="array" ref="AK12">IF($C12="","",N(KW(($I12&amp;", "&amp;$AC$3),"Melta")))</f>
        <v/>
      </c>
      <c r="AL12" s="17" t="str" cm="1">
        <f t="array" ref="AL12">IF($C12="","",KW(($I12&amp;", "&amp;$AC$3),"Ignores Cover")=TRUE)</f>
        <v/>
      </c>
      <c r="AM12" s="17" t="str" cm="1">
        <f t="array" ref="AM12">IF($C12="","",KW(($I12&amp;", "&amp;$AC$3),"Psychic")=TRUE)</f>
        <v/>
      </c>
      <c r="AN12" s="18" t="str" cm="1">
        <f t="array" ref="AN12">IF($C12="","",_xlfn.LET(_xlpm.src,$I12&amp;", "&amp;$AC$3,_xlpm.a,KWANTI(_xlpm.src,($O$6&amp;", "&amp;$AD$3)),_xlpm.c,KWMIN(_xlpm.src,"Critical Wounds"),MIN(_xlpm.a,IF(ISNUMBER(_xlpm.c),MEDIAN(2,6,_xlpm.c),6))))</f>
        <v/>
      </c>
      <c r="AO12" s="18" t="str">
        <f t="shared" si="9"/>
        <v/>
      </c>
      <c r="AP12" s="18" t="str">
        <f t="shared" si="10"/>
        <v/>
      </c>
      <c r="AQ12" s="18" t="str">
        <f t="shared" si="11"/>
        <v/>
      </c>
      <c r="AR12" s="19" t="str">
        <f t="shared" si="7"/>
        <v/>
      </c>
      <c r="AS12" s="19" t="str" cm="1">
        <f t="array" ref="AS12">IF($C12="","",KWSUM(($I12&amp;", "&amp;$AC$3),"Hit Modifier"))</f>
        <v/>
      </c>
      <c r="AT12" s="19" t="str" cm="1">
        <f t="array" ref="AT12">IF($C12="","",KWSUM(($I12&amp;", "&amp;$AC$3),"Wound Modifier"))</f>
        <v/>
      </c>
      <c r="AU12" s="19" t="str" cm="1">
        <f t="array" ref="AU12">IF($C12="","",KWSUM(($I12&amp;", "&amp;$AC$3),"AP Modifier"))</f>
        <v/>
      </c>
      <c r="AV12" s="19" t="str" cm="1">
        <f t="array" ref="AV12">IF($C12="","",KWSUM(($I12&amp;", "&amp;$AC$3),"Damage Modifier"))</f>
        <v/>
      </c>
      <c r="AW12" s="19" t="str" cm="1">
        <f t="array" ref="AW12">IF($C12="","",_xlfn.LET(_xlpm.src,$I12&amp;", "&amp;$AC$3,_xlpm.full,ISNUMBER(_xlfn.XMATCH("Reroll Hits",TRIM(_xlfn.TEXTSPLIT(_xlpm.src,",")))),_xlpm.r,KW(_xlpm.src,"Reroll Hits"),IF(_xlpm.full,2,IF(N(_xlpm.r)&gt;=1,1,0))))</f>
        <v/>
      </c>
      <c r="AX12" s="19" t="str" cm="1">
        <f t="array" ref="AX12">IF($C12="","",_xlfn.LET(_xlpm.src,$I12&amp;", "&amp;$AC$3,_xlpm.full,OR($AE12,ISNUMBER(_xlfn.XMATCH("Reroll Wounds",TRIM(_xlfn.TEXTSPLIT(_xlpm.src,","))))),_xlpm.r,KW(_xlpm.src,"Reroll Wounds"),IF(_xlpm.full,2,IF(N(_xlpm.r)&gt;=1,1,0))))</f>
        <v/>
      </c>
      <c r="AY12" s="19" t="str">
        <f t="shared" si="12"/>
        <v/>
      </c>
      <c r="AZ12" s="19" t="str" cm="1">
        <f t="array" ref="AZ12">IF($C12="","",KWSUM($I12&amp;", "&amp;$AC$3,"Attacks Modifier"))</f>
        <v/>
      </c>
      <c r="BA12" s="19" t="str" cm="1">
        <f t="array" ref="BA12">IF($C12="","",KWSUM($I12&amp;", "&amp;$AC$3,"Strength Modifier"))</f>
        <v/>
      </c>
      <c r="BB12" s="19" t="str" cm="1">
        <f t="array" ref="BB12">IF($C12="","",KWSUM($I12&amp;", "&amp;$AC$3,"WS Modifier"))</f>
        <v/>
      </c>
      <c r="BC12" s="19" t="str" cm="1">
        <f t="array" ref="BC12">IF($C12="","",_xlfn.LET(_xlpm.c,KWMIN($I12&amp;", "&amp;$AC$3,"Critical Hits"),IF(ISNUMBER(_xlpm.c),MEDIAN(2,6,_xlpm.c),6)))</f>
        <v/>
      </c>
      <c r="BD12" s="19" t="str" cm="1">
        <f t="array" ref="BD12">IF($C12="","",KWSUM($I12&amp;", "&amp;$AC$3,"Save Modifier"))</f>
        <v/>
      </c>
      <c r="BF12" s="5" t="str">
        <v>Typhus</v>
      </c>
      <c r="BH12" s="5" t="str">
        <v>Typhus (DeathGuard)</v>
      </c>
    </row>
    <row r="13" spans="1:66" ht="14.65" customHeight="1" x14ac:dyDescent="0.25">
      <c r="A13" s="38" t="b">
        <v>1</v>
      </c>
      <c r="B13" s="59">
        <v>1</v>
      </c>
      <c r="C13" s="30"/>
      <c r="D13"/>
      <c r="E13"/>
      <c r="F13"/>
      <c r="G13"/>
      <c r="H13"/>
      <c r="I13" s="1"/>
      <c r="J13" s="120"/>
      <c r="K13" s="122"/>
      <c r="L13" s="122"/>
      <c r="M13" s="122"/>
      <c r="N13" s="122"/>
      <c r="O13" s="118"/>
      <c r="P13" s="24" t="str" cm="1">
        <f t="array" ref="P13">IF(OR($C13="",NOT($A13)),"",N($B13)*(MAX(1,DICEAVG($D13)+$AZ13)+$AH13*FALSE+($AI13+$AJ13)*INT($F$3/5)))</f>
        <v/>
      </c>
      <c r="Q13" s="24" t="str">
        <f t="shared" si="8"/>
        <v/>
      </c>
      <c r="R13" s="24" t="str">
        <f t="shared" si="0"/>
        <v/>
      </c>
      <c r="S13" s="24" t="str">
        <f t="shared" si="1"/>
        <v/>
      </c>
      <c r="T13" s="24" t="str">
        <f t="shared" si="2"/>
        <v/>
      </c>
      <c r="U13" s="24" t="str">
        <f t="shared" si="3"/>
        <v/>
      </c>
      <c r="V13" s="24" t="str" cm="1">
        <f t="array" ref="V13">IF(OR($C13="",NOT($A13)),"",MAX(1,DICEAVG($H13)+$AK13*FALSE+$AV13+$AH$3))</f>
        <v/>
      </c>
      <c r="W13" s="24" t="str">
        <f t="shared" si="4"/>
        <v/>
      </c>
      <c r="X13" s="24" t="str">
        <f t="shared" si="5"/>
        <v/>
      </c>
      <c r="Y13" s="31" t="str">
        <f t="shared" si="6"/>
        <v/>
      </c>
      <c r="AA13" s="17" t="str" cm="1">
        <f t="array" ref="AA13">IF($C13="","",KW(($I13&amp;", "&amp;$AC$3),"Torrent")=TRUE)</f>
        <v/>
      </c>
      <c r="AB13" s="17" t="str" cm="1">
        <f t="array" ref="AB13">IF($C13="","",KW(($I13&amp;", "&amp;$AC$3),"Lethal Hits")=TRUE)</f>
        <v/>
      </c>
      <c r="AC13" s="17" t="str" cm="1">
        <f t="array" ref="AC13">IF($C13="","",N(KW(($I13&amp;", "&amp;$AC$3),"Sustained Hits")))</f>
        <v/>
      </c>
      <c r="AD13" s="17" t="str" cm="1">
        <f t="array" ref="AD13">IF($C13="","",KW(($I13&amp;", "&amp;$AC$3),"Devastating Wounds")=TRUE)</f>
        <v/>
      </c>
      <c r="AE13" s="17" t="str" cm="1">
        <f t="array" ref="AE13">IF($C13="","",KW(($I13&amp;", "&amp;$AC$3),"Twin-Linked")=TRUE)</f>
        <v/>
      </c>
      <c r="AF13" s="17" t="str" cm="1">
        <f t="array" ref="AF13">IF($C13="","",KW(($I13&amp;", "&amp;$AC$3),"Lance")=TRUE)</f>
        <v/>
      </c>
      <c r="AG13" s="17" t="str" cm="1">
        <f t="array" ref="AG13">IF($C13="","",KW(($I13&amp;", "&amp;$AC$3),"Heavy")=TRUE)</f>
        <v/>
      </c>
      <c r="AH13" s="17" t="str" cm="1">
        <f t="array" ref="AH13">IF($C13="","",N(KW(($I13&amp;", "&amp;$AC$3),"Rapid Fire")))</f>
        <v/>
      </c>
      <c r="AI13" s="17" t="str" cm="1">
        <f t="array" ref="AI13">IF($C13="","",N(KW(($I13&amp;", "&amp;$AC$3),"Blast")))</f>
        <v/>
      </c>
      <c r="AJ13" s="17" t="str" cm="1">
        <f t="array" ref="AJ13">IF($C13="","",N(KW(($I13&amp;", "&amp;$AC$3),"Cleave")))</f>
        <v/>
      </c>
      <c r="AK13" s="17" t="str" cm="1">
        <f t="array" ref="AK13">IF($C13="","",N(KW(($I13&amp;", "&amp;$AC$3),"Melta")))</f>
        <v/>
      </c>
      <c r="AL13" s="17" t="str" cm="1">
        <f t="array" ref="AL13">IF($C13="","",KW(($I13&amp;", "&amp;$AC$3),"Ignores Cover")=TRUE)</f>
        <v/>
      </c>
      <c r="AM13" s="17" t="str" cm="1">
        <f t="array" ref="AM13">IF($C13="","",KW(($I13&amp;", "&amp;$AC$3),"Psychic")=TRUE)</f>
        <v/>
      </c>
      <c r="AN13" s="18" t="str" cm="1">
        <f t="array" ref="AN13">IF($C13="","",_xlfn.LET(_xlpm.src,$I13&amp;", "&amp;$AC$3,_xlpm.a,KWANTI(_xlpm.src,($O$6&amp;", "&amp;$AD$3)),_xlpm.c,KWMIN(_xlpm.src,"Critical Wounds"),MIN(_xlpm.a,IF(ISNUMBER(_xlpm.c),MEDIAN(2,6,_xlpm.c),6))))</f>
        <v/>
      </c>
      <c r="AO13" s="18" t="str">
        <f t="shared" si="9"/>
        <v/>
      </c>
      <c r="AP13" s="18" t="str">
        <f t="shared" si="10"/>
        <v/>
      </c>
      <c r="AQ13" s="18" t="str">
        <f t="shared" si="11"/>
        <v/>
      </c>
      <c r="AR13" s="19" t="str">
        <f t="shared" si="7"/>
        <v/>
      </c>
      <c r="AS13" s="19" t="str" cm="1">
        <f t="array" ref="AS13">IF($C13="","",KWSUM(($I13&amp;", "&amp;$AC$3),"Hit Modifier"))</f>
        <v/>
      </c>
      <c r="AT13" s="19" t="str" cm="1">
        <f t="array" ref="AT13">IF($C13="","",KWSUM(($I13&amp;", "&amp;$AC$3),"Wound Modifier"))</f>
        <v/>
      </c>
      <c r="AU13" s="19" t="str" cm="1">
        <f t="array" ref="AU13">IF($C13="","",KWSUM(($I13&amp;", "&amp;$AC$3),"AP Modifier"))</f>
        <v/>
      </c>
      <c r="AV13" s="19" t="str" cm="1">
        <f t="array" ref="AV13">IF($C13="","",KWSUM(($I13&amp;", "&amp;$AC$3),"Damage Modifier"))</f>
        <v/>
      </c>
      <c r="AW13" s="19" t="str" cm="1">
        <f t="array" ref="AW13">IF($C13="","",_xlfn.LET(_xlpm.src,$I13&amp;", "&amp;$AC$3,_xlpm.full,ISNUMBER(_xlfn.XMATCH("Reroll Hits",TRIM(_xlfn.TEXTSPLIT(_xlpm.src,",")))),_xlpm.r,KW(_xlpm.src,"Reroll Hits"),IF(_xlpm.full,2,IF(N(_xlpm.r)&gt;=1,1,0))))</f>
        <v/>
      </c>
      <c r="AX13" s="19" t="str" cm="1">
        <f t="array" ref="AX13">IF($C13="","",_xlfn.LET(_xlpm.src,$I13&amp;", "&amp;$AC$3,_xlpm.full,OR($AE13,ISNUMBER(_xlfn.XMATCH("Reroll Wounds",TRIM(_xlfn.TEXTSPLIT(_xlpm.src,","))))),_xlpm.r,KW(_xlpm.src,"Reroll Wounds"),IF(_xlpm.full,2,IF(N(_xlpm.r)&gt;=1,1,0))))</f>
        <v/>
      </c>
      <c r="AY13" s="19" t="str">
        <f t="shared" si="12"/>
        <v/>
      </c>
      <c r="AZ13" s="19" t="str" cm="1">
        <f t="array" ref="AZ13">IF($C13="","",KWSUM($I13&amp;", "&amp;$AC$3,"Attacks Modifier"))</f>
        <v/>
      </c>
      <c r="BA13" s="19" t="str" cm="1">
        <f t="array" ref="BA13">IF($C13="","",KWSUM($I13&amp;", "&amp;$AC$3,"Strength Modifier"))</f>
        <v/>
      </c>
      <c r="BB13" s="19" t="str" cm="1">
        <f t="array" ref="BB13">IF($C13="","",KWSUM($I13&amp;", "&amp;$AC$3,"WS Modifier"))</f>
        <v/>
      </c>
      <c r="BC13" s="19" t="str" cm="1">
        <f t="array" ref="BC13">IF($C13="","",_xlfn.LET(_xlpm.c,KWMIN($I13&amp;", "&amp;$AC$3,"Critical Hits"),IF(ISNUMBER(_xlpm.c),MEDIAN(2,6,_xlpm.c),6)))</f>
        <v/>
      </c>
      <c r="BD13" s="19" t="str" cm="1">
        <f t="array" ref="BD13">IF($C13="","",KWSUM($I13&amp;", "&amp;$AC$3,"Save Modifier"))</f>
        <v/>
      </c>
      <c r="BF13" s="5" t="str">
        <v>Chaos Spawn</v>
      </c>
      <c r="BH13" s="5" t="str">
        <v>Chaos Spawn (DeathGuard)</v>
      </c>
    </row>
    <row r="14" spans="1:66" ht="14.65" customHeight="1" x14ac:dyDescent="0.25">
      <c r="A14" s="38" t="b">
        <v>1</v>
      </c>
      <c r="B14" s="59">
        <v>1</v>
      </c>
      <c r="C14" s="30"/>
      <c r="D14"/>
      <c r="E14"/>
      <c r="F14"/>
      <c r="G14"/>
      <c r="H14"/>
      <c r="I14" s="1"/>
      <c r="J14" s="120"/>
      <c r="K14" s="122"/>
      <c r="L14" s="122"/>
      <c r="M14" s="122"/>
      <c r="N14" s="122"/>
      <c r="O14" s="118"/>
      <c r="P14" s="24" t="str" cm="1">
        <f t="array" ref="P14">IF(OR($C14="",NOT($A14)),"",N($B14)*(MAX(1,DICEAVG($D14)+$AZ14)+$AH14*FALSE+($AI14+$AJ14)*INT($F$3/5)))</f>
        <v/>
      </c>
      <c r="Q14" s="24" t="str">
        <f t="shared" si="8"/>
        <v/>
      </c>
      <c r="R14" s="24" t="str">
        <f t="shared" si="0"/>
        <v/>
      </c>
      <c r="S14" s="24" t="str">
        <f t="shared" si="1"/>
        <v/>
      </c>
      <c r="T14" s="24" t="str">
        <f t="shared" si="2"/>
        <v/>
      </c>
      <c r="U14" s="24" t="str">
        <f t="shared" si="3"/>
        <v/>
      </c>
      <c r="V14" s="24" t="str" cm="1">
        <f t="array" ref="V14">IF(OR($C14="",NOT($A14)),"",MAX(1,DICEAVG($H14)+$AK14*FALSE+$AV14+$AH$3))</f>
        <v/>
      </c>
      <c r="W14" s="24" t="str">
        <f t="shared" si="4"/>
        <v/>
      </c>
      <c r="X14" s="24" t="str">
        <f t="shared" si="5"/>
        <v/>
      </c>
      <c r="Y14" s="31" t="str">
        <f t="shared" si="6"/>
        <v/>
      </c>
      <c r="AA14" s="17" t="str" cm="1">
        <f t="array" ref="AA14">IF($C14="","",KW(($I14&amp;", "&amp;$AC$3),"Torrent")=TRUE)</f>
        <v/>
      </c>
      <c r="AB14" s="17" t="str" cm="1">
        <f t="array" ref="AB14">IF($C14="","",KW(($I14&amp;", "&amp;$AC$3),"Lethal Hits")=TRUE)</f>
        <v/>
      </c>
      <c r="AC14" s="17" t="str" cm="1">
        <f t="array" ref="AC14">IF($C14="","",N(KW(($I14&amp;", "&amp;$AC$3),"Sustained Hits")))</f>
        <v/>
      </c>
      <c r="AD14" s="17" t="str" cm="1">
        <f t="array" ref="AD14">IF($C14="","",KW(($I14&amp;", "&amp;$AC$3),"Devastating Wounds")=TRUE)</f>
        <v/>
      </c>
      <c r="AE14" s="17" t="str" cm="1">
        <f t="array" ref="AE14">IF($C14="","",KW(($I14&amp;", "&amp;$AC$3),"Twin-Linked")=TRUE)</f>
        <v/>
      </c>
      <c r="AF14" s="17" t="str" cm="1">
        <f t="array" ref="AF14">IF($C14="","",KW(($I14&amp;", "&amp;$AC$3),"Lance")=TRUE)</f>
        <v/>
      </c>
      <c r="AG14" s="17" t="str" cm="1">
        <f t="array" ref="AG14">IF($C14="","",KW(($I14&amp;", "&amp;$AC$3),"Heavy")=TRUE)</f>
        <v/>
      </c>
      <c r="AH14" s="17" t="str" cm="1">
        <f t="array" ref="AH14">IF($C14="","",N(KW(($I14&amp;", "&amp;$AC$3),"Rapid Fire")))</f>
        <v/>
      </c>
      <c r="AI14" s="17" t="str" cm="1">
        <f t="array" ref="AI14">IF($C14="","",N(KW(($I14&amp;", "&amp;$AC$3),"Blast")))</f>
        <v/>
      </c>
      <c r="AJ14" s="17" t="str" cm="1">
        <f t="array" ref="AJ14">IF($C14="","",N(KW(($I14&amp;", "&amp;$AC$3),"Cleave")))</f>
        <v/>
      </c>
      <c r="AK14" s="17" t="str" cm="1">
        <f t="array" ref="AK14">IF($C14="","",N(KW(($I14&amp;", "&amp;$AC$3),"Melta")))</f>
        <v/>
      </c>
      <c r="AL14" s="17" t="str" cm="1">
        <f t="array" ref="AL14">IF($C14="","",KW(($I14&amp;", "&amp;$AC$3),"Ignores Cover")=TRUE)</f>
        <v/>
      </c>
      <c r="AM14" s="17" t="str" cm="1">
        <f t="array" ref="AM14">IF($C14="","",KW(($I14&amp;", "&amp;$AC$3),"Psychic")=TRUE)</f>
        <v/>
      </c>
      <c r="AN14" s="18" t="str" cm="1">
        <f t="array" ref="AN14">IF($C14="","",_xlfn.LET(_xlpm.src,$I14&amp;", "&amp;$AC$3,_xlpm.a,KWANTI(_xlpm.src,($O$6&amp;", "&amp;$AD$3)),_xlpm.c,KWMIN(_xlpm.src,"Critical Wounds"),MIN(_xlpm.a,IF(ISNUMBER(_xlpm.c),MEDIAN(2,6,_xlpm.c),6))))</f>
        <v/>
      </c>
      <c r="AO14" s="18" t="str">
        <f t="shared" si="9"/>
        <v/>
      </c>
      <c r="AP14" s="18" t="str">
        <f t="shared" si="10"/>
        <v/>
      </c>
      <c r="AQ14" s="18" t="str">
        <f t="shared" si="11"/>
        <v/>
      </c>
      <c r="AR14" s="19" t="str">
        <f t="shared" si="7"/>
        <v/>
      </c>
      <c r="AS14" s="19" t="str" cm="1">
        <f t="array" ref="AS14">IF($C14="","",KWSUM(($I14&amp;", "&amp;$AC$3),"Hit Modifier"))</f>
        <v/>
      </c>
      <c r="AT14" s="19" t="str" cm="1">
        <f t="array" ref="AT14">IF($C14="","",KWSUM(($I14&amp;", "&amp;$AC$3),"Wound Modifier"))</f>
        <v/>
      </c>
      <c r="AU14" s="19" t="str" cm="1">
        <f t="array" ref="AU14">IF($C14="","",KWSUM(($I14&amp;", "&amp;$AC$3),"AP Modifier"))</f>
        <v/>
      </c>
      <c r="AV14" s="19" t="str" cm="1">
        <f t="array" ref="AV14">IF($C14="","",KWSUM(($I14&amp;", "&amp;$AC$3),"Damage Modifier"))</f>
        <v/>
      </c>
      <c r="AW14" s="19" t="str" cm="1">
        <f t="array" ref="AW14">IF($C14="","",_xlfn.LET(_xlpm.src,$I14&amp;", "&amp;$AC$3,_xlpm.full,ISNUMBER(_xlfn.XMATCH("Reroll Hits",TRIM(_xlfn.TEXTSPLIT(_xlpm.src,",")))),_xlpm.r,KW(_xlpm.src,"Reroll Hits"),IF(_xlpm.full,2,IF(N(_xlpm.r)&gt;=1,1,0))))</f>
        <v/>
      </c>
      <c r="AX14" s="19" t="str" cm="1">
        <f t="array" ref="AX14">IF($C14="","",_xlfn.LET(_xlpm.src,$I14&amp;", "&amp;$AC$3,_xlpm.full,OR($AE14,ISNUMBER(_xlfn.XMATCH("Reroll Wounds",TRIM(_xlfn.TEXTSPLIT(_xlpm.src,","))))),_xlpm.r,KW(_xlpm.src,"Reroll Wounds"),IF(_xlpm.full,2,IF(N(_xlpm.r)&gt;=1,1,0))))</f>
        <v/>
      </c>
      <c r="AY14" s="19" t="str">
        <f t="shared" si="12"/>
        <v/>
      </c>
      <c r="AZ14" s="19" t="str" cm="1">
        <f t="array" ref="AZ14">IF($C14="","",KWSUM($I14&amp;", "&amp;$AC$3,"Attacks Modifier"))</f>
        <v/>
      </c>
      <c r="BA14" s="19" t="str" cm="1">
        <f t="array" ref="BA14">IF($C14="","",KWSUM($I14&amp;", "&amp;$AC$3,"Strength Modifier"))</f>
        <v/>
      </c>
      <c r="BB14" s="19" t="str" cm="1">
        <f t="array" ref="BB14">IF($C14="","",KWSUM($I14&amp;", "&amp;$AC$3,"WS Modifier"))</f>
        <v/>
      </c>
      <c r="BC14" s="19" t="str" cm="1">
        <f t="array" ref="BC14">IF($C14="","",_xlfn.LET(_xlpm.c,KWMIN($I14&amp;", "&amp;$AC$3,"Critical Hits"),IF(ISNUMBER(_xlpm.c),MEDIAN(2,6,_xlpm.c),6)))</f>
        <v/>
      </c>
      <c r="BD14" s="19" t="str" cm="1">
        <f t="array" ref="BD14">IF($C14="","",KWSUM($I14&amp;", "&amp;$AC$3,"Save Modifier"))</f>
        <v/>
      </c>
      <c r="BF14" s="5" t="str">
        <v>Plague Marines (Meele)</v>
      </c>
      <c r="BH14" s="5" t="str">
        <v>Plague Marines (Meele) (DeathGuard)</v>
      </c>
    </row>
    <row r="15" spans="1:66" ht="14.65" customHeight="1" x14ac:dyDescent="0.25">
      <c r="A15" s="38" t="b">
        <v>1</v>
      </c>
      <c r="B15" s="59">
        <v>1</v>
      </c>
      <c r="C15" s="30"/>
      <c r="D15"/>
      <c r="E15"/>
      <c r="F15"/>
      <c r="G15"/>
      <c r="H15"/>
      <c r="I15" s="1"/>
      <c r="J15" s="120"/>
      <c r="K15" s="122"/>
      <c r="L15" s="122"/>
      <c r="M15" s="122"/>
      <c r="N15" s="122"/>
      <c r="O15" s="118"/>
      <c r="P15" s="24" t="str" cm="1">
        <f t="array" ref="P15">IF(OR($C15="",NOT($A15)),"",N($B15)*(MAX(1,DICEAVG($D15)+$AZ15)+$AH15*FALSE+($AI15+$AJ15)*INT($F$3/5)))</f>
        <v/>
      </c>
      <c r="Q15" s="24" t="str">
        <f t="shared" si="8"/>
        <v/>
      </c>
      <c r="R15" s="24" t="str">
        <f t="shared" si="0"/>
        <v/>
      </c>
      <c r="S15" s="24" t="str">
        <f t="shared" si="1"/>
        <v/>
      </c>
      <c r="T15" s="24" t="str">
        <f t="shared" si="2"/>
        <v/>
      </c>
      <c r="U15" s="24" t="str">
        <f t="shared" si="3"/>
        <v/>
      </c>
      <c r="V15" s="24" t="str" cm="1">
        <f t="array" ref="V15">IF(OR($C15="",NOT($A15)),"",MAX(1,DICEAVG($H15)+$AK15*FALSE+$AV15+$AH$3))</f>
        <v/>
      </c>
      <c r="W15" s="24" t="str">
        <f t="shared" si="4"/>
        <v/>
      </c>
      <c r="X15" s="24" t="str">
        <f t="shared" si="5"/>
        <v/>
      </c>
      <c r="Y15" s="31" t="str">
        <f t="shared" si="6"/>
        <v/>
      </c>
      <c r="AA15" s="17" t="str" cm="1">
        <f t="array" ref="AA15">IF($C15="","",KW(($I15&amp;", "&amp;$AC$3),"Torrent")=TRUE)</f>
        <v/>
      </c>
      <c r="AB15" s="17" t="str" cm="1">
        <f t="array" ref="AB15">IF($C15="","",KW(($I15&amp;", "&amp;$AC$3),"Lethal Hits")=TRUE)</f>
        <v/>
      </c>
      <c r="AC15" s="17" t="str" cm="1">
        <f t="array" ref="AC15">IF($C15="","",N(KW(($I15&amp;", "&amp;$AC$3),"Sustained Hits")))</f>
        <v/>
      </c>
      <c r="AD15" s="17" t="str" cm="1">
        <f t="array" ref="AD15">IF($C15="","",KW(($I15&amp;", "&amp;$AC$3),"Devastating Wounds")=TRUE)</f>
        <v/>
      </c>
      <c r="AE15" s="17" t="str" cm="1">
        <f t="array" ref="AE15">IF($C15="","",KW(($I15&amp;", "&amp;$AC$3),"Twin-Linked")=TRUE)</f>
        <v/>
      </c>
      <c r="AF15" s="17" t="str" cm="1">
        <f t="array" ref="AF15">IF($C15="","",KW(($I15&amp;", "&amp;$AC$3),"Lance")=TRUE)</f>
        <v/>
      </c>
      <c r="AG15" s="17" t="str" cm="1">
        <f t="array" ref="AG15">IF($C15="","",KW(($I15&amp;", "&amp;$AC$3),"Heavy")=TRUE)</f>
        <v/>
      </c>
      <c r="AH15" s="17" t="str" cm="1">
        <f t="array" ref="AH15">IF($C15="","",N(KW(($I15&amp;", "&amp;$AC$3),"Rapid Fire")))</f>
        <v/>
      </c>
      <c r="AI15" s="17" t="str" cm="1">
        <f t="array" ref="AI15">IF($C15="","",N(KW(($I15&amp;", "&amp;$AC$3),"Blast")))</f>
        <v/>
      </c>
      <c r="AJ15" s="17" t="str" cm="1">
        <f t="array" ref="AJ15">IF($C15="","",N(KW(($I15&amp;", "&amp;$AC$3),"Cleave")))</f>
        <v/>
      </c>
      <c r="AK15" s="17" t="str" cm="1">
        <f t="array" ref="AK15">IF($C15="","",N(KW(($I15&amp;", "&amp;$AC$3),"Melta")))</f>
        <v/>
      </c>
      <c r="AL15" s="17" t="str" cm="1">
        <f t="array" ref="AL15">IF($C15="","",KW(($I15&amp;", "&amp;$AC$3),"Ignores Cover")=TRUE)</f>
        <v/>
      </c>
      <c r="AM15" s="17" t="str" cm="1">
        <f t="array" ref="AM15">IF($C15="","",KW(($I15&amp;", "&amp;$AC$3),"Psychic")=TRUE)</f>
        <v/>
      </c>
      <c r="AN15" s="18" t="str" cm="1">
        <f t="array" ref="AN15">IF($C15="","",_xlfn.LET(_xlpm.src,$I15&amp;", "&amp;$AC$3,_xlpm.a,KWANTI(_xlpm.src,($O$6&amp;", "&amp;$AD$3)),_xlpm.c,KWMIN(_xlpm.src,"Critical Wounds"),MIN(_xlpm.a,IF(ISNUMBER(_xlpm.c),MEDIAN(2,6,_xlpm.c),6))))</f>
        <v/>
      </c>
      <c r="AO15" s="18" t="str">
        <f t="shared" si="9"/>
        <v/>
      </c>
      <c r="AP15" s="18" t="str">
        <f t="shared" si="10"/>
        <v/>
      </c>
      <c r="AQ15" s="18" t="str">
        <f t="shared" si="11"/>
        <v/>
      </c>
      <c r="AR15" s="19" t="str">
        <f t="shared" si="7"/>
        <v/>
      </c>
      <c r="AS15" s="19" t="str" cm="1">
        <f t="array" ref="AS15">IF($C15="","",KWSUM(($I15&amp;", "&amp;$AC$3),"Hit Modifier"))</f>
        <v/>
      </c>
      <c r="AT15" s="19" t="str" cm="1">
        <f t="array" ref="AT15">IF($C15="","",KWSUM(($I15&amp;", "&amp;$AC$3),"Wound Modifier"))</f>
        <v/>
      </c>
      <c r="AU15" s="19" t="str" cm="1">
        <f t="array" ref="AU15">IF($C15="","",KWSUM(($I15&amp;", "&amp;$AC$3),"AP Modifier"))</f>
        <v/>
      </c>
      <c r="AV15" s="19" t="str" cm="1">
        <f t="array" ref="AV15">IF($C15="","",KWSUM(($I15&amp;", "&amp;$AC$3),"Damage Modifier"))</f>
        <v/>
      </c>
      <c r="AW15" s="19" t="str" cm="1">
        <f t="array" ref="AW15">IF($C15="","",_xlfn.LET(_xlpm.src,$I15&amp;", "&amp;$AC$3,_xlpm.full,ISNUMBER(_xlfn.XMATCH("Reroll Hits",TRIM(_xlfn.TEXTSPLIT(_xlpm.src,",")))),_xlpm.r,KW(_xlpm.src,"Reroll Hits"),IF(_xlpm.full,2,IF(N(_xlpm.r)&gt;=1,1,0))))</f>
        <v/>
      </c>
      <c r="AX15" s="19" t="str" cm="1">
        <f t="array" ref="AX15">IF($C15="","",_xlfn.LET(_xlpm.src,$I15&amp;", "&amp;$AC$3,_xlpm.full,OR($AE15,ISNUMBER(_xlfn.XMATCH("Reroll Wounds",TRIM(_xlfn.TEXTSPLIT(_xlpm.src,","))))),_xlpm.r,KW(_xlpm.src,"Reroll Wounds"),IF(_xlpm.full,2,IF(N(_xlpm.r)&gt;=1,1,0))))</f>
        <v/>
      </c>
      <c r="AY15" s="19" t="str">
        <f t="shared" si="12"/>
        <v/>
      </c>
      <c r="AZ15" s="19" t="str" cm="1">
        <f t="array" ref="AZ15">IF($C15="","",KWSUM($I15&amp;", "&amp;$AC$3,"Attacks Modifier"))</f>
        <v/>
      </c>
      <c r="BA15" s="19" t="str" cm="1">
        <f t="array" ref="BA15">IF($C15="","",KWSUM($I15&amp;", "&amp;$AC$3,"Strength Modifier"))</f>
        <v/>
      </c>
      <c r="BB15" s="19" t="str" cm="1">
        <f t="array" ref="BB15">IF($C15="","",KWSUM($I15&amp;", "&amp;$AC$3,"WS Modifier"))</f>
        <v/>
      </c>
      <c r="BC15" s="19" t="str" cm="1">
        <f t="array" ref="BC15">IF($C15="","",_xlfn.LET(_xlpm.c,KWMIN($I15&amp;", "&amp;$AC$3,"Critical Hits"),IF(ISNUMBER(_xlpm.c),MEDIAN(2,6,_xlpm.c),6)))</f>
        <v/>
      </c>
      <c r="BD15" s="19" t="str" cm="1">
        <f t="array" ref="BD15">IF($C15="","",KWSUM($I15&amp;", "&amp;$AC$3,"Save Modifier"))</f>
        <v/>
      </c>
      <c r="BH15" s="5" t="str">
        <v>Intercessor (Space Marines)</v>
      </c>
    </row>
    <row r="16" spans="1:66" ht="14.65" customHeight="1" x14ac:dyDescent="0.25">
      <c r="A16" s="38" t="b">
        <v>1</v>
      </c>
      <c r="B16" s="59">
        <v>1</v>
      </c>
      <c r="C16" s="30"/>
      <c r="D16"/>
      <c r="E16"/>
      <c r="F16"/>
      <c r="G16"/>
      <c r="H16"/>
      <c r="I16" s="1"/>
      <c r="J16" s="120"/>
      <c r="K16" s="122"/>
      <c r="L16" s="122"/>
      <c r="M16" s="122"/>
      <c r="N16" s="122"/>
      <c r="O16" s="118"/>
      <c r="P16" s="24" t="str" cm="1">
        <f t="array" ref="P16">IF(OR($C16="",NOT($A16)),"",N($B16)*(MAX(1,DICEAVG($D16)+$AZ16)+$AH16*FALSE+($AI16+$AJ16)*INT($F$3/5)))</f>
        <v/>
      </c>
      <c r="Q16" s="24" t="str">
        <f t="shared" si="8"/>
        <v/>
      </c>
      <c r="R16" s="24" t="str">
        <f t="shared" si="0"/>
        <v/>
      </c>
      <c r="S16" s="24" t="str">
        <f t="shared" si="1"/>
        <v/>
      </c>
      <c r="T16" s="24" t="str">
        <f t="shared" si="2"/>
        <v/>
      </c>
      <c r="U16" s="24" t="str">
        <f t="shared" si="3"/>
        <v/>
      </c>
      <c r="V16" s="24" t="str" cm="1">
        <f t="array" ref="V16">IF(OR($C16="",NOT($A16)),"",MAX(1,DICEAVG($H16)+$AK16*FALSE+$AV16+$AH$3))</f>
        <v/>
      </c>
      <c r="W16" s="24" t="str">
        <f t="shared" si="4"/>
        <v/>
      </c>
      <c r="X16" s="24" t="str">
        <f t="shared" si="5"/>
        <v/>
      </c>
      <c r="Y16" s="31" t="str">
        <f t="shared" si="6"/>
        <v/>
      </c>
      <c r="AA16" s="17" t="str" cm="1">
        <f t="array" ref="AA16">IF($C16="","",KW(($I16&amp;", "&amp;$AC$3),"Torrent")=TRUE)</f>
        <v/>
      </c>
      <c r="AB16" s="17" t="str" cm="1">
        <f t="array" ref="AB16">IF($C16="","",KW(($I16&amp;", "&amp;$AC$3),"Lethal Hits")=TRUE)</f>
        <v/>
      </c>
      <c r="AC16" s="17" t="str" cm="1">
        <f t="array" ref="AC16">IF($C16="","",N(KW(($I16&amp;", "&amp;$AC$3),"Sustained Hits")))</f>
        <v/>
      </c>
      <c r="AD16" s="17" t="str" cm="1">
        <f t="array" ref="AD16">IF($C16="","",KW(($I16&amp;", "&amp;$AC$3),"Devastating Wounds")=TRUE)</f>
        <v/>
      </c>
      <c r="AE16" s="17" t="str" cm="1">
        <f t="array" ref="AE16">IF($C16="","",KW(($I16&amp;", "&amp;$AC$3),"Twin-Linked")=TRUE)</f>
        <v/>
      </c>
      <c r="AF16" s="17" t="str" cm="1">
        <f t="array" ref="AF16">IF($C16="","",KW(($I16&amp;", "&amp;$AC$3),"Lance")=TRUE)</f>
        <v/>
      </c>
      <c r="AG16" s="17" t="str" cm="1">
        <f t="array" ref="AG16">IF($C16="","",KW(($I16&amp;", "&amp;$AC$3),"Heavy")=TRUE)</f>
        <v/>
      </c>
      <c r="AH16" s="17" t="str" cm="1">
        <f t="array" ref="AH16">IF($C16="","",N(KW(($I16&amp;", "&amp;$AC$3),"Rapid Fire")))</f>
        <v/>
      </c>
      <c r="AI16" s="17" t="str" cm="1">
        <f t="array" ref="AI16">IF($C16="","",N(KW(($I16&amp;", "&amp;$AC$3),"Blast")))</f>
        <v/>
      </c>
      <c r="AJ16" s="17" t="str" cm="1">
        <f t="array" ref="AJ16">IF($C16="","",N(KW(($I16&amp;", "&amp;$AC$3),"Cleave")))</f>
        <v/>
      </c>
      <c r="AK16" s="17" t="str" cm="1">
        <f t="array" ref="AK16">IF($C16="","",N(KW(($I16&amp;", "&amp;$AC$3),"Melta")))</f>
        <v/>
      </c>
      <c r="AL16" s="17" t="str" cm="1">
        <f t="array" ref="AL16">IF($C16="","",KW(($I16&amp;", "&amp;$AC$3),"Ignores Cover")=TRUE)</f>
        <v/>
      </c>
      <c r="AM16" s="17" t="str" cm="1">
        <f t="array" ref="AM16">IF($C16="","",KW(($I16&amp;", "&amp;$AC$3),"Psychic")=TRUE)</f>
        <v/>
      </c>
      <c r="AN16" s="18" t="str" cm="1">
        <f t="array" ref="AN16">IF($C16="","",_xlfn.LET(_xlpm.src,$I16&amp;", "&amp;$AC$3,_xlpm.a,KWANTI(_xlpm.src,($O$6&amp;", "&amp;$AD$3)),_xlpm.c,KWMIN(_xlpm.src,"Critical Wounds"),MIN(_xlpm.a,IF(ISNUMBER(_xlpm.c),MEDIAN(2,6,_xlpm.c),6))))</f>
        <v/>
      </c>
      <c r="AO16" s="18" t="str">
        <f t="shared" si="9"/>
        <v/>
      </c>
      <c r="AP16" s="18" t="str">
        <f t="shared" si="10"/>
        <v/>
      </c>
      <c r="AQ16" s="18" t="str">
        <f t="shared" si="11"/>
        <v/>
      </c>
      <c r="AR16" s="19" t="str">
        <f t="shared" si="7"/>
        <v/>
      </c>
      <c r="AS16" s="19" t="str" cm="1">
        <f t="array" ref="AS16">IF($C16="","",KWSUM(($I16&amp;", "&amp;$AC$3),"Hit Modifier"))</f>
        <v/>
      </c>
      <c r="AT16" s="19" t="str" cm="1">
        <f t="array" ref="AT16">IF($C16="","",KWSUM(($I16&amp;", "&amp;$AC$3),"Wound Modifier"))</f>
        <v/>
      </c>
      <c r="AU16" s="19" t="str" cm="1">
        <f t="array" ref="AU16">IF($C16="","",KWSUM(($I16&amp;", "&amp;$AC$3),"AP Modifier"))</f>
        <v/>
      </c>
      <c r="AV16" s="19" t="str" cm="1">
        <f t="array" ref="AV16">IF($C16="","",KWSUM(($I16&amp;", "&amp;$AC$3),"Damage Modifier"))</f>
        <v/>
      </c>
      <c r="AW16" s="19" t="str" cm="1">
        <f t="array" ref="AW16">IF($C16="","",_xlfn.LET(_xlpm.src,$I16&amp;", "&amp;$AC$3,_xlpm.full,ISNUMBER(_xlfn.XMATCH("Reroll Hits",TRIM(_xlfn.TEXTSPLIT(_xlpm.src,",")))),_xlpm.r,KW(_xlpm.src,"Reroll Hits"),IF(_xlpm.full,2,IF(N(_xlpm.r)&gt;=1,1,0))))</f>
        <v/>
      </c>
      <c r="AX16" s="19" t="str" cm="1">
        <f t="array" ref="AX16">IF($C16="","",_xlfn.LET(_xlpm.src,$I16&amp;", "&amp;$AC$3,_xlpm.full,OR($AE16,ISNUMBER(_xlfn.XMATCH("Reroll Wounds",TRIM(_xlfn.TEXTSPLIT(_xlpm.src,","))))),_xlpm.r,KW(_xlpm.src,"Reroll Wounds"),IF(_xlpm.full,2,IF(N(_xlpm.r)&gt;=1,1,0))))</f>
        <v/>
      </c>
      <c r="AY16" s="19" t="str">
        <f t="shared" si="12"/>
        <v/>
      </c>
      <c r="AZ16" s="19" t="str" cm="1">
        <f t="array" ref="AZ16">IF($C16="","",KWSUM($I16&amp;", "&amp;$AC$3,"Attacks Modifier"))</f>
        <v/>
      </c>
      <c r="BA16" s="19" t="str" cm="1">
        <f t="array" ref="BA16">IF($C16="","",KWSUM($I16&amp;", "&amp;$AC$3,"Strength Modifier"))</f>
        <v/>
      </c>
      <c r="BB16" s="19" t="str" cm="1">
        <f t="array" ref="BB16">IF($C16="","",KWSUM($I16&amp;", "&amp;$AC$3,"WS Modifier"))</f>
        <v/>
      </c>
      <c r="BC16" s="19" t="str" cm="1">
        <f t="array" ref="BC16">IF($C16="","",_xlfn.LET(_xlpm.c,KWMIN($I16&amp;", "&amp;$AC$3,"Critical Hits"),IF(ISNUMBER(_xlpm.c),MEDIAN(2,6,_xlpm.c),6)))</f>
        <v/>
      </c>
      <c r="BD16" s="19" t="str" cm="1">
        <f t="array" ref="BD16">IF($C16="","",KWSUM($I16&amp;", "&amp;$AC$3,"Save Modifier"))</f>
        <v/>
      </c>
      <c r="BH16" s="5" t="str">
        <v>Kabalite Warrior (Drukhari)</v>
      </c>
    </row>
    <row r="17" spans="1:60" ht="14.65" customHeight="1" x14ac:dyDescent="0.25">
      <c r="A17" s="38" t="b">
        <v>1</v>
      </c>
      <c r="B17" s="59">
        <v>1</v>
      </c>
      <c r="C17" s="30"/>
      <c r="D17"/>
      <c r="E17"/>
      <c r="F17"/>
      <c r="G17"/>
      <c r="H17"/>
      <c r="I17" s="1"/>
      <c r="J17" s="120"/>
      <c r="K17" s="122"/>
      <c r="L17" s="122"/>
      <c r="M17" s="122"/>
      <c r="N17" s="122"/>
      <c r="O17" s="118"/>
      <c r="P17" s="24" t="str" cm="1">
        <f t="array" ref="P17">IF(OR($C17="",NOT($A17)),"",N($B17)*(MAX(1,DICEAVG($D17)+$AZ17)+$AH17*FALSE+($AI17+$AJ17)*INT($F$3/5)))</f>
        <v/>
      </c>
      <c r="Q17" s="24" t="str">
        <f t="shared" si="8"/>
        <v/>
      </c>
      <c r="R17" s="24" t="str">
        <f t="shared" si="0"/>
        <v/>
      </c>
      <c r="S17" s="24" t="str">
        <f t="shared" si="1"/>
        <v/>
      </c>
      <c r="T17" s="24" t="str">
        <f t="shared" si="2"/>
        <v/>
      </c>
      <c r="U17" s="24" t="str">
        <f t="shared" si="3"/>
        <v/>
      </c>
      <c r="V17" s="24" t="str" cm="1">
        <f t="array" ref="V17">IF(OR($C17="",NOT($A17)),"",MAX(1,DICEAVG($H17)+$AK17*FALSE+$AV17+$AH$3))</f>
        <v/>
      </c>
      <c r="W17" s="24" t="str">
        <f t="shared" si="4"/>
        <v/>
      </c>
      <c r="X17" s="24" t="str">
        <f t="shared" si="5"/>
        <v/>
      </c>
      <c r="Y17" s="31" t="str">
        <f t="shared" si="6"/>
        <v/>
      </c>
      <c r="AA17" s="17" t="str" cm="1">
        <f t="array" ref="AA17">IF($C17="","",KW(($I17&amp;", "&amp;$AC$3),"Torrent")=TRUE)</f>
        <v/>
      </c>
      <c r="AB17" s="17" t="str" cm="1">
        <f t="array" ref="AB17">IF($C17="","",KW(($I17&amp;", "&amp;$AC$3),"Lethal Hits")=TRUE)</f>
        <v/>
      </c>
      <c r="AC17" s="17" t="str" cm="1">
        <f t="array" ref="AC17">IF($C17="","",N(KW(($I17&amp;", "&amp;$AC$3),"Sustained Hits")))</f>
        <v/>
      </c>
      <c r="AD17" s="17" t="str" cm="1">
        <f t="array" ref="AD17">IF($C17="","",KW(($I17&amp;", "&amp;$AC$3),"Devastating Wounds")=TRUE)</f>
        <v/>
      </c>
      <c r="AE17" s="17" t="str" cm="1">
        <f t="array" ref="AE17">IF($C17="","",KW(($I17&amp;", "&amp;$AC$3),"Twin-Linked")=TRUE)</f>
        <v/>
      </c>
      <c r="AF17" s="17" t="str" cm="1">
        <f t="array" ref="AF17">IF($C17="","",KW(($I17&amp;", "&amp;$AC$3),"Lance")=TRUE)</f>
        <v/>
      </c>
      <c r="AG17" s="17" t="str" cm="1">
        <f t="array" ref="AG17">IF($C17="","",KW(($I17&amp;", "&amp;$AC$3),"Heavy")=TRUE)</f>
        <v/>
      </c>
      <c r="AH17" s="17" t="str" cm="1">
        <f t="array" ref="AH17">IF($C17="","",N(KW(($I17&amp;", "&amp;$AC$3),"Rapid Fire")))</f>
        <v/>
      </c>
      <c r="AI17" s="17" t="str" cm="1">
        <f t="array" ref="AI17">IF($C17="","",N(KW(($I17&amp;", "&amp;$AC$3),"Blast")))</f>
        <v/>
      </c>
      <c r="AJ17" s="17" t="str" cm="1">
        <f t="array" ref="AJ17">IF($C17="","",N(KW(($I17&amp;", "&amp;$AC$3),"Cleave")))</f>
        <v/>
      </c>
      <c r="AK17" s="17" t="str" cm="1">
        <f t="array" ref="AK17">IF($C17="","",N(KW(($I17&amp;", "&amp;$AC$3),"Melta")))</f>
        <v/>
      </c>
      <c r="AL17" s="17" t="str" cm="1">
        <f t="array" ref="AL17">IF($C17="","",KW(($I17&amp;", "&amp;$AC$3),"Ignores Cover")=TRUE)</f>
        <v/>
      </c>
      <c r="AM17" s="17" t="str" cm="1">
        <f t="array" ref="AM17">IF($C17="","",KW(($I17&amp;", "&amp;$AC$3),"Psychic")=TRUE)</f>
        <v/>
      </c>
      <c r="AN17" s="18" t="str" cm="1">
        <f t="array" ref="AN17">IF($C17="","",_xlfn.LET(_xlpm.src,$I17&amp;", "&amp;$AC$3,_xlpm.a,KWANTI(_xlpm.src,($O$6&amp;", "&amp;$AD$3)),_xlpm.c,KWMIN(_xlpm.src,"Critical Wounds"),MIN(_xlpm.a,IF(ISNUMBER(_xlpm.c),MEDIAN(2,6,_xlpm.c),6))))</f>
        <v/>
      </c>
      <c r="AO17" s="18" t="str">
        <f t="shared" si="9"/>
        <v/>
      </c>
      <c r="AP17" s="18" t="str">
        <f t="shared" si="10"/>
        <v/>
      </c>
      <c r="AQ17" s="18" t="str">
        <f t="shared" si="11"/>
        <v/>
      </c>
      <c r="AR17" s="19" t="str">
        <f t="shared" si="7"/>
        <v/>
      </c>
      <c r="AS17" s="19" t="str" cm="1">
        <f t="array" ref="AS17">IF($C17="","",KWSUM(($I17&amp;", "&amp;$AC$3),"Hit Modifier"))</f>
        <v/>
      </c>
      <c r="AT17" s="19" t="str" cm="1">
        <f t="array" ref="AT17">IF($C17="","",KWSUM(($I17&amp;", "&amp;$AC$3),"Wound Modifier"))</f>
        <v/>
      </c>
      <c r="AU17" s="19" t="str" cm="1">
        <f t="array" ref="AU17">IF($C17="","",KWSUM(($I17&amp;", "&amp;$AC$3),"AP Modifier"))</f>
        <v/>
      </c>
      <c r="AV17" s="19" t="str" cm="1">
        <f t="array" ref="AV17">IF($C17="","",KWSUM(($I17&amp;", "&amp;$AC$3),"Damage Modifier"))</f>
        <v/>
      </c>
      <c r="AW17" s="19" t="str" cm="1">
        <f t="array" ref="AW17">IF($C17="","",_xlfn.LET(_xlpm.src,$I17&amp;", "&amp;$AC$3,_xlpm.full,ISNUMBER(_xlfn.XMATCH("Reroll Hits",TRIM(_xlfn.TEXTSPLIT(_xlpm.src,",")))),_xlpm.r,KW(_xlpm.src,"Reroll Hits"),IF(_xlpm.full,2,IF(N(_xlpm.r)&gt;=1,1,0))))</f>
        <v/>
      </c>
      <c r="AX17" s="19" t="str" cm="1">
        <f t="array" ref="AX17">IF($C17="","",_xlfn.LET(_xlpm.src,$I17&amp;", "&amp;$AC$3,_xlpm.full,OR($AE17,ISNUMBER(_xlfn.XMATCH("Reroll Wounds",TRIM(_xlfn.TEXTSPLIT(_xlpm.src,","))))),_xlpm.r,KW(_xlpm.src,"Reroll Wounds"),IF(_xlpm.full,2,IF(N(_xlpm.r)&gt;=1,1,0))))</f>
        <v/>
      </c>
      <c r="AY17" s="19" t="str">
        <f t="shared" si="12"/>
        <v/>
      </c>
      <c r="AZ17" s="19" t="str" cm="1">
        <f t="array" ref="AZ17">IF($C17="","",KWSUM($I17&amp;", "&amp;$AC$3,"Attacks Modifier"))</f>
        <v/>
      </c>
      <c r="BA17" s="19" t="str" cm="1">
        <f t="array" ref="BA17">IF($C17="","",KWSUM($I17&amp;", "&amp;$AC$3,"Strength Modifier"))</f>
        <v/>
      </c>
      <c r="BB17" s="19" t="str" cm="1">
        <f t="array" ref="BB17">IF($C17="","",KWSUM($I17&amp;", "&amp;$AC$3,"WS Modifier"))</f>
        <v/>
      </c>
      <c r="BC17" s="19" t="str" cm="1">
        <f t="array" ref="BC17">IF($C17="","",_xlfn.LET(_xlpm.c,KWMIN($I17&amp;", "&amp;$AC$3,"Critical Hits"),IF(ISNUMBER(_xlpm.c),MEDIAN(2,6,_xlpm.c),6)))</f>
        <v/>
      </c>
      <c r="BD17" s="19" t="str" cm="1">
        <f t="array" ref="BD17">IF($C17="","",KWSUM($I17&amp;", "&amp;$AC$3,"Save Modifier"))</f>
        <v/>
      </c>
      <c r="BH17" s="5" t="str">
        <v>Ravager (Drukhari)</v>
      </c>
    </row>
    <row r="18" spans="1:60" ht="14.65" customHeight="1" x14ac:dyDescent="0.25">
      <c r="A18" s="38" t="b">
        <v>1</v>
      </c>
      <c r="B18" s="59">
        <v>1</v>
      </c>
      <c r="C18" s="30"/>
      <c r="D18"/>
      <c r="E18"/>
      <c r="F18"/>
      <c r="G18"/>
      <c r="H18"/>
      <c r="I18" s="1"/>
      <c r="J18" s="120"/>
      <c r="K18" s="122"/>
      <c r="L18" s="122"/>
      <c r="M18" s="122"/>
      <c r="N18" s="122"/>
      <c r="O18" s="118"/>
      <c r="P18" s="24" t="str" cm="1">
        <f t="array" ref="P18">IF(OR($C18="",NOT($A18)),"",N($B18)*(MAX(1,DICEAVG($D18)+$AZ18)+$AH18*FALSE+($AI18+$AJ18)*INT($F$3/5)))</f>
        <v/>
      </c>
      <c r="Q18" s="24" t="str">
        <f t="shared" si="8"/>
        <v/>
      </c>
      <c r="R18" s="24" t="str">
        <f t="shared" si="0"/>
        <v/>
      </c>
      <c r="S18" s="24" t="str">
        <f t="shared" si="1"/>
        <v/>
      </c>
      <c r="T18" s="24" t="str">
        <f t="shared" si="2"/>
        <v/>
      </c>
      <c r="U18" s="24" t="str">
        <f t="shared" si="3"/>
        <v/>
      </c>
      <c r="V18" s="24" t="str" cm="1">
        <f t="array" ref="V18">IF(OR($C18="",NOT($A18)),"",MAX(1,DICEAVG($H18)+$AK18*FALSE+$AV18+$AH$3))</f>
        <v/>
      </c>
      <c r="W18" s="24" t="str">
        <f t="shared" si="4"/>
        <v/>
      </c>
      <c r="X18" s="24" t="str">
        <f t="shared" si="5"/>
        <v/>
      </c>
      <c r="Y18" s="31" t="str">
        <f t="shared" si="6"/>
        <v/>
      </c>
      <c r="AA18" s="17" t="str" cm="1">
        <f t="array" ref="AA18">IF($C18="","",KW(($I18&amp;", "&amp;$AC$3),"Torrent")=TRUE)</f>
        <v/>
      </c>
      <c r="AB18" s="17" t="str" cm="1">
        <f t="array" ref="AB18">IF($C18="","",KW(($I18&amp;", "&amp;$AC$3),"Lethal Hits")=TRUE)</f>
        <v/>
      </c>
      <c r="AC18" s="17" t="str" cm="1">
        <f t="array" ref="AC18">IF($C18="","",N(KW(($I18&amp;", "&amp;$AC$3),"Sustained Hits")))</f>
        <v/>
      </c>
      <c r="AD18" s="17" t="str" cm="1">
        <f t="array" ref="AD18">IF($C18="","",KW(($I18&amp;", "&amp;$AC$3),"Devastating Wounds")=TRUE)</f>
        <v/>
      </c>
      <c r="AE18" s="17" t="str" cm="1">
        <f t="array" ref="AE18">IF($C18="","",KW(($I18&amp;", "&amp;$AC$3),"Twin-Linked")=TRUE)</f>
        <v/>
      </c>
      <c r="AF18" s="17" t="str" cm="1">
        <f t="array" ref="AF18">IF($C18="","",KW(($I18&amp;", "&amp;$AC$3),"Lance")=TRUE)</f>
        <v/>
      </c>
      <c r="AG18" s="17" t="str" cm="1">
        <f t="array" ref="AG18">IF($C18="","",KW(($I18&amp;", "&amp;$AC$3),"Heavy")=TRUE)</f>
        <v/>
      </c>
      <c r="AH18" s="17" t="str" cm="1">
        <f t="array" ref="AH18">IF($C18="","",N(KW(($I18&amp;", "&amp;$AC$3),"Rapid Fire")))</f>
        <v/>
      </c>
      <c r="AI18" s="17" t="str" cm="1">
        <f t="array" ref="AI18">IF($C18="","",N(KW(($I18&amp;", "&amp;$AC$3),"Blast")))</f>
        <v/>
      </c>
      <c r="AJ18" s="17" t="str" cm="1">
        <f t="array" ref="AJ18">IF($C18="","",N(KW(($I18&amp;", "&amp;$AC$3),"Cleave")))</f>
        <v/>
      </c>
      <c r="AK18" s="17" t="str" cm="1">
        <f t="array" ref="AK18">IF($C18="","",N(KW(($I18&amp;", "&amp;$AC$3),"Melta")))</f>
        <v/>
      </c>
      <c r="AL18" s="17" t="str" cm="1">
        <f t="array" ref="AL18">IF($C18="","",KW(($I18&amp;", "&amp;$AC$3),"Ignores Cover")=TRUE)</f>
        <v/>
      </c>
      <c r="AM18" s="17" t="str" cm="1">
        <f t="array" ref="AM18">IF($C18="","",KW(($I18&amp;", "&amp;$AC$3),"Psychic")=TRUE)</f>
        <v/>
      </c>
      <c r="AN18" s="18" t="str" cm="1">
        <f t="array" ref="AN18">IF($C18="","",_xlfn.LET(_xlpm.src,$I18&amp;", "&amp;$AC$3,_xlpm.a,KWANTI(_xlpm.src,($O$6&amp;", "&amp;$AD$3)),_xlpm.c,KWMIN(_xlpm.src,"Critical Wounds"),MIN(_xlpm.a,IF(ISNUMBER(_xlpm.c),MEDIAN(2,6,_xlpm.c),6))))</f>
        <v/>
      </c>
      <c r="AO18" s="18" t="str">
        <f t="shared" si="9"/>
        <v/>
      </c>
      <c r="AP18" s="18" t="str">
        <f t="shared" si="10"/>
        <v/>
      </c>
      <c r="AQ18" s="18" t="str">
        <f t="shared" si="11"/>
        <v/>
      </c>
      <c r="AR18" s="19" t="str">
        <f t="shared" si="7"/>
        <v/>
      </c>
      <c r="AS18" s="19" t="str" cm="1">
        <f t="array" ref="AS18">IF($C18="","",KWSUM(($I18&amp;", "&amp;$AC$3),"Hit Modifier"))</f>
        <v/>
      </c>
      <c r="AT18" s="19" t="str" cm="1">
        <f t="array" ref="AT18">IF($C18="","",KWSUM(($I18&amp;", "&amp;$AC$3),"Wound Modifier"))</f>
        <v/>
      </c>
      <c r="AU18" s="19" t="str" cm="1">
        <f t="array" ref="AU18">IF($C18="","",KWSUM(($I18&amp;", "&amp;$AC$3),"AP Modifier"))</f>
        <v/>
      </c>
      <c r="AV18" s="19" t="str" cm="1">
        <f t="array" ref="AV18">IF($C18="","",KWSUM(($I18&amp;", "&amp;$AC$3),"Damage Modifier"))</f>
        <v/>
      </c>
      <c r="AW18" s="19" t="str" cm="1">
        <f t="array" ref="AW18">IF($C18="","",_xlfn.LET(_xlpm.src,$I18&amp;", "&amp;$AC$3,_xlpm.full,ISNUMBER(_xlfn.XMATCH("Reroll Hits",TRIM(_xlfn.TEXTSPLIT(_xlpm.src,",")))),_xlpm.r,KW(_xlpm.src,"Reroll Hits"),IF(_xlpm.full,2,IF(N(_xlpm.r)&gt;=1,1,0))))</f>
        <v/>
      </c>
      <c r="AX18" s="19" t="str" cm="1">
        <f t="array" ref="AX18">IF($C18="","",_xlfn.LET(_xlpm.src,$I18&amp;", "&amp;$AC$3,_xlpm.full,OR($AE18,ISNUMBER(_xlfn.XMATCH("Reroll Wounds",TRIM(_xlfn.TEXTSPLIT(_xlpm.src,","))))),_xlpm.r,KW(_xlpm.src,"Reroll Wounds"),IF(_xlpm.full,2,IF(N(_xlpm.r)&gt;=1,1,0))))</f>
        <v/>
      </c>
      <c r="AY18" s="19" t="str">
        <f t="shared" si="12"/>
        <v/>
      </c>
      <c r="AZ18" s="19" t="str" cm="1">
        <f t="array" ref="AZ18">IF($C18="","",KWSUM($I18&amp;", "&amp;$AC$3,"Attacks Modifier"))</f>
        <v/>
      </c>
      <c r="BA18" s="19" t="str" cm="1">
        <f t="array" ref="BA18">IF($C18="","",KWSUM($I18&amp;", "&amp;$AC$3,"Strength Modifier"))</f>
        <v/>
      </c>
      <c r="BB18" s="19" t="str" cm="1">
        <f t="array" ref="BB18">IF($C18="","",KWSUM($I18&amp;", "&amp;$AC$3,"WS Modifier"))</f>
        <v/>
      </c>
      <c r="BC18" s="19" t="str" cm="1">
        <f t="array" ref="BC18">IF($C18="","",_xlfn.LET(_xlpm.c,KWMIN($I18&amp;", "&amp;$AC$3,"Critical Hits"),IF(ISNUMBER(_xlpm.c),MEDIAN(2,6,_xlpm.c),6)))</f>
        <v/>
      </c>
      <c r="BD18" s="19" t="str" cm="1">
        <f t="array" ref="BD18">IF($C18="","",KWSUM($I18&amp;", "&amp;$AC$3,"Save Modifier"))</f>
        <v/>
      </c>
      <c r="BH18" s="5" t="str">
        <v>Guardsman (Imperial Guard)</v>
      </c>
    </row>
    <row r="19" spans="1:60" ht="14.65" customHeight="1" x14ac:dyDescent="0.25">
      <c r="A19" s="38" t="b">
        <v>1</v>
      </c>
      <c r="B19" s="59">
        <v>1</v>
      </c>
      <c r="C19" s="30"/>
      <c r="D19"/>
      <c r="E19"/>
      <c r="F19"/>
      <c r="G19"/>
      <c r="H19"/>
      <c r="I19" s="1"/>
      <c r="J19" s="120"/>
      <c r="K19" s="122"/>
      <c r="L19" s="122"/>
      <c r="M19" s="122"/>
      <c r="N19" s="122"/>
      <c r="O19" s="118"/>
      <c r="P19" s="24" t="str" cm="1">
        <f t="array" ref="P19">IF(OR($C19="",NOT($A19)),"",N($B19)*(MAX(1,DICEAVG($D19)+$AZ19)+$AH19*FALSE+($AI19+$AJ19)*INT($F$3/5)))</f>
        <v/>
      </c>
      <c r="Q19" s="24" t="str">
        <f t="shared" si="8"/>
        <v/>
      </c>
      <c r="R19" s="24" t="str">
        <f t="shared" si="0"/>
        <v/>
      </c>
      <c r="S19" s="24" t="str">
        <f t="shared" si="1"/>
        <v/>
      </c>
      <c r="T19" s="24" t="str">
        <f t="shared" si="2"/>
        <v/>
      </c>
      <c r="U19" s="24" t="str">
        <f t="shared" si="3"/>
        <v/>
      </c>
      <c r="V19" s="24" t="str" cm="1">
        <f t="array" ref="V19">IF(OR($C19="",NOT($A19)),"",MAX(1,DICEAVG($H19)+$AK19*FALSE+$AV19+$AH$3))</f>
        <v/>
      </c>
      <c r="W19" s="24" t="str">
        <f t="shared" si="4"/>
        <v/>
      </c>
      <c r="X19" s="24" t="str">
        <f t="shared" si="5"/>
        <v/>
      </c>
      <c r="Y19" s="31" t="str">
        <f t="shared" si="6"/>
        <v/>
      </c>
      <c r="AA19" s="17" t="str" cm="1">
        <f t="array" ref="AA19">IF($C19="","",KW(($I19&amp;", "&amp;$AC$3),"Torrent")=TRUE)</f>
        <v/>
      </c>
      <c r="AB19" s="17" t="str" cm="1">
        <f t="array" ref="AB19">IF($C19="","",KW(($I19&amp;", "&amp;$AC$3),"Lethal Hits")=TRUE)</f>
        <v/>
      </c>
      <c r="AC19" s="17" t="str" cm="1">
        <f t="array" ref="AC19">IF($C19="","",N(KW(($I19&amp;", "&amp;$AC$3),"Sustained Hits")))</f>
        <v/>
      </c>
      <c r="AD19" s="17" t="str" cm="1">
        <f t="array" ref="AD19">IF($C19="","",KW(($I19&amp;", "&amp;$AC$3),"Devastating Wounds")=TRUE)</f>
        <v/>
      </c>
      <c r="AE19" s="17" t="str" cm="1">
        <f t="array" ref="AE19">IF($C19="","",KW(($I19&amp;", "&amp;$AC$3),"Twin-Linked")=TRUE)</f>
        <v/>
      </c>
      <c r="AF19" s="17" t="str" cm="1">
        <f t="array" ref="AF19">IF($C19="","",KW(($I19&amp;", "&amp;$AC$3),"Lance")=TRUE)</f>
        <v/>
      </c>
      <c r="AG19" s="17" t="str" cm="1">
        <f t="array" ref="AG19">IF($C19="","",KW(($I19&amp;", "&amp;$AC$3),"Heavy")=TRUE)</f>
        <v/>
      </c>
      <c r="AH19" s="17" t="str" cm="1">
        <f t="array" ref="AH19">IF($C19="","",N(KW(($I19&amp;", "&amp;$AC$3),"Rapid Fire")))</f>
        <v/>
      </c>
      <c r="AI19" s="17" t="str" cm="1">
        <f t="array" ref="AI19">IF($C19="","",N(KW(($I19&amp;", "&amp;$AC$3),"Blast")))</f>
        <v/>
      </c>
      <c r="AJ19" s="17" t="str" cm="1">
        <f t="array" ref="AJ19">IF($C19="","",N(KW(($I19&amp;", "&amp;$AC$3),"Cleave")))</f>
        <v/>
      </c>
      <c r="AK19" s="17" t="str" cm="1">
        <f t="array" ref="AK19">IF($C19="","",N(KW(($I19&amp;", "&amp;$AC$3),"Melta")))</f>
        <v/>
      </c>
      <c r="AL19" s="17" t="str" cm="1">
        <f t="array" ref="AL19">IF($C19="","",KW(($I19&amp;", "&amp;$AC$3),"Ignores Cover")=TRUE)</f>
        <v/>
      </c>
      <c r="AM19" s="17" t="str" cm="1">
        <f t="array" ref="AM19">IF($C19="","",KW(($I19&amp;", "&amp;$AC$3),"Psychic")=TRUE)</f>
        <v/>
      </c>
      <c r="AN19" s="18" t="str" cm="1">
        <f t="array" ref="AN19">IF($C19="","",_xlfn.LET(_xlpm.src,$I19&amp;", "&amp;$AC$3,_xlpm.a,KWANTI(_xlpm.src,($O$6&amp;", "&amp;$AD$3)),_xlpm.c,KWMIN(_xlpm.src,"Critical Wounds"),MIN(_xlpm.a,IF(ISNUMBER(_xlpm.c),MEDIAN(2,6,_xlpm.c),6))))</f>
        <v/>
      </c>
      <c r="AO19" s="18" t="str">
        <f t="shared" si="9"/>
        <v/>
      </c>
      <c r="AP19" s="18" t="str">
        <f t="shared" si="10"/>
        <v/>
      </c>
      <c r="AQ19" s="18" t="str">
        <f t="shared" si="11"/>
        <v/>
      </c>
      <c r="AR19" s="19" t="str">
        <f t="shared" si="7"/>
        <v/>
      </c>
      <c r="AS19" s="19" t="str" cm="1">
        <f t="array" ref="AS19">IF($C19="","",KWSUM(($I19&amp;", "&amp;$AC$3),"Hit Modifier"))</f>
        <v/>
      </c>
      <c r="AT19" s="19" t="str" cm="1">
        <f t="array" ref="AT19">IF($C19="","",KWSUM(($I19&amp;", "&amp;$AC$3),"Wound Modifier"))</f>
        <v/>
      </c>
      <c r="AU19" s="19" t="str" cm="1">
        <f t="array" ref="AU19">IF($C19="","",KWSUM(($I19&amp;", "&amp;$AC$3),"AP Modifier"))</f>
        <v/>
      </c>
      <c r="AV19" s="19" t="str" cm="1">
        <f t="array" ref="AV19">IF($C19="","",KWSUM(($I19&amp;", "&amp;$AC$3),"Damage Modifier"))</f>
        <v/>
      </c>
      <c r="AW19" s="19" t="str" cm="1">
        <f t="array" ref="AW19">IF($C19="","",_xlfn.LET(_xlpm.src,$I19&amp;", "&amp;$AC$3,_xlpm.full,ISNUMBER(_xlfn.XMATCH("Reroll Hits",TRIM(_xlfn.TEXTSPLIT(_xlpm.src,",")))),_xlpm.r,KW(_xlpm.src,"Reroll Hits"),IF(_xlpm.full,2,IF(N(_xlpm.r)&gt;=1,1,0))))</f>
        <v/>
      </c>
      <c r="AX19" s="19" t="str" cm="1">
        <f t="array" ref="AX19">IF($C19="","",_xlfn.LET(_xlpm.src,$I19&amp;", "&amp;$AC$3,_xlpm.full,OR($AE19,ISNUMBER(_xlfn.XMATCH("Reroll Wounds",TRIM(_xlfn.TEXTSPLIT(_xlpm.src,","))))),_xlpm.r,KW(_xlpm.src,"Reroll Wounds"),IF(_xlpm.full,2,IF(N(_xlpm.r)&gt;=1,1,0))))</f>
        <v/>
      </c>
      <c r="AY19" s="19" t="str">
        <f t="shared" si="12"/>
        <v/>
      </c>
      <c r="AZ19" s="19" t="str" cm="1">
        <f t="array" ref="AZ19">IF($C19="","",KWSUM($I19&amp;", "&amp;$AC$3,"Attacks Modifier"))</f>
        <v/>
      </c>
      <c r="BA19" s="19" t="str" cm="1">
        <f t="array" ref="BA19">IF($C19="","",KWSUM($I19&amp;", "&amp;$AC$3,"Strength Modifier"))</f>
        <v/>
      </c>
      <c r="BB19" s="19" t="str" cm="1">
        <f t="array" ref="BB19">IF($C19="","",KWSUM($I19&amp;", "&amp;$AC$3,"WS Modifier"))</f>
        <v/>
      </c>
      <c r="BC19" s="19" t="str" cm="1">
        <f t="array" ref="BC19">IF($C19="","",_xlfn.LET(_xlpm.c,KWMIN($I19&amp;", "&amp;$AC$3,"Critical Hits"),IF(ISNUMBER(_xlpm.c),MEDIAN(2,6,_xlpm.c),6)))</f>
        <v/>
      </c>
      <c r="BD19" s="19" t="str" cm="1">
        <f t="array" ref="BD19">IF($C19="","",KWSUM($I19&amp;", "&amp;$AC$3,"Save Modifier"))</f>
        <v/>
      </c>
      <c r="BH19" s="5" t="str">
        <v>Tempestus Scion (Imperial Guard)</v>
      </c>
    </row>
    <row r="20" spans="1:60" ht="14.65" customHeight="1" x14ac:dyDescent="0.25">
      <c r="A20" s="38" t="b">
        <v>1</v>
      </c>
      <c r="B20" s="59">
        <v>1</v>
      </c>
      <c r="C20" s="30"/>
      <c r="D20"/>
      <c r="E20"/>
      <c r="F20"/>
      <c r="G20"/>
      <c r="H20"/>
      <c r="I20" s="1"/>
      <c r="J20" s="120"/>
      <c r="K20" s="122"/>
      <c r="L20" s="122"/>
      <c r="M20" s="122"/>
      <c r="N20" s="122"/>
      <c r="O20" s="118"/>
      <c r="P20" s="24" t="str" cm="1">
        <f t="array" ref="P20">IF(OR($C20="",NOT($A20)),"",N($B20)*(MAX(1,DICEAVG($D20)+$AZ20)+$AH20*FALSE+($AI20+$AJ20)*INT($F$3/5)))</f>
        <v/>
      </c>
      <c r="Q20" s="24" t="str">
        <f t="shared" si="8"/>
        <v/>
      </c>
      <c r="R20" s="24" t="str">
        <f t="shared" si="0"/>
        <v/>
      </c>
      <c r="S20" s="24" t="str">
        <f t="shared" si="1"/>
        <v/>
      </c>
      <c r="T20" s="24" t="str">
        <f t="shared" si="2"/>
        <v/>
      </c>
      <c r="U20" s="24" t="str">
        <f t="shared" si="3"/>
        <v/>
      </c>
      <c r="V20" s="24" t="str" cm="1">
        <f t="array" ref="V20">IF(OR($C20="",NOT($A20)),"",MAX(1,DICEAVG($H20)+$AK20*FALSE+$AV20+$AH$3))</f>
        <v/>
      </c>
      <c r="W20" s="24" t="str">
        <f t="shared" si="4"/>
        <v/>
      </c>
      <c r="X20" s="24" t="str">
        <f t="shared" si="5"/>
        <v/>
      </c>
      <c r="Y20" s="31" t="str">
        <f t="shared" si="6"/>
        <v/>
      </c>
      <c r="AA20" s="17" t="str" cm="1">
        <f t="array" ref="AA20">IF($C20="","",KW(($I20&amp;", "&amp;$AC$3),"Torrent")=TRUE)</f>
        <v/>
      </c>
      <c r="AB20" s="17" t="str" cm="1">
        <f t="array" ref="AB20">IF($C20="","",KW(($I20&amp;", "&amp;$AC$3),"Lethal Hits")=TRUE)</f>
        <v/>
      </c>
      <c r="AC20" s="17" t="str" cm="1">
        <f t="array" ref="AC20">IF($C20="","",N(KW(($I20&amp;", "&amp;$AC$3),"Sustained Hits")))</f>
        <v/>
      </c>
      <c r="AD20" s="17" t="str" cm="1">
        <f t="array" ref="AD20">IF($C20="","",KW(($I20&amp;", "&amp;$AC$3),"Devastating Wounds")=TRUE)</f>
        <v/>
      </c>
      <c r="AE20" s="17" t="str" cm="1">
        <f t="array" ref="AE20">IF($C20="","",KW(($I20&amp;", "&amp;$AC$3),"Twin-Linked")=TRUE)</f>
        <v/>
      </c>
      <c r="AF20" s="17" t="str" cm="1">
        <f t="array" ref="AF20">IF($C20="","",KW(($I20&amp;", "&amp;$AC$3),"Lance")=TRUE)</f>
        <v/>
      </c>
      <c r="AG20" s="17" t="str" cm="1">
        <f t="array" ref="AG20">IF($C20="","",KW(($I20&amp;", "&amp;$AC$3),"Heavy")=TRUE)</f>
        <v/>
      </c>
      <c r="AH20" s="17" t="str" cm="1">
        <f t="array" ref="AH20">IF($C20="","",N(KW(($I20&amp;", "&amp;$AC$3),"Rapid Fire")))</f>
        <v/>
      </c>
      <c r="AI20" s="17" t="str" cm="1">
        <f t="array" ref="AI20">IF($C20="","",N(KW(($I20&amp;", "&amp;$AC$3),"Blast")))</f>
        <v/>
      </c>
      <c r="AJ20" s="17" t="str" cm="1">
        <f t="array" ref="AJ20">IF($C20="","",N(KW(($I20&amp;", "&amp;$AC$3),"Cleave")))</f>
        <v/>
      </c>
      <c r="AK20" s="17" t="str" cm="1">
        <f t="array" ref="AK20">IF($C20="","",N(KW(($I20&amp;", "&amp;$AC$3),"Melta")))</f>
        <v/>
      </c>
      <c r="AL20" s="17" t="str" cm="1">
        <f t="array" ref="AL20">IF($C20="","",KW(($I20&amp;", "&amp;$AC$3),"Ignores Cover")=TRUE)</f>
        <v/>
      </c>
      <c r="AM20" s="17" t="str" cm="1">
        <f t="array" ref="AM20">IF($C20="","",KW(($I20&amp;", "&amp;$AC$3),"Psychic")=TRUE)</f>
        <v/>
      </c>
      <c r="AN20" s="18" t="str" cm="1">
        <f t="array" ref="AN20">IF($C20="","",_xlfn.LET(_xlpm.src,$I20&amp;", "&amp;$AC$3,_xlpm.a,KWANTI(_xlpm.src,($O$6&amp;", "&amp;$AD$3)),_xlpm.c,KWMIN(_xlpm.src,"Critical Wounds"),MIN(_xlpm.a,IF(ISNUMBER(_xlpm.c),MEDIAN(2,6,_xlpm.c),6))))</f>
        <v/>
      </c>
      <c r="AO20" s="18" t="str">
        <f t="shared" si="9"/>
        <v/>
      </c>
      <c r="AP20" s="18" t="str">
        <f t="shared" si="10"/>
        <v/>
      </c>
      <c r="AQ20" s="18" t="str">
        <f t="shared" si="11"/>
        <v/>
      </c>
      <c r="AR20" s="19" t="str">
        <f t="shared" si="7"/>
        <v/>
      </c>
      <c r="AS20" s="19" t="str" cm="1">
        <f t="array" ref="AS20">IF($C20="","",KWSUM(($I20&amp;", "&amp;$AC$3),"Hit Modifier"))</f>
        <v/>
      </c>
      <c r="AT20" s="19" t="str" cm="1">
        <f t="array" ref="AT20">IF($C20="","",KWSUM(($I20&amp;", "&amp;$AC$3),"Wound Modifier"))</f>
        <v/>
      </c>
      <c r="AU20" s="19" t="str" cm="1">
        <f t="array" ref="AU20">IF($C20="","",KWSUM(($I20&amp;", "&amp;$AC$3),"AP Modifier"))</f>
        <v/>
      </c>
      <c r="AV20" s="19" t="str" cm="1">
        <f t="array" ref="AV20">IF($C20="","",KWSUM(($I20&amp;", "&amp;$AC$3),"Damage Modifier"))</f>
        <v/>
      </c>
      <c r="AW20" s="19" t="str" cm="1">
        <f t="array" ref="AW20">IF($C20="","",_xlfn.LET(_xlpm.src,$I20&amp;", "&amp;$AC$3,_xlpm.full,ISNUMBER(_xlfn.XMATCH("Reroll Hits",TRIM(_xlfn.TEXTSPLIT(_xlpm.src,",")))),_xlpm.r,KW(_xlpm.src,"Reroll Hits"),IF(_xlpm.full,2,IF(N(_xlpm.r)&gt;=1,1,0))))</f>
        <v/>
      </c>
      <c r="AX20" s="19" t="str" cm="1">
        <f t="array" ref="AX20">IF($C20="","",_xlfn.LET(_xlpm.src,$I20&amp;", "&amp;$AC$3,_xlpm.full,OR($AE20,ISNUMBER(_xlfn.XMATCH("Reroll Wounds",TRIM(_xlfn.TEXTSPLIT(_xlpm.src,","))))),_xlpm.r,KW(_xlpm.src,"Reroll Wounds"),IF(_xlpm.full,2,IF(N(_xlpm.r)&gt;=1,1,0))))</f>
        <v/>
      </c>
      <c r="AY20" s="19" t="str">
        <f t="shared" si="12"/>
        <v/>
      </c>
      <c r="AZ20" s="19" t="str" cm="1">
        <f t="array" ref="AZ20">IF($C20="","",KWSUM($I20&amp;", "&amp;$AC$3,"Attacks Modifier"))</f>
        <v/>
      </c>
      <c r="BA20" s="19" t="str" cm="1">
        <f t="array" ref="BA20">IF($C20="","",KWSUM($I20&amp;", "&amp;$AC$3,"Strength Modifier"))</f>
        <v/>
      </c>
      <c r="BB20" s="19" t="str" cm="1">
        <f t="array" ref="BB20">IF($C20="","",KWSUM($I20&amp;", "&amp;$AC$3,"WS Modifier"))</f>
        <v/>
      </c>
      <c r="BC20" s="19" t="str" cm="1">
        <f t="array" ref="BC20">IF($C20="","",_xlfn.LET(_xlpm.c,KWMIN($I20&amp;", "&amp;$AC$3,"Critical Hits"),IF(ISNUMBER(_xlpm.c),MEDIAN(2,6,_xlpm.c),6)))</f>
        <v/>
      </c>
      <c r="BD20" s="19" t="str" cm="1">
        <f t="array" ref="BD20">IF($C20="","",KWSUM($I20&amp;", "&amp;$AC$3,"Save Modifier"))</f>
        <v/>
      </c>
      <c r="BH20" s="5" t="str">
        <v>HWT (Imperial Guard)</v>
      </c>
    </row>
    <row r="21" spans="1:60" ht="14.65" customHeight="1" x14ac:dyDescent="0.25">
      <c r="A21" s="38" t="b">
        <v>1</v>
      </c>
      <c r="B21" s="59">
        <v>1</v>
      </c>
      <c r="C21" s="30"/>
      <c r="D21"/>
      <c r="E21"/>
      <c r="F21"/>
      <c r="G21"/>
      <c r="H21"/>
      <c r="I21" s="1"/>
      <c r="J21" s="120"/>
      <c r="K21" s="122"/>
      <c r="L21" s="122"/>
      <c r="M21" s="122"/>
      <c r="N21" s="122"/>
      <c r="O21" s="118"/>
      <c r="P21" s="24" t="str" cm="1">
        <f t="array" ref="P21">IF(OR($C21="",NOT($A21)),"",N($B21)*(MAX(1,DICEAVG($D21)+$AZ21)+$AH21*FALSE+($AI21+$AJ21)*INT($F$3/5)))</f>
        <v/>
      </c>
      <c r="Q21" s="24" t="str">
        <f t="shared" si="8"/>
        <v/>
      </c>
      <c r="R21" s="24" t="str">
        <f t="shared" si="0"/>
        <v/>
      </c>
      <c r="S21" s="24" t="str">
        <f t="shared" si="1"/>
        <v/>
      </c>
      <c r="T21" s="24" t="str">
        <f t="shared" si="2"/>
        <v/>
      </c>
      <c r="U21" s="24" t="str">
        <f t="shared" si="3"/>
        <v/>
      </c>
      <c r="V21" s="24" t="str" cm="1">
        <f t="array" ref="V21">IF(OR($C21="",NOT($A21)),"",MAX(1,DICEAVG($H21)+$AK21*FALSE+$AV21+$AH$3))</f>
        <v/>
      </c>
      <c r="W21" s="24" t="str">
        <f t="shared" si="4"/>
        <v/>
      </c>
      <c r="X21" s="24" t="str">
        <f t="shared" si="5"/>
        <v/>
      </c>
      <c r="Y21" s="31" t="str">
        <f t="shared" si="6"/>
        <v/>
      </c>
      <c r="AA21" s="17" t="str" cm="1">
        <f t="array" ref="AA21">IF($C21="","",KW(($I21&amp;", "&amp;$AC$3),"Torrent")=TRUE)</f>
        <v/>
      </c>
      <c r="AB21" s="17" t="str" cm="1">
        <f t="array" ref="AB21">IF($C21="","",KW(($I21&amp;", "&amp;$AC$3),"Lethal Hits")=TRUE)</f>
        <v/>
      </c>
      <c r="AC21" s="17" t="str" cm="1">
        <f t="array" ref="AC21">IF($C21="","",N(KW(($I21&amp;", "&amp;$AC$3),"Sustained Hits")))</f>
        <v/>
      </c>
      <c r="AD21" s="17" t="str" cm="1">
        <f t="array" ref="AD21">IF($C21="","",KW(($I21&amp;", "&amp;$AC$3),"Devastating Wounds")=TRUE)</f>
        <v/>
      </c>
      <c r="AE21" s="17" t="str" cm="1">
        <f t="array" ref="AE21">IF($C21="","",KW(($I21&amp;", "&amp;$AC$3),"Twin-Linked")=TRUE)</f>
        <v/>
      </c>
      <c r="AF21" s="17" t="str" cm="1">
        <f t="array" ref="AF21">IF($C21="","",KW(($I21&amp;", "&amp;$AC$3),"Lance")=TRUE)</f>
        <v/>
      </c>
      <c r="AG21" s="17" t="str" cm="1">
        <f t="array" ref="AG21">IF($C21="","",KW(($I21&amp;", "&amp;$AC$3),"Heavy")=TRUE)</f>
        <v/>
      </c>
      <c r="AH21" s="17" t="str" cm="1">
        <f t="array" ref="AH21">IF($C21="","",N(KW(($I21&amp;", "&amp;$AC$3),"Rapid Fire")))</f>
        <v/>
      </c>
      <c r="AI21" s="17" t="str" cm="1">
        <f t="array" ref="AI21">IF($C21="","",N(KW(($I21&amp;", "&amp;$AC$3),"Blast")))</f>
        <v/>
      </c>
      <c r="AJ21" s="17" t="str" cm="1">
        <f t="array" ref="AJ21">IF($C21="","",N(KW(($I21&amp;", "&amp;$AC$3),"Cleave")))</f>
        <v/>
      </c>
      <c r="AK21" s="17" t="str" cm="1">
        <f t="array" ref="AK21">IF($C21="","",N(KW(($I21&amp;", "&amp;$AC$3),"Melta")))</f>
        <v/>
      </c>
      <c r="AL21" s="17" t="str" cm="1">
        <f t="array" ref="AL21">IF($C21="","",KW(($I21&amp;", "&amp;$AC$3),"Ignores Cover")=TRUE)</f>
        <v/>
      </c>
      <c r="AM21" s="17" t="str" cm="1">
        <f t="array" ref="AM21">IF($C21="","",KW(($I21&amp;", "&amp;$AC$3),"Psychic")=TRUE)</f>
        <v/>
      </c>
      <c r="AN21" s="18" t="str" cm="1">
        <f t="array" ref="AN21">IF($C21="","",_xlfn.LET(_xlpm.src,$I21&amp;", "&amp;$AC$3,_xlpm.a,KWANTI(_xlpm.src,($O$6&amp;", "&amp;$AD$3)),_xlpm.c,KWMIN(_xlpm.src,"Critical Wounds"),MIN(_xlpm.a,IF(ISNUMBER(_xlpm.c),MEDIAN(2,6,_xlpm.c),6))))</f>
        <v/>
      </c>
      <c r="AO21" s="18" t="str">
        <f t="shared" si="9"/>
        <v/>
      </c>
      <c r="AP21" s="18" t="str">
        <f t="shared" si="10"/>
        <v/>
      </c>
      <c r="AQ21" s="18" t="str">
        <f t="shared" si="11"/>
        <v/>
      </c>
      <c r="AR21" s="19" t="str">
        <f t="shared" si="7"/>
        <v/>
      </c>
      <c r="AS21" s="19" t="str" cm="1">
        <f t="array" ref="AS21">IF($C21="","",KWSUM(($I21&amp;", "&amp;$AC$3),"Hit Modifier"))</f>
        <v/>
      </c>
      <c r="AT21" s="19" t="str" cm="1">
        <f t="array" ref="AT21">IF($C21="","",KWSUM(($I21&amp;", "&amp;$AC$3),"Wound Modifier"))</f>
        <v/>
      </c>
      <c r="AU21" s="19" t="str" cm="1">
        <f t="array" ref="AU21">IF($C21="","",KWSUM(($I21&amp;", "&amp;$AC$3),"AP Modifier"))</f>
        <v/>
      </c>
      <c r="AV21" s="19" t="str" cm="1">
        <f t="array" ref="AV21">IF($C21="","",KWSUM(($I21&amp;", "&amp;$AC$3),"Damage Modifier"))</f>
        <v/>
      </c>
      <c r="AW21" s="19" t="str" cm="1">
        <f t="array" ref="AW21">IF($C21="","",_xlfn.LET(_xlpm.src,$I21&amp;", "&amp;$AC$3,_xlpm.full,ISNUMBER(_xlfn.XMATCH("Reroll Hits",TRIM(_xlfn.TEXTSPLIT(_xlpm.src,",")))),_xlpm.r,KW(_xlpm.src,"Reroll Hits"),IF(_xlpm.full,2,IF(N(_xlpm.r)&gt;=1,1,0))))</f>
        <v/>
      </c>
      <c r="AX21" s="19" t="str" cm="1">
        <f t="array" ref="AX21">IF($C21="","",_xlfn.LET(_xlpm.src,$I21&amp;", "&amp;$AC$3,_xlpm.full,OR($AE21,ISNUMBER(_xlfn.XMATCH("Reroll Wounds",TRIM(_xlfn.TEXTSPLIT(_xlpm.src,","))))),_xlpm.r,KW(_xlpm.src,"Reroll Wounds"),IF(_xlpm.full,2,IF(N(_xlpm.r)&gt;=1,1,0))))</f>
        <v/>
      </c>
      <c r="AY21" s="19" t="str">
        <f t="shared" si="12"/>
        <v/>
      </c>
      <c r="AZ21" s="19" t="str" cm="1">
        <f t="array" ref="AZ21">IF($C21="","",KWSUM($I21&amp;", "&amp;$AC$3,"Attacks Modifier"))</f>
        <v/>
      </c>
      <c r="BA21" s="19" t="str" cm="1">
        <f t="array" ref="BA21">IF($C21="","",KWSUM($I21&amp;", "&amp;$AC$3,"Strength Modifier"))</f>
        <v/>
      </c>
      <c r="BB21" s="19" t="str" cm="1">
        <f t="array" ref="BB21">IF($C21="","",KWSUM($I21&amp;", "&amp;$AC$3,"WS Modifier"))</f>
        <v/>
      </c>
      <c r="BC21" s="19" t="str" cm="1">
        <f t="array" ref="BC21">IF($C21="","",_xlfn.LET(_xlpm.c,KWMIN($I21&amp;", "&amp;$AC$3,"Critical Hits"),IF(ISNUMBER(_xlpm.c),MEDIAN(2,6,_xlpm.c),6)))</f>
        <v/>
      </c>
      <c r="BD21" s="19" t="str" cm="1">
        <f t="array" ref="BD21">IF($C21="","",KWSUM($I21&amp;", "&amp;$AC$3,"Save Modifier"))</f>
        <v/>
      </c>
      <c r="BH21" s="5" t="str">
        <v>Artillery Team (Imperial Guard)</v>
      </c>
    </row>
    <row r="22" spans="1:60" ht="14.65" customHeight="1" x14ac:dyDescent="0.25">
      <c r="A22" s="38" t="b">
        <v>1</v>
      </c>
      <c r="B22" s="59">
        <v>1</v>
      </c>
      <c r="C22" s="30"/>
      <c r="D22"/>
      <c r="E22"/>
      <c r="F22"/>
      <c r="G22"/>
      <c r="H22"/>
      <c r="I22" s="1"/>
      <c r="J22" s="120"/>
      <c r="K22" s="122"/>
      <c r="L22" s="122"/>
      <c r="M22" s="122"/>
      <c r="N22" s="122"/>
      <c r="O22" s="118"/>
      <c r="P22" s="24" t="str" cm="1">
        <f t="array" ref="P22">IF(OR($C22="",NOT($A22)),"",N($B22)*(MAX(1,DICEAVG($D22)+$AZ22)+$AH22*FALSE+($AI22+$AJ22)*INT($F$3/5)))</f>
        <v/>
      </c>
      <c r="Q22" s="24" t="str">
        <f t="shared" si="8"/>
        <v/>
      </c>
      <c r="R22" s="24" t="str">
        <f t="shared" si="0"/>
        <v/>
      </c>
      <c r="S22" s="24" t="str">
        <f t="shared" si="1"/>
        <v/>
      </c>
      <c r="T22" s="24" t="str">
        <f t="shared" si="2"/>
        <v/>
      </c>
      <c r="U22" s="24" t="str">
        <f t="shared" si="3"/>
        <v/>
      </c>
      <c r="V22" s="24" t="str" cm="1">
        <f t="array" ref="V22">IF(OR($C22="",NOT($A22)),"",MAX(1,DICEAVG($H22)+$AK22*FALSE+$AV22+$AH$3))</f>
        <v/>
      </c>
      <c r="W22" s="24" t="str">
        <f t="shared" si="4"/>
        <v/>
      </c>
      <c r="X22" s="24" t="str">
        <f t="shared" si="5"/>
        <v/>
      </c>
      <c r="Y22" s="31" t="str">
        <f t="shared" si="6"/>
        <v/>
      </c>
      <c r="AA22" s="17" t="str" cm="1">
        <f t="array" ref="AA22">IF($C22="","",KW(($I22&amp;", "&amp;$AC$3),"Torrent")=TRUE)</f>
        <v/>
      </c>
      <c r="AB22" s="17" t="str" cm="1">
        <f t="array" ref="AB22">IF($C22="","",KW(($I22&amp;", "&amp;$AC$3),"Lethal Hits")=TRUE)</f>
        <v/>
      </c>
      <c r="AC22" s="17" t="str" cm="1">
        <f t="array" ref="AC22">IF($C22="","",N(KW(($I22&amp;", "&amp;$AC$3),"Sustained Hits")))</f>
        <v/>
      </c>
      <c r="AD22" s="17" t="str" cm="1">
        <f t="array" ref="AD22">IF($C22="","",KW(($I22&amp;", "&amp;$AC$3),"Devastating Wounds")=TRUE)</f>
        <v/>
      </c>
      <c r="AE22" s="17" t="str" cm="1">
        <f t="array" ref="AE22">IF($C22="","",KW(($I22&amp;", "&amp;$AC$3),"Twin-Linked")=TRUE)</f>
        <v/>
      </c>
      <c r="AF22" s="17" t="str" cm="1">
        <f t="array" ref="AF22">IF($C22="","",KW(($I22&amp;", "&amp;$AC$3),"Lance")=TRUE)</f>
        <v/>
      </c>
      <c r="AG22" s="17" t="str" cm="1">
        <f t="array" ref="AG22">IF($C22="","",KW(($I22&amp;", "&amp;$AC$3),"Heavy")=TRUE)</f>
        <v/>
      </c>
      <c r="AH22" s="17" t="str" cm="1">
        <f t="array" ref="AH22">IF($C22="","",N(KW(($I22&amp;", "&amp;$AC$3),"Rapid Fire")))</f>
        <v/>
      </c>
      <c r="AI22" s="17" t="str" cm="1">
        <f t="array" ref="AI22">IF($C22="","",N(KW(($I22&amp;", "&amp;$AC$3),"Blast")))</f>
        <v/>
      </c>
      <c r="AJ22" s="17" t="str" cm="1">
        <f t="array" ref="AJ22">IF($C22="","",N(KW(($I22&amp;", "&amp;$AC$3),"Cleave")))</f>
        <v/>
      </c>
      <c r="AK22" s="17" t="str" cm="1">
        <f t="array" ref="AK22">IF($C22="","",N(KW(($I22&amp;", "&amp;$AC$3),"Melta")))</f>
        <v/>
      </c>
      <c r="AL22" s="17" t="str" cm="1">
        <f t="array" ref="AL22">IF($C22="","",KW(($I22&amp;", "&amp;$AC$3),"Ignores Cover")=TRUE)</f>
        <v/>
      </c>
      <c r="AM22" s="17" t="str" cm="1">
        <f t="array" ref="AM22">IF($C22="","",KW(($I22&amp;", "&amp;$AC$3),"Psychic")=TRUE)</f>
        <v/>
      </c>
      <c r="AN22" s="18" t="str" cm="1">
        <f t="array" ref="AN22">IF($C22="","",_xlfn.LET(_xlpm.src,$I22&amp;", "&amp;$AC$3,_xlpm.a,KWANTI(_xlpm.src,($O$6&amp;", "&amp;$AD$3)),_xlpm.c,KWMIN(_xlpm.src,"Critical Wounds"),MIN(_xlpm.a,IF(ISNUMBER(_xlpm.c),MEDIAN(2,6,_xlpm.c),6))))</f>
        <v/>
      </c>
      <c r="AO22" s="18" t="str">
        <f t="shared" si="9"/>
        <v/>
      </c>
      <c r="AP22" s="18" t="str">
        <f t="shared" si="10"/>
        <v/>
      </c>
      <c r="AQ22" s="18" t="str">
        <f t="shared" si="11"/>
        <v/>
      </c>
      <c r="AR22" s="19" t="str">
        <f t="shared" si="7"/>
        <v/>
      </c>
      <c r="AS22" s="19" t="str" cm="1">
        <f t="array" ref="AS22">IF($C22="","",KWSUM(($I22&amp;", "&amp;$AC$3),"Hit Modifier"))</f>
        <v/>
      </c>
      <c r="AT22" s="19" t="str" cm="1">
        <f t="array" ref="AT22">IF($C22="","",KWSUM(($I22&amp;", "&amp;$AC$3),"Wound Modifier"))</f>
        <v/>
      </c>
      <c r="AU22" s="19" t="str" cm="1">
        <f t="array" ref="AU22">IF($C22="","",KWSUM(($I22&amp;", "&amp;$AC$3),"AP Modifier"))</f>
        <v/>
      </c>
      <c r="AV22" s="19" t="str" cm="1">
        <f t="array" ref="AV22">IF($C22="","",KWSUM(($I22&amp;", "&amp;$AC$3),"Damage Modifier"))</f>
        <v/>
      </c>
      <c r="AW22" s="19" t="str" cm="1">
        <f t="array" ref="AW22">IF($C22="","",_xlfn.LET(_xlpm.src,$I22&amp;", "&amp;$AC$3,_xlpm.full,ISNUMBER(_xlfn.XMATCH("Reroll Hits",TRIM(_xlfn.TEXTSPLIT(_xlpm.src,",")))),_xlpm.r,KW(_xlpm.src,"Reroll Hits"),IF(_xlpm.full,2,IF(N(_xlpm.r)&gt;=1,1,0))))</f>
        <v/>
      </c>
      <c r="AX22" s="19" t="str" cm="1">
        <f t="array" ref="AX22">IF($C22="","",_xlfn.LET(_xlpm.src,$I22&amp;", "&amp;$AC$3,_xlpm.full,OR($AE22,ISNUMBER(_xlfn.XMATCH("Reroll Wounds",TRIM(_xlfn.TEXTSPLIT(_xlpm.src,","))))),_xlpm.r,KW(_xlpm.src,"Reroll Wounds"),IF(_xlpm.full,2,IF(N(_xlpm.r)&gt;=1,1,0))))</f>
        <v/>
      </c>
      <c r="AY22" s="19" t="str">
        <f t="shared" si="12"/>
        <v/>
      </c>
      <c r="AZ22" s="19" t="str" cm="1">
        <f t="array" ref="AZ22">IF($C22="","",KWSUM($I22&amp;", "&amp;$AC$3,"Attacks Modifier"))</f>
        <v/>
      </c>
      <c r="BA22" s="19" t="str" cm="1">
        <f t="array" ref="BA22">IF($C22="","",KWSUM($I22&amp;", "&amp;$AC$3,"Strength Modifier"))</f>
        <v/>
      </c>
      <c r="BB22" s="19" t="str" cm="1">
        <f t="array" ref="BB22">IF($C22="","",KWSUM($I22&amp;", "&amp;$AC$3,"WS Modifier"))</f>
        <v/>
      </c>
      <c r="BC22" s="19" t="str" cm="1">
        <f t="array" ref="BC22">IF($C22="","",_xlfn.LET(_xlpm.c,KWMIN($I22&amp;", "&amp;$AC$3,"Critical Hits"),IF(ISNUMBER(_xlpm.c),MEDIAN(2,6,_xlpm.c),6)))</f>
        <v/>
      </c>
      <c r="BD22" s="19" t="str" cm="1">
        <f t="array" ref="BD22">IF($C22="","",KWSUM($I22&amp;", "&amp;$AC$3,"Save Modifier"))</f>
        <v/>
      </c>
      <c r="BH22" s="5" t="str">
        <v>Field Ordinance Battery (Imperial Guard)</v>
      </c>
    </row>
    <row r="23" spans="1:60" ht="14.65" customHeight="1" x14ac:dyDescent="0.25">
      <c r="A23" s="38" t="b">
        <v>1</v>
      </c>
      <c r="B23" s="59">
        <v>1</v>
      </c>
      <c r="C23" s="30"/>
      <c r="D23"/>
      <c r="E23"/>
      <c r="F23"/>
      <c r="G23"/>
      <c r="H23"/>
      <c r="I23" s="1"/>
      <c r="J23" s="120"/>
      <c r="K23" s="122"/>
      <c r="L23" s="122"/>
      <c r="M23" s="122"/>
      <c r="N23" s="122"/>
      <c r="O23" s="118"/>
      <c r="P23" s="24" t="str" cm="1">
        <f t="array" ref="P23">IF(OR($C23="",NOT($A23)),"",N($B23)*(MAX(1,DICEAVG($D23)+$AZ23)+$AH23*FALSE+($AI23+$AJ23)*INT($F$3/5)))</f>
        <v/>
      </c>
      <c r="Q23" s="24" t="str">
        <f t="shared" si="8"/>
        <v/>
      </c>
      <c r="R23" s="24" t="str">
        <f t="shared" si="0"/>
        <v/>
      </c>
      <c r="S23" s="24" t="str">
        <f t="shared" si="1"/>
        <v/>
      </c>
      <c r="T23" s="24" t="str">
        <f t="shared" si="2"/>
        <v/>
      </c>
      <c r="U23" s="24" t="str">
        <f t="shared" si="3"/>
        <v/>
      </c>
      <c r="V23" s="24" t="str" cm="1">
        <f t="array" ref="V23">IF(OR($C23="",NOT($A23)),"",MAX(1,DICEAVG($H23)+$AK23*FALSE+$AV23+$AH$3))</f>
        <v/>
      </c>
      <c r="W23" s="24" t="str">
        <f t="shared" si="4"/>
        <v/>
      </c>
      <c r="X23" s="24" t="str">
        <f t="shared" si="5"/>
        <v/>
      </c>
      <c r="Y23" s="31" t="str">
        <f t="shared" si="6"/>
        <v/>
      </c>
      <c r="AA23" s="17" t="str" cm="1">
        <f t="array" ref="AA23">IF($C23="","",KW(($I23&amp;", "&amp;$AC$3),"Torrent")=TRUE)</f>
        <v/>
      </c>
      <c r="AB23" s="17" t="str" cm="1">
        <f t="array" ref="AB23">IF($C23="","",KW(($I23&amp;", "&amp;$AC$3),"Lethal Hits")=TRUE)</f>
        <v/>
      </c>
      <c r="AC23" s="17" t="str" cm="1">
        <f t="array" ref="AC23">IF($C23="","",N(KW(($I23&amp;", "&amp;$AC$3),"Sustained Hits")))</f>
        <v/>
      </c>
      <c r="AD23" s="17" t="str" cm="1">
        <f t="array" ref="AD23">IF($C23="","",KW(($I23&amp;", "&amp;$AC$3),"Devastating Wounds")=TRUE)</f>
        <v/>
      </c>
      <c r="AE23" s="17" t="str" cm="1">
        <f t="array" ref="AE23">IF($C23="","",KW(($I23&amp;", "&amp;$AC$3),"Twin-Linked")=TRUE)</f>
        <v/>
      </c>
      <c r="AF23" s="17" t="str" cm="1">
        <f t="array" ref="AF23">IF($C23="","",KW(($I23&amp;", "&amp;$AC$3),"Lance")=TRUE)</f>
        <v/>
      </c>
      <c r="AG23" s="17" t="str" cm="1">
        <f t="array" ref="AG23">IF($C23="","",KW(($I23&amp;", "&amp;$AC$3),"Heavy")=TRUE)</f>
        <v/>
      </c>
      <c r="AH23" s="17" t="str" cm="1">
        <f t="array" ref="AH23">IF($C23="","",N(KW(($I23&amp;", "&amp;$AC$3),"Rapid Fire")))</f>
        <v/>
      </c>
      <c r="AI23" s="17" t="str" cm="1">
        <f t="array" ref="AI23">IF($C23="","",N(KW(($I23&amp;", "&amp;$AC$3),"Blast")))</f>
        <v/>
      </c>
      <c r="AJ23" s="17" t="str" cm="1">
        <f t="array" ref="AJ23">IF($C23="","",N(KW(($I23&amp;", "&amp;$AC$3),"Cleave")))</f>
        <v/>
      </c>
      <c r="AK23" s="17" t="str" cm="1">
        <f t="array" ref="AK23">IF($C23="","",N(KW(($I23&amp;", "&amp;$AC$3),"Melta")))</f>
        <v/>
      </c>
      <c r="AL23" s="17" t="str" cm="1">
        <f t="array" ref="AL23">IF($C23="","",KW(($I23&amp;", "&amp;$AC$3),"Ignores Cover")=TRUE)</f>
        <v/>
      </c>
      <c r="AM23" s="17" t="str" cm="1">
        <f t="array" ref="AM23">IF($C23="","",KW(($I23&amp;", "&amp;$AC$3),"Psychic")=TRUE)</f>
        <v/>
      </c>
      <c r="AN23" s="18" t="str" cm="1">
        <f t="array" ref="AN23">IF($C23="","",_xlfn.LET(_xlpm.src,$I23&amp;", "&amp;$AC$3,_xlpm.a,KWANTI(_xlpm.src,($O$6&amp;", "&amp;$AD$3)),_xlpm.c,KWMIN(_xlpm.src,"Critical Wounds"),MIN(_xlpm.a,IF(ISNUMBER(_xlpm.c),MEDIAN(2,6,_xlpm.c),6))))</f>
        <v/>
      </c>
      <c r="AO23" s="18" t="str">
        <f t="shared" si="9"/>
        <v/>
      </c>
      <c r="AP23" s="18" t="str">
        <f t="shared" si="10"/>
        <v/>
      </c>
      <c r="AQ23" s="18" t="str">
        <f t="shared" si="11"/>
        <v/>
      </c>
      <c r="AR23" s="19" t="str">
        <f t="shared" si="7"/>
        <v/>
      </c>
      <c r="AS23" s="19" t="str" cm="1">
        <f t="array" ref="AS23">IF($C23="","",KWSUM(($I23&amp;", "&amp;$AC$3),"Hit Modifier"))</f>
        <v/>
      </c>
      <c r="AT23" s="19" t="str" cm="1">
        <f t="array" ref="AT23">IF($C23="","",KWSUM(($I23&amp;", "&amp;$AC$3),"Wound Modifier"))</f>
        <v/>
      </c>
      <c r="AU23" s="19" t="str" cm="1">
        <f t="array" ref="AU23">IF($C23="","",KWSUM(($I23&amp;", "&amp;$AC$3),"AP Modifier"))</f>
        <v/>
      </c>
      <c r="AV23" s="19" t="str" cm="1">
        <f t="array" ref="AV23">IF($C23="","",KWSUM(($I23&amp;", "&amp;$AC$3),"Damage Modifier"))</f>
        <v/>
      </c>
      <c r="AW23" s="19" t="str" cm="1">
        <f t="array" ref="AW23">IF($C23="","",_xlfn.LET(_xlpm.src,$I23&amp;", "&amp;$AC$3,_xlpm.full,ISNUMBER(_xlfn.XMATCH("Reroll Hits",TRIM(_xlfn.TEXTSPLIT(_xlpm.src,",")))),_xlpm.r,KW(_xlpm.src,"Reroll Hits"),IF(_xlpm.full,2,IF(N(_xlpm.r)&gt;=1,1,0))))</f>
        <v/>
      </c>
      <c r="AX23" s="19" t="str" cm="1">
        <f t="array" ref="AX23">IF($C23="","",_xlfn.LET(_xlpm.src,$I23&amp;", "&amp;$AC$3,_xlpm.full,OR($AE23,ISNUMBER(_xlfn.XMATCH("Reroll Wounds",TRIM(_xlfn.TEXTSPLIT(_xlpm.src,","))))),_xlpm.r,KW(_xlpm.src,"Reroll Wounds"),IF(_xlpm.full,2,IF(N(_xlpm.r)&gt;=1,1,0))))</f>
        <v/>
      </c>
      <c r="AY23" s="19" t="str">
        <f t="shared" si="12"/>
        <v/>
      </c>
      <c r="AZ23" s="19" t="str" cm="1">
        <f t="array" ref="AZ23">IF($C23="","",KWSUM($I23&amp;", "&amp;$AC$3,"Attacks Modifier"))</f>
        <v/>
      </c>
      <c r="BA23" s="19" t="str" cm="1">
        <f t="array" ref="BA23">IF($C23="","",KWSUM($I23&amp;", "&amp;$AC$3,"Strength Modifier"))</f>
        <v/>
      </c>
      <c r="BB23" s="19" t="str" cm="1">
        <f t="array" ref="BB23">IF($C23="","",KWSUM($I23&amp;", "&amp;$AC$3,"WS Modifier"))</f>
        <v/>
      </c>
      <c r="BC23" s="19" t="str" cm="1">
        <f t="array" ref="BC23">IF($C23="","",_xlfn.LET(_xlpm.c,KWMIN($I23&amp;", "&amp;$AC$3,"Critical Hits"),IF(ISNUMBER(_xlpm.c),MEDIAN(2,6,_xlpm.c),6)))</f>
        <v/>
      </c>
      <c r="BD23" s="19" t="str" cm="1">
        <f t="array" ref="BD23">IF($C23="","",KWSUM($I23&amp;", "&amp;$AC$3,"Save Modifier"))</f>
        <v/>
      </c>
      <c r="BH23" s="5" t="str">
        <v>Rogal Dorn Battle Tank (Imperial Guard)</v>
      </c>
    </row>
    <row r="24" spans="1:60" ht="14.65" customHeight="1" x14ac:dyDescent="0.25">
      <c r="A24" s="38" t="b">
        <v>1</v>
      </c>
      <c r="B24" s="59">
        <v>1</v>
      </c>
      <c r="C24" s="30"/>
      <c r="D24"/>
      <c r="E24"/>
      <c r="F24"/>
      <c r="G24"/>
      <c r="H24"/>
      <c r="I24" s="1"/>
      <c r="J24" s="120"/>
      <c r="K24" s="122"/>
      <c r="L24" s="122"/>
      <c r="M24" s="122"/>
      <c r="N24" s="122"/>
      <c r="O24" s="118"/>
      <c r="P24" s="24" t="str" cm="1">
        <f t="array" ref="P24">IF(OR($C24="",NOT($A24)),"",N($B24)*(MAX(1,DICEAVG($D24)+$AZ24)+$AH24*FALSE+($AI24+$AJ24)*INT($F$3/5)))</f>
        <v/>
      </c>
      <c r="Q24" s="24" t="str">
        <f t="shared" si="8"/>
        <v/>
      </c>
      <c r="R24" s="24" t="str">
        <f t="shared" si="0"/>
        <v/>
      </c>
      <c r="S24" s="24" t="str">
        <f t="shared" si="1"/>
        <v/>
      </c>
      <c r="T24" s="24" t="str">
        <f t="shared" si="2"/>
        <v/>
      </c>
      <c r="U24" s="24" t="str">
        <f t="shared" si="3"/>
        <v/>
      </c>
      <c r="V24" s="24" t="str" cm="1">
        <f t="array" ref="V24">IF(OR($C24="",NOT($A24)),"",MAX(1,DICEAVG($H24)+$AK24*FALSE+$AV24+$AH$3))</f>
        <v/>
      </c>
      <c r="W24" s="24" t="str">
        <f t="shared" si="4"/>
        <v/>
      </c>
      <c r="X24" s="24" t="str">
        <f t="shared" si="5"/>
        <v/>
      </c>
      <c r="Y24" s="31" t="str">
        <f t="shared" si="6"/>
        <v/>
      </c>
      <c r="AA24" s="17" t="str" cm="1">
        <f t="array" ref="AA24">IF($C24="","",KW(($I24&amp;", "&amp;$AC$3),"Torrent")=TRUE)</f>
        <v/>
      </c>
      <c r="AB24" s="17" t="str" cm="1">
        <f t="array" ref="AB24">IF($C24="","",KW(($I24&amp;", "&amp;$AC$3),"Lethal Hits")=TRUE)</f>
        <v/>
      </c>
      <c r="AC24" s="17" t="str" cm="1">
        <f t="array" ref="AC24">IF($C24="","",N(KW(($I24&amp;", "&amp;$AC$3),"Sustained Hits")))</f>
        <v/>
      </c>
      <c r="AD24" s="17" t="str" cm="1">
        <f t="array" ref="AD24">IF($C24="","",KW(($I24&amp;", "&amp;$AC$3),"Devastating Wounds")=TRUE)</f>
        <v/>
      </c>
      <c r="AE24" s="17" t="str" cm="1">
        <f t="array" ref="AE24">IF($C24="","",KW(($I24&amp;", "&amp;$AC$3),"Twin-Linked")=TRUE)</f>
        <v/>
      </c>
      <c r="AF24" s="17" t="str" cm="1">
        <f t="array" ref="AF24">IF($C24="","",KW(($I24&amp;", "&amp;$AC$3),"Lance")=TRUE)</f>
        <v/>
      </c>
      <c r="AG24" s="17" t="str" cm="1">
        <f t="array" ref="AG24">IF($C24="","",KW(($I24&amp;", "&amp;$AC$3),"Heavy")=TRUE)</f>
        <v/>
      </c>
      <c r="AH24" s="17" t="str" cm="1">
        <f t="array" ref="AH24">IF($C24="","",N(KW(($I24&amp;", "&amp;$AC$3),"Rapid Fire")))</f>
        <v/>
      </c>
      <c r="AI24" s="17" t="str" cm="1">
        <f t="array" ref="AI24">IF($C24="","",N(KW(($I24&amp;", "&amp;$AC$3),"Blast")))</f>
        <v/>
      </c>
      <c r="AJ24" s="17" t="str" cm="1">
        <f t="array" ref="AJ24">IF($C24="","",N(KW(($I24&amp;", "&amp;$AC$3),"Cleave")))</f>
        <v/>
      </c>
      <c r="AK24" s="17" t="str" cm="1">
        <f t="array" ref="AK24">IF($C24="","",N(KW(($I24&amp;", "&amp;$AC$3),"Melta")))</f>
        <v/>
      </c>
      <c r="AL24" s="17" t="str" cm="1">
        <f t="array" ref="AL24">IF($C24="","",KW(($I24&amp;", "&amp;$AC$3),"Ignores Cover")=TRUE)</f>
        <v/>
      </c>
      <c r="AM24" s="17" t="str" cm="1">
        <f t="array" ref="AM24">IF($C24="","",KW(($I24&amp;", "&amp;$AC$3),"Psychic")=TRUE)</f>
        <v/>
      </c>
      <c r="AN24" s="18" t="str" cm="1">
        <f t="array" ref="AN24">IF($C24="","",_xlfn.LET(_xlpm.src,$I24&amp;", "&amp;$AC$3,_xlpm.a,KWANTI(_xlpm.src,($O$6&amp;", "&amp;$AD$3)),_xlpm.c,KWMIN(_xlpm.src,"Critical Wounds"),MIN(_xlpm.a,IF(ISNUMBER(_xlpm.c),MEDIAN(2,6,_xlpm.c),6))))</f>
        <v/>
      </c>
      <c r="AO24" s="18" t="str">
        <f t="shared" si="9"/>
        <v/>
      </c>
      <c r="AP24" s="18" t="str">
        <f t="shared" si="10"/>
        <v/>
      </c>
      <c r="AQ24" s="18" t="str">
        <f t="shared" si="11"/>
        <v/>
      </c>
      <c r="AR24" s="19" t="str">
        <f t="shared" si="7"/>
        <v/>
      </c>
      <c r="AS24" s="19" t="str" cm="1">
        <f t="array" ref="AS24">IF($C24="","",KWSUM(($I24&amp;", "&amp;$AC$3),"Hit Modifier"))</f>
        <v/>
      </c>
      <c r="AT24" s="19" t="str" cm="1">
        <f t="array" ref="AT24">IF($C24="","",KWSUM(($I24&amp;", "&amp;$AC$3),"Wound Modifier"))</f>
        <v/>
      </c>
      <c r="AU24" s="19" t="str" cm="1">
        <f t="array" ref="AU24">IF($C24="","",KWSUM(($I24&amp;", "&amp;$AC$3),"AP Modifier"))</f>
        <v/>
      </c>
      <c r="AV24" s="19" t="str" cm="1">
        <f t="array" ref="AV24">IF($C24="","",KWSUM(($I24&amp;", "&amp;$AC$3),"Damage Modifier"))</f>
        <v/>
      </c>
      <c r="AW24" s="19" t="str" cm="1">
        <f t="array" ref="AW24">IF($C24="","",_xlfn.LET(_xlpm.src,$I24&amp;", "&amp;$AC$3,_xlpm.full,ISNUMBER(_xlfn.XMATCH("Reroll Hits",TRIM(_xlfn.TEXTSPLIT(_xlpm.src,",")))),_xlpm.r,KW(_xlpm.src,"Reroll Hits"),IF(_xlpm.full,2,IF(N(_xlpm.r)&gt;=1,1,0))))</f>
        <v/>
      </c>
      <c r="AX24" s="19" t="str" cm="1">
        <f t="array" ref="AX24">IF($C24="","",_xlfn.LET(_xlpm.src,$I24&amp;", "&amp;$AC$3,_xlpm.full,OR($AE24,ISNUMBER(_xlfn.XMATCH("Reroll Wounds",TRIM(_xlfn.TEXTSPLIT(_xlpm.src,","))))),_xlpm.r,KW(_xlpm.src,"Reroll Wounds"),IF(_xlpm.full,2,IF(N(_xlpm.r)&gt;=1,1,0))))</f>
        <v/>
      </c>
      <c r="AY24" s="19" t="str">
        <f t="shared" si="12"/>
        <v/>
      </c>
      <c r="AZ24" s="19" t="str" cm="1">
        <f t="array" ref="AZ24">IF($C24="","",KWSUM($I24&amp;", "&amp;$AC$3,"Attacks Modifier"))</f>
        <v/>
      </c>
      <c r="BA24" s="19" t="str" cm="1">
        <f t="array" ref="BA24">IF($C24="","",KWSUM($I24&amp;", "&amp;$AC$3,"Strength Modifier"))</f>
        <v/>
      </c>
      <c r="BB24" s="19" t="str" cm="1">
        <f t="array" ref="BB24">IF($C24="","",KWSUM($I24&amp;", "&amp;$AC$3,"WS Modifier"))</f>
        <v/>
      </c>
      <c r="BC24" s="19" t="str" cm="1">
        <f t="array" ref="BC24">IF($C24="","",_xlfn.LET(_xlpm.c,KWMIN($I24&amp;", "&amp;$AC$3,"Critical Hits"),IF(ISNUMBER(_xlpm.c),MEDIAN(2,6,_xlpm.c),6)))</f>
        <v/>
      </c>
      <c r="BD24" s="19" t="str" cm="1">
        <f t="array" ref="BD24">IF($C24="","",KWSUM($I24&amp;", "&amp;$AC$3,"Save Modifier"))</f>
        <v/>
      </c>
    </row>
    <row r="25" spans="1:60" ht="14.65" customHeight="1" x14ac:dyDescent="0.25">
      <c r="A25" s="38" t="b">
        <v>1</v>
      </c>
      <c r="B25" s="59">
        <v>1</v>
      </c>
      <c r="C25" s="30"/>
      <c r="D25"/>
      <c r="E25"/>
      <c r="F25"/>
      <c r="G25"/>
      <c r="H25"/>
      <c r="I25" s="1"/>
      <c r="J25" s="120"/>
      <c r="K25" s="122"/>
      <c r="L25" s="122"/>
      <c r="M25" s="122"/>
      <c r="N25" s="122"/>
      <c r="O25" s="118"/>
      <c r="P25" s="24" t="str" cm="1">
        <f t="array" ref="P25">IF(OR($C25="",NOT($A25)),"",N($B25)*(MAX(1,DICEAVG($D25)+$AZ25)+$AH25*FALSE+($AI25+$AJ25)*INT($F$3/5)))</f>
        <v/>
      </c>
      <c r="Q25" s="24" t="str">
        <f t="shared" si="8"/>
        <v/>
      </c>
      <c r="R25" s="24" t="str">
        <f t="shared" si="0"/>
        <v/>
      </c>
      <c r="S25" s="24" t="str">
        <f t="shared" si="1"/>
        <v/>
      </c>
      <c r="T25" s="24" t="str">
        <f t="shared" si="2"/>
        <v/>
      </c>
      <c r="U25" s="24" t="str">
        <f t="shared" si="3"/>
        <v/>
      </c>
      <c r="V25" s="24" t="str" cm="1">
        <f t="array" ref="V25">IF(OR($C25="",NOT($A25)),"",MAX(1,DICEAVG($H25)+$AK25*FALSE+$AV25+$AH$3))</f>
        <v/>
      </c>
      <c r="W25" s="24" t="str">
        <f t="shared" si="4"/>
        <v/>
      </c>
      <c r="X25" s="24" t="str">
        <f t="shared" si="5"/>
        <v/>
      </c>
      <c r="Y25" s="31" t="str">
        <f t="shared" si="6"/>
        <v/>
      </c>
      <c r="AA25" s="17" t="str" cm="1">
        <f t="array" ref="AA25">IF($C25="","",KW(($I25&amp;", "&amp;$AC$3),"Torrent")=TRUE)</f>
        <v/>
      </c>
      <c r="AB25" s="17" t="str" cm="1">
        <f t="array" ref="AB25">IF($C25="","",KW(($I25&amp;", "&amp;$AC$3),"Lethal Hits")=TRUE)</f>
        <v/>
      </c>
      <c r="AC25" s="17" t="str" cm="1">
        <f t="array" ref="AC25">IF($C25="","",N(KW(($I25&amp;", "&amp;$AC$3),"Sustained Hits")))</f>
        <v/>
      </c>
      <c r="AD25" s="17" t="str" cm="1">
        <f t="array" ref="AD25">IF($C25="","",KW(($I25&amp;", "&amp;$AC$3),"Devastating Wounds")=TRUE)</f>
        <v/>
      </c>
      <c r="AE25" s="17" t="str" cm="1">
        <f t="array" ref="AE25">IF($C25="","",KW(($I25&amp;", "&amp;$AC$3),"Twin-Linked")=TRUE)</f>
        <v/>
      </c>
      <c r="AF25" s="17" t="str" cm="1">
        <f t="array" ref="AF25">IF($C25="","",KW(($I25&amp;", "&amp;$AC$3),"Lance")=TRUE)</f>
        <v/>
      </c>
      <c r="AG25" s="17" t="str" cm="1">
        <f t="array" ref="AG25">IF($C25="","",KW(($I25&amp;", "&amp;$AC$3),"Heavy")=TRUE)</f>
        <v/>
      </c>
      <c r="AH25" s="17" t="str" cm="1">
        <f t="array" ref="AH25">IF($C25="","",N(KW(($I25&amp;", "&amp;$AC$3),"Rapid Fire")))</f>
        <v/>
      </c>
      <c r="AI25" s="17" t="str" cm="1">
        <f t="array" ref="AI25">IF($C25="","",N(KW(($I25&amp;", "&amp;$AC$3),"Blast")))</f>
        <v/>
      </c>
      <c r="AJ25" s="17" t="str" cm="1">
        <f t="array" ref="AJ25">IF($C25="","",N(KW(($I25&amp;", "&amp;$AC$3),"Cleave")))</f>
        <v/>
      </c>
      <c r="AK25" s="17" t="str" cm="1">
        <f t="array" ref="AK25">IF($C25="","",N(KW(($I25&amp;", "&amp;$AC$3),"Melta")))</f>
        <v/>
      </c>
      <c r="AL25" s="17" t="str" cm="1">
        <f t="array" ref="AL25">IF($C25="","",KW(($I25&amp;", "&amp;$AC$3),"Ignores Cover")=TRUE)</f>
        <v/>
      </c>
      <c r="AM25" s="17" t="str" cm="1">
        <f t="array" ref="AM25">IF($C25="","",KW(($I25&amp;", "&amp;$AC$3),"Psychic")=TRUE)</f>
        <v/>
      </c>
      <c r="AN25" s="18" t="str" cm="1">
        <f t="array" ref="AN25">IF($C25="","",_xlfn.LET(_xlpm.src,$I25&amp;", "&amp;$AC$3,_xlpm.a,KWANTI(_xlpm.src,($O$6&amp;", "&amp;$AD$3)),_xlpm.c,KWMIN(_xlpm.src,"Critical Wounds"),MIN(_xlpm.a,IF(ISNUMBER(_xlpm.c),MEDIAN(2,6,_xlpm.c),6))))</f>
        <v/>
      </c>
      <c r="AO25" s="18" t="str">
        <f t="shared" si="9"/>
        <v/>
      </c>
      <c r="AP25" s="18" t="str">
        <f t="shared" si="10"/>
        <v/>
      </c>
      <c r="AQ25" s="18" t="str">
        <f t="shared" si="11"/>
        <v/>
      </c>
      <c r="AR25" s="19" t="str">
        <f t="shared" si="7"/>
        <v/>
      </c>
      <c r="AS25" s="19" t="str" cm="1">
        <f t="array" ref="AS25">IF($C25="","",KWSUM(($I25&amp;", "&amp;$AC$3),"Hit Modifier"))</f>
        <v/>
      </c>
      <c r="AT25" s="19" t="str" cm="1">
        <f t="array" ref="AT25">IF($C25="","",KWSUM(($I25&amp;", "&amp;$AC$3),"Wound Modifier"))</f>
        <v/>
      </c>
      <c r="AU25" s="19" t="str" cm="1">
        <f t="array" ref="AU25">IF($C25="","",KWSUM(($I25&amp;", "&amp;$AC$3),"AP Modifier"))</f>
        <v/>
      </c>
      <c r="AV25" s="19" t="str" cm="1">
        <f t="array" ref="AV25">IF($C25="","",KWSUM(($I25&amp;", "&amp;$AC$3),"Damage Modifier"))</f>
        <v/>
      </c>
      <c r="AW25" s="19" t="str" cm="1">
        <f t="array" ref="AW25">IF($C25="","",_xlfn.LET(_xlpm.src,$I25&amp;", "&amp;$AC$3,_xlpm.full,ISNUMBER(_xlfn.XMATCH("Reroll Hits",TRIM(_xlfn.TEXTSPLIT(_xlpm.src,",")))),_xlpm.r,KW(_xlpm.src,"Reroll Hits"),IF(_xlpm.full,2,IF(N(_xlpm.r)&gt;=1,1,0))))</f>
        <v/>
      </c>
      <c r="AX25" s="19" t="str" cm="1">
        <f t="array" ref="AX25">IF($C25="","",_xlfn.LET(_xlpm.src,$I25&amp;", "&amp;$AC$3,_xlpm.full,OR($AE25,ISNUMBER(_xlfn.XMATCH("Reroll Wounds",TRIM(_xlfn.TEXTSPLIT(_xlpm.src,","))))),_xlpm.r,KW(_xlpm.src,"Reroll Wounds"),IF(_xlpm.full,2,IF(N(_xlpm.r)&gt;=1,1,0))))</f>
        <v/>
      </c>
      <c r="AY25" s="19" t="str">
        <f t="shared" si="12"/>
        <v/>
      </c>
      <c r="AZ25" s="19" t="str" cm="1">
        <f t="array" ref="AZ25">IF($C25="","",KWSUM($I25&amp;", "&amp;$AC$3,"Attacks Modifier"))</f>
        <v/>
      </c>
      <c r="BA25" s="19" t="str" cm="1">
        <f t="array" ref="BA25">IF($C25="","",KWSUM($I25&amp;", "&amp;$AC$3,"Strength Modifier"))</f>
        <v/>
      </c>
      <c r="BB25" s="19" t="str" cm="1">
        <f t="array" ref="BB25">IF($C25="","",KWSUM($I25&amp;", "&amp;$AC$3,"WS Modifier"))</f>
        <v/>
      </c>
      <c r="BC25" s="19" t="str" cm="1">
        <f t="array" ref="BC25">IF($C25="","",_xlfn.LET(_xlpm.c,KWMIN($I25&amp;", "&amp;$AC$3,"Critical Hits"),IF(ISNUMBER(_xlpm.c),MEDIAN(2,6,_xlpm.c),6)))</f>
        <v/>
      </c>
      <c r="BD25" s="19" t="str" cm="1">
        <f t="array" ref="BD25">IF($C25="","",KWSUM($I25&amp;", "&amp;$AC$3,"Save Modifier"))</f>
        <v/>
      </c>
    </row>
    <row r="26" spans="1:60" ht="14.65" customHeight="1" x14ac:dyDescent="0.25">
      <c r="A26" s="38" t="b">
        <v>1</v>
      </c>
      <c r="B26" s="59">
        <v>1</v>
      </c>
      <c r="C26" s="30"/>
      <c r="D26"/>
      <c r="E26"/>
      <c r="F26"/>
      <c r="G26"/>
      <c r="H26"/>
      <c r="I26" s="1"/>
      <c r="J26" s="120"/>
      <c r="K26" s="122"/>
      <c r="L26" s="122"/>
      <c r="M26" s="122"/>
      <c r="N26" s="122"/>
      <c r="O26" s="118"/>
      <c r="P26" s="24" t="str" cm="1">
        <f t="array" ref="P26">IF(OR($C26="",NOT($A26)),"",N($B26)*(MAX(1,DICEAVG($D26)+$AZ26)+$AH26*FALSE+($AI26+$AJ26)*INT($F$3/5)))</f>
        <v/>
      </c>
      <c r="Q26" s="24" t="str">
        <f t="shared" si="8"/>
        <v/>
      </c>
      <c r="R26" s="24" t="str">
        <f t="shared" si="0"/>
        <v/>
      </c>
      <c r="S26" s="24" t="str">
        <f t="shared" si="1"/>
        <v/>
      </c>
      <c r="T26" s="24" t="str">
        <f t="shared" si="2"/>
        <v/>
      </c>
      <c r="U26" s="24" t="str">
        <f t="shared" si="3"/>
        <v/>
      </c>
      <c r="V26" s="24" t="str" cm="1">
        <f t="array" ref="V26">IF(OR($C26="",NOT($A26)),"",MAX(1,DICEAVG($H26)+$AK26*FALSE+$AV26+$AH$3))</f>
        <v/>
      </c>
      <c r="W26" s="24" t="str">
        <f t="shared" si="4"/>
        <v/>
      </c>
      <c r="X26" s="24" t="str">
        <f t="shared" si="5"/>
        <v/>
      </c>
      <c r="Y26" s="31" t="str">
        <f t="shared" si="6"/>
        <v/>
      </c>
      <c r="AA26" s="17" t="str" cm="1">
        <f t="array" ref="AA26">IF($C26="","",KW(($I26&amp;", "&amp;$AC$3),"Torrent")=TRUE)</f>
        <v/>
      </c>
      <c r="AB26" s="17" t="str" cm="1">
        <f t="array" ref="AB26">IF($C26="","",KW(($I26&amp;", "&amp;$AC$3),"Lethal Hits")=TRUE)</f>
        <v/>
      </c>
      <c r="AC26" s="17" t="str" cm="1">
        <f t="array" ref="AC26">IF($C26="","",N(KW(($I26&amp;", "&amp;$AC$3),"Sustained Hits")))</f>
        <v/>
      </c>
      <c r="AD26" s="17" t="str" cm="1">
        <f t="array" ref="AD26">IF($C26="","",KW(($I26&amp;", "&amp;$AC$3),"Devastating Wounds")=TRUE)</f>
        <v/>
      </c>
      <c r="AE26" s="17" t="str" cm="1">
        <f t="array" ref="AE26">IF($C26="","",KW(($I26&amp;", "&amp;$AC$3),"Twin-Linked")=TRUE)</f>
        <v/>
      </c>
      <c r="AF26" s="17" t="str" cm="1">
        <f t="array" ref="AF26">IF($C26="","",KW(($I26&amp;", "&amp;$AC$3),"Lance")=TRUE)</f>
        <v/>
      </c>
      <c r="AG26" s="17" t="str" cm="1">
        <f t="array" ref="AG26">IF($C26="","",KW(($I26&amp;", "&amp;$AC$3),"Heavy")=TRUE)</f>
        <v/>
      </c>
      <c r="AH26" s="17" t="str" cm="1">
        <f t="array" ref="AH26">IF($C26="","",N(KW(($I26&amp;", "&amp;$AC$3),"Rapid Fire")))</f>
        <v/>
      </c>
      <c r="AI26" s="17" t="str" cm="1">
        <f t="array" ref="AI26">IF($C26="","",N(KW(($I26&amp;", "&amp;$AC$3),"Blast")))</f>
        <v/>
      </c>
      <c r="AJ26" s="17" t="str" cm="1">
        <f t="array" ref="AJ26">IF($C26="","",N(KW(($I26&amp;", "&amp;$AC$3),"Cleave")))</f>
        <v/>
      </c>
      <c r="AK26" s="17" t="str" cm="1">
        <f t="array" ref="AK26">IF($C26="","",N(KW(($I26&amp;", "&amp;$AC$3),"Melta")))</f>
        <v/>
      </c>
      <c r="AL26" s="17" t="str" cm="1">
        <f t="array" ref="AL26">IF($C26="","",KW(($I26&amp;", "&amp;$AC$3),"Ignores Cover")=TRUE)</f>
        <v/>
      </c>
      <c r="AM26" s="17" t="str" cm="1">
        <f t="array" ref="AM26">IF($C26="","",KW(($I26&amp;", "&amp;$AC$3),"Psychic")=TRUE)</f>
        <v/>
      </c>
      <c r="AN26" s="18" t="str" cm="1">
        <f t="array" ref="AN26">IF($C26="","",_xlfn.LET(_xlpm.src,$I26&amp;", "&amp;$AC$3,_xlpm.a,KWANTI(_xlpm.src,($O$6&amp;", "&amp;$AD$3)),_xlpm.c,KWMIN(_xlpm.src,"Critical Wounds"),MIN(_xlpm.a,IF(ISNUMBER(_xlpm.c),MEDIAN(2,6,_xlpm.c),6))))</f>
        <v/>
      </c>
      <c r="AO26" s="18" t="str">
        <f t="shared" si="9"/>
        <v/>
      </c>
      <c r="AP26" s="18" t="str">
        <f t="shared" si="10"/>
        <v/>
      </c>
      <c r="AQ26" s="18" t="str">
        <f t="shared" si="11"/>
        <v/>
      </c>
      <c r="AR26" s="19" t="str">
        <f t="shared" si="7"/>
        <v/>
      </c>
      <c r="AS26" s="19" t="str" cm="1">
        <f t="array" ref="AS26">IF($C26="","",KWSUM(($I26&amp;", "&amp;$AC$3),"Hit Modifier"))</f>
        <v/>
      </c>
      <c r="AT26" s="19" t="str" cm="1">
        <f t="array" ref="AT26">IF($C26="","",KWSUM(($I26&amp;", "&amp;$AC$3),"Wound Modifier"))</f>
        <v/>
      </c>
      <c r="AU26" s="19" t="str" cm="1">
        <f t="array" ref="AU26">IF($C26="","",KWSUM(($I26&amp;", "&amp;$AC$3),"AP Modifier"))</f>
        <v/>
      </c>
      <c r="AV26" s="19" t="str" cm="1">
        <f t="array" ref="AV26">IF($C26="","",KWSUM(($I26&amp;", "&amp;$AC$3),"Damage Modifier"))</f>
        <v/>
      </c>
      <c r="AW26" s="19" t="str" cm="1">
        <f t="array" ref="AW26">IF($C26="","",_xlfn.LET(_xlpm.src,$I26&amp;", "&amp;$AC$3,_xlpm.full,ISNUMBER(_xlfn.XMATCH("Reroll Hits",TRIM(_xlfn.TEXTSPLIT(_xlpm.src,",")))),_xlpm.r,KW(_xlpm.src,"Reroll Hits"),IF(_xlpm.full,2,IF(N(_xlpm.r)&gt;=1,1,0))))</f>
        <v/>
      </c>
      <c r="AX26" s="19" t="str" cm="1">
        <f t="array" ref="AX26">IF($C26="","",_xlfn.LET(_xlpm.src,$I26&amp;", "&amp;$AC$3,_xlpm.full,OR($AE26,ISNUMBER(_xlfn.XMATCH("Reroll Wounds",TRIM(_xlfn.TEXTSPLIT(_xlpm.src,","))))),_xlpm.r,KW(_xlpm.src,"Reroll Wounds"),IF(_xlpm.full,2,IF(N(_xlpm.r)&gt;=1,1,0))))</f>
        <v/>
      </c>
      <c r="AY26" s="19" t="str">
        <f t="shared" si="12"/>
        <v/>
      </c>
      <c r="AZ26" s="19" t="str" cm="1">
        <f t="array" ref="AZ26">IF($C26="","",KWSUM($I26&amp;", "&amp;$AC$3,"Attacks Modifier"))</f>
        <v/>
      </c>
      <c r="BA26" s="19" t="str" cm="1">
        <f t="array" ref="BA26">IF($C26="","",KWSUM($I26&amp;", "&amp;$AC$3,"Strength Modifier"))</f>
        <v/>
      </c>
      <c r="BB26" s="19" t="str" cm="1">
        <f t="array" ref="BB26">IF($C26="","",KWSUM($I26&amp;", "&amp;$AC$3,"WS Modifier"))</f>
        <v/>
      </c>
      <c r="BC26" s="19" t="str" cm="1">
        <f t="array" ref="BC26">IF($C26="","",_xlfn.LET(_xlpm.c,KWMIN($I26&amp;", "&amp;$AC$3,"Critical Hits"),IF(ISNUMBER(_xlpm.c),MEDIAN(2,6,_xlpm.c),6)))</f>
        <v/>
      </c>
      <c r="BD26" s="19" t="str" cm="1">
        <f t="array" ref="BD26">IF($C26="","",KWSUM($I26&amp;", "&amp;$AC$3,"Save Modifier"))</f>
        <v/>
      </c>
    </row>
    <row r="27" spans="1:60" ht="14.65" customHeight="1" x14ac:dyDescent="0.25">
      <c r="A27" s="38" t="b">
        <v>1</v>
      </c>
      <c r="B27" s="59">
        <v>1</v>
      </c>
      <c r="C27" s="30"/>
      <c r="D27"/>
      <c r="E27"/>
      <c r="F27"/>
      <c r="G27"/>
      <c r="H27"/>
      <c r="I27" s="1"/>
      <c r="J27" s="120"/>
      <c r="K27" s="122"/>
      <c r="L27" s="122"/>
      <c r="M27" s="122"/>
      <c r="N27" s="122"/>
      <c r="O27" s="118"/>
      <c r="P27" s="24" t="str" cm="1">
        <f t="array" ref="P27">IF(OR($C27="",NOT($A27)),"",N($B27)*(MAX(1,DICEAVG($D27)+$AZ27)+$AH27*FALSE+($AI27+$AJ27)*INT($F$3/5)))</f>
        <v/>
      </c>
      <c r="Q27" s="24" t="str">
        <f t="shared" si="8"/>
        <v/>
      </c>
      <c r="R27" s="24" t="str">
        <f t="shared" si="0"/>
        <v/>
      </c>
      <c r="S27" s="24" t="str">
        <f t="shared" si="1"/>
        <v/>
      </c>
      <c r="T27" s="24" t="str">
        <f t="shared" si="2"/>
        <v/>
      </c>
      <c r="U27" s="24" t="str">
        <f t="shared" si="3"/>
        <v/>
      </c>
      <c r="V27" s="24" t="str" cm="1">
        <f t="array" ref="V27">IF(OR($C27="",NOT($A27)),"",MAX(1,DICEAVG($H27)+$AK27*FALSE+$AV27+$AH$3))</f>
        <v/>
      </c>
      <c r="W27" s="24" t="str">
        <f t="shared" si="4"/>
        <v/>
      </c>
      <c r="X27" s="24" t="str">
        <f t="shared" si="5"/>
        <v/>
      </c>
      <c r="Y27" s="31" t="str">
        <f t="shared" si="6"/>
        <v/>
      </c>
      <c r="AA27" s="17" t="str" cm="1">
        <f t="array" ref="AA27">IF($C27="","",KW(($I27&amp;", "&amp;$AC$3),"Torrent")=TRUE)</f>
        <v/>
      </c>
      <c r="AB27" s="17" t="str" cm="1">
        <f t="array" ref="AB27">IF($C27="","",KW(($I27&amp;", "&amp;$AC$3),"Lethal Hits")=TRUE)</f>
        <v/>
      </c>
      <c r="AC27" s="17" t="str" cm="1">
        <f t="array" ref="AC27">IF($C27="","",N(KW(($I27&amp;", "&amp;$AC$3),"Sustained Hits")))</f>
        <v/>
      </c>
      <c r="AD27" s="17" t="str" cm="1">
        <f t="array" ref="AD27">IF($C27="","",KW(($I27&amp;", "&amp;$AC$3),"Devastating Wounds")=TRUE)</f>
        <v/>
      </c>
      <c r="AE27" s="17" t="str" cm="1">
        <f t="array" ref="AE27">IF($C27="","",KW(($I27&amp;", "&amp;$AC$3),"Twin-Linked")=TRUE)</f>
        <v/>
      </c>
      <c r="AF27" s="17" t="str" cm="1">
        <f t="array" ref="AF27">IF($C27="","",KW(($I27&amp;", "&amp;$AC$3),"Lance")=TRUE)</f>
        <v/>
      </c>
      <c r="AG27" s="17" t="str" cm="1">
        <f t="array" ref="AG27">IF($C27="","",KW(($I27&amp;", "&amp;$AC$3),"Heavy")=TRUE)</f>
        <v/>
      </c>
      <c r="AH27" s="17" t="str" cm="1">
        <f t="array" ref="AH27">IF($C27="","",N(KW(($I27&amp;", "&amp;$AC$3),"Rapid Fire")))</f>
        <v/>
      </c>
      <c r="AI27" s="17" t="str" cm="1">
        <f t="array" ref="AI27">IF($C27="","",N(KW(($I27&amp;", "&amp;$AC$3),"Blast")))</f>
        <v/>
      </c>
      <c r="AJ27" s="17" t="str" cm="1">
        <f t="array" ref="AJ27">IF($C27="","",N(KW(($I27&amp;", "&amp;$AC$3),"Cleave")))</f>
        <v/>
      </c>
      <c r="AK27" s="17" t="str" cm="1">
        <f t="array" ref="AK27">IF($C27="","",N(KW(($I27&amp;", "&amp;$AC$3),"Melta")))</f>
        <v/>
      </c>
      <c r="AL27" s="17" t="str" cm="1">
        <f t="array" ref="AL27">IF($C27="","",KW(($I27&amp;", "&amp;$AC$3),"Ignores Cover")=TRUE)</f>
        <v/>
      </c>
      <c r="AM27" s="17" t="str" cm="1">
        <f t="array" ref="AM27">IF($C27="","",KW(($I27&amp;", "&amp;$AC$3),"Psychic")=TRUE)</f>
        <v/>
      </c>
      <c r="AN27" s="18" t="str" cm="1">
        <f t="array" ref="AN27">IF($C27="","",_xlfn.LET(_xlpm.src,$I27&amp;", "&amp;$AC$3,_xlpm.a,KWANTI(_xlpm.src,($O$6&amp;", "&amp;$AD$3)),_xlpm.c,KWMIN(_xlpm.src,"Critical Wounds"),MIN(_xlpm.a,IF(ISNUMBER(_xlpm.c),MEDIAN(2,6,_xlpm.c),6))))</f>
        <v/>
      </c>
      <c r="AO27" s="18" t="str">
        <f t="shared" si="9"/>
        <v/>
      </c>
      <c r="AP27" s="18" t="str">
        <f t="shared" si="10"/>
        <v/>
      </c>
      <c r="AQ27" s="18" t="str">
        <f t="shared" si="11"/>
        <v/>
      </c>
      <c r="AR27" s="19" t="str">
        <f t="shared" si="7"/>
        <v/>
      </c>
      <c r="AS27" s="19" t="str" cm="1">
        <f t="array" ref="AS27">IF($C27="","",KWSUM(($I27&amp;", "&amp;$AC$3),"Hit Modifier"))</f>
        <v/>
      </c>
      <c r="AT27" s="19" t="str" cm="1">
        <f t="array" ref="AT27">IF($C27="","",KWSUM(($I27&amp;", "&amp;$AC$3),"Wound Modifier"))</f>
        <v/>
      </c>
      <c r="AU27" s="19" t="str" cm="1">
        <f t="array" ref="AU27">IF($C27="","",KWSUM(($I27&amp;", "&amp;$AC$3),"AP Modifier"))</f>
        <v/>
      </c>
      <c r="AV27" s="19" t="str" cm="1">
        <f t="array" ref="AV27">IF($C27="","",KWSUM(($I27&amp;", "&amp;$AC$3),"Damage Modifier"))</f>
        <v/>
      </c>
      <c r="AW27" s="19" t="str" cm="1">
        <f t="array" ref="AW27">IF($C27="","",_xlfn.LET(_xlpm.src,$I27&amp;", "&amp;$AC$3,_xlpm.full,ISNUMBER(_xlfn.XMATCH("Reroll Hits",TRIM(_xlfn.TEXTSPLIT(_xlpm.src,",")))),_xlpm.r,KW(_xlpm.src,"Reroll Hits"),IF(_xlpm.full,2,IF(N(_xlpm.r)&gt;=1,1,0))))</f>
        <v/>
      </c>
      <c r="AX27" s="19" t="str" cm="1">
        <f t="array" ref="AX27">IF($C27="","",_xlfn.LET(_xlpm.src,$I27&amp;", "&amp;$AC$3,_xlpm.full,OR($AE27,ISNUMBER(_xlfn.XMATCH("Reroll Wounds",TRIM(_xlfn.TEXTSPLIT(_xlpm.src,","))))),_xlpm.r,KW(_xlpm.src,"Reroll Wounds"),IF(_xlpm.full,2,IF(N(_xlpm.r)&gt;=1,1,0))))</f>
        <v/>
      </c>
      <c r="AY27" s="19" t="str">
        <f t="shared" si="12"/>
        <v/>
      </c>
      <c r="AZ27" s="19" t="str" cm="1">
        <f t="array" ref="AZ27">IF($C27="","",KWSUM($I27&amp;", "&amp;$AC$3,"Attacks Modifier"))</f>
        <v/>
      </c>
      <c r="BA27" s="19" t="str" cm="1">
        <f t="array" ref="BA27">IF($C27="","",KWSUM($I27&amp;", "&amp;$AC$3,"Strength Modifier"))</f>
        <v/>
      </c>
      <c r="BB27" s="19" t="str" cm="1">
        <f t="array" ref="BB27">IF($C27="","",KWSUM($I27&amp;", "&amp;$AC$3,"WS Modifier"))</f>
        <v/>
      </c>
      <c r="BC27" s="19" t="str" cm="1">
        <f t="array" ref="BC27">IF($C27="","",_xlfn.LET(_xlpm.c,KWMIN($I27&amp;", "&amp;$AC$3,"Critical Hits"),IF(ISNUMBER(_xlpm.c),MEDIAN(2,6,_xlpm.c),6)))</f>
        <v/>
      </c>
      <c r="BD27" s="19" t="str" cm="1">
        <f t="array" ref="BD27">IF($C27="","",KWSUM($I27&amp;", "&amp;$AC$3,"Save Modifier"))</f>
        <v/>
      </c>
    </row>
    <row r="28" spans="1:60" ht="14.65" customHeight="1" x14ac:dyDescent="0.25">
      <c r="A28" s="38" t="b">
        <v>1</v>
      </c>
      <c r="B28" s="59">
        <v>1</v>
      </c>
      <c r="C28" s="30"/>
      <c r="D28"/>
      <c r="E28"/>
      <c r="F28"/>
      <c r="G28"/>
      <c r="H28"/>
      <c r="I28" s="1"/>
      <c r="J28" s="120"/>
      <c r="K28" s="122"/>
      <c r="L28" s="122"/>
      <c r="M28" s="122"/>
      <c r="N28" s="122"/>
      <c r="O28" s="118"/>
      <c r="P28" s="24" t="str" cm="1">
        <f t="array" ref="P28">IF(OR($C28="",NOT($A28)),"",N($B28)*(MAX(1,DICEAVG($D28)+$AZ28)+$AH28*FALSE+($AI28+$AJ28)*INT($F$3/5)))</f>
        <v/>
      </c>
      <c r="Q28" s="24" t="str">
        <f t="shared" si="8"/>
        <v/>
      </c>
      <c r="R28" s="24" t="str">
        <f t="shared" si="0"/>
        <v/>
      </c>
      <c r="S28" s="24" t="str">
        <f t="shared" si="1"/>
        <v/>
      </c>
      <c r="T28" s="24" t="str">
        <f t="shared" si="2"/>
        <v/>
      </c>
      <c r="U28" s="24" t="str">
        <f t="shared" si="3"/>
        <v/>
      </c>
      <c r="V28" s="24" t="str" cm="1">
        <f t="array" ref="V28">IF(OR($C28="",NOT($A28)),"",MAX(1,DICEAVG($H28)+$AK28*FALSE+$AV28+$AH$3))</f>
        <v/>
      </c>
      <c r="W28" s="24" t="str">
        <f t="shared" si="4"/>
        <v/>
      </c>
      <c r="X28" s="24" t="str">
        <f t="shared" si="5"/>
        <v/>
      </c>
      <c r="Y28" s="31" t="str">
        <f t="shared" si="6"/>
        <v/>
      </c>
      <c r="AA28" s="17" t="str" cm="1">
        <f t="array" ref="AA28">IF($C28="","",KW(($I28&amp;", "&amp;$AC$3),"Torrent")=TRUE)</f>
        <v/>
      </c>
      <c r="AB28" s="17" t="str" cm="1">
        <f t="array" ref="AB28">IF($C28="","",KW(($I28&amp;", "&amp;$AC$3),"Lethal Hits")=TRUE)</f>
        <v/>
      </c>
      <c r="AC28" s="17" t="str" cm="1">
        <f t="array" ref="AC28">IF($C28="","",N(KW(($I28&amp;", "&amp;$AC$3),"Sustained Hits")))</f>
        <v/>
      </c>
      <c r="AD28" s="17" t="str" cm="1">
        <f t="array" ref="AD28">IF($C28="","",KW(($I28&amp;", "&amp;$AC$3),"Devastating Wounds")=TRUE)</f>
        <v/>
      </c>
      <c r="AE28" s="17" t="str" cm="1">
        <f t="array" ref="AE28">IF($C28="","",KW(($I28&amp;", "&amp;$AC$3),"Twin-Linked")=TRUE)</f>
        <v/>
      </c>
      <c r="AF28" s="17" t="str" cm="1">
        <f t="array" ref="AF28">IF($C28="","",KW(($I28&amp;", "&amp;$AC$3),"Lance")=TRUE)</f>
        <v/>
      </c>
      <c r="AG28" s="17" t="str" cm="1">
        <f t="array" ref="AG28">IF($C28="","",KW(($I28&amp;", "&amp;$AC$3),"Heavy")=TRUE)</f>
        <v/>
      </c>
      <c r="AH28" s="17" t="str" cm="1">
        <f t="array" ref="AH28">IF($C28="","",N(KW(($I28&amp;", "&amp;$AC$3),"Rapid Fire")))</f>
        <v/>
      </c>
      <c r="AI28" s="17" t="str" cm="1">
        <f t="array" ref="AI28">IF($C28="","",N(KW(($I28&amp;", "&amp;$AC$3),"Blast")))</f>
        <v/>
      </c>
      <c r="AJ28" s="17" t="str" cm="1">
        <f t="array" ref="AJ28">IF($C28="","",N(KW(($I28&amp;", "&amp;$AC$3),"Cleave")))</f>
        <v/>
      </c>
      <c r="AK28" s="17" t="str" cm="1">
        <f t="array" ref="AK28">IF($C28="","",N(KW(($I28&amp;", "&amp;$AC$3),"Melta")))</f>
        <v/>
      </c>
      <c r="AL28" s="17" t="str" cm="1">
        <f t="array" ref="AL28">IF($C28="","",KW(($I28&amp;", "&amp;$AC$3),"Ignores Cover")=TRUE)</f>
        <v/>
      </c>
      <c r="AM28" s="17" t="str" cm="1">
        <f t="array" ref="AM28">IF($C28="","",KW(($I28&amp;", "&amp;$AC$3),"Psychic")=TRUE)</f>
        <v/>
      </c>
      <c r="AN28" s="18" t="str" cm="1">
        <f t="array" ref="AN28">IF($C28="","",_xlfn.LET(_xlpm.src,$I28&amp;", "&amp;$AC$3,_xlpm.a,KWANTI(_xlpm.src,($O$6&amp;", "&amp;$AD$3)),_xlpm.c,KWMIN(_xlpm.src,"Critical Wounds"),MIN(_xlpm.a,IF(ISNUMBER(_xlpm.c),MEDIAN(2,6,_xlpm.c),6))))</f>
        <v/>
      </c>
      <c r="AO28" s="18" t="str">
        <f t="shared" si="9"/>
        <v/>
      </c>
      <c r="AP28" s="18" t="str">
        <f t="shared" si="10"/>
        <v/>
      </c>
      <c r="AQ28" s="18" t="str">
        <f t="shared" si="11"/>
        <v/>
      </c>
      <c r="AR28" s="19" t="str">
        <f t="shared" si="7"/>
        <v/>
      </c>
      <c r="AS28" s="19" t="str" cm="1">
        <f t="array" ref="AS28">IF($C28="","",KWSUM(($I28&amp;", "&amp;$AC$3),"Hit Modifier"))</f>
        <v/>
      </c>
      <c r="AT28" s="19" t="str" cm="1">
        <f t="array" ref="AT28">IF($C28="","",KWSUM(($I28&amp;", "&amp;$AC$3),"Wound Modifier"))</f>
        <v/>
      </c>
      <c r="AU28" s="19" t="str" cm="1">
        <f t="array" ref="AU28">IF($C28="","",KWSUM(($I28&amp;", "&amp;$AC$3),"AP Modifier"))</f>
        <v/>
      </c>
      <c r="AV28" s="19" t="str" cm="1">
        <f t="array" ref="AV28">IF($C28="","",KWSUM(($I28&amp;", "&amp;$AC$3),"Damage Modifier"))</f>
        <v/>
      </c>
      <c r="AW28" s="19" t="str" cm="1">
        <f t="array" ref="AW28">IF($C28="","",_xlfn.LET(_xlpm.src,$I28&amp;", "&amp;$AC$3,_xlpm.full,ISNUMBER(_xlfn.XMATCH("Reroll Hits",TRIM(_xlfn.TEXTSPLIT(_xlpm.src,",")))),_xlpm.r,KW(_xlpm.src,"Reroll Hits"),IF(_xlpm.full,2,IF(N(_xlpm.r)&gt;=1,1,0))))</f>
        <v/>
      </c>
      <c r="AX28" s="19" t="str" cm="1">
        <f t="array" ref="AX28">IF($C28="","",_xlfn.LET(_xlpm.src,$I28&amp;", "&amp;$AC$3,_xlpm.full,OR($AE28,ISNUMBER(_xlfn.XMATCH("Reroll Wounds",TRIM(_xlfn.TEXTSPLIT(_xlpm.src,","))))),_xlpm.r,KW(_xlpm.src,"Reroll Wounds"),IF(_xlpm.full,2,IF(N(_xlpm.r)&gt;=1,1,0))))</f>
        <v/>
      </c>
      <c r="AY28" s="19" t="str">
        <f t="shared" si="12"/>
        <v/>
      </c>
      <c r="AZ28" s="19" t="str" cm="1">
        <f t="array" ref="AZ28">IF($C28="","",KWSUM($I28&amp;", "&amp;$AC$3,"Attacks Modifier"))</f>
        <v/>
      </c>
      <c r="BA28" s="19" t="str" cm="1">
        <f t="array" ref="BA28">IF($C28="","",KWSUM($I28&amp;", "&amp;$AC$3,"Strength Modifier"))</f>
        <v/>
      </c>
      <c r="BB28" s="19" t="str" cm="1">
        <f t="array" ref="BB28">IF($C28="","",KWSUM($I28&amp;", "&amp;$AC$3,"WS Modifier"))</f>
        <v/>
      </c>
      <c r="BC28" s="19" t="str" cm="1">
        <f t="array" ref="BC28">IF($C28="","",_xlfn.LET(_xlpm.c,KWMIN($I28&amp;", "&amp;$AC$3,"Critical Hits"),IF(ISNUMBER(_xlpm.c),MEDIAN(2,6,_xlpm.c),6)))</f>
        <v/>
      </c>
      <c r="BD28" s="19" t="str" cm="1">
        <f t="array" ref="BD28">IF($C28="","",KWSUM($I28&amp;", "&amp;$AC$3,"Save Modifier"))</f>
        <v/>
      </c>
    </row>
    <row r="29" spans="1:60" ht="14.65" customHeight="1" x14ac:dyDescent="0.25">
      <c r="A29" s="38" t="b">
        <v>1</v>
      </c>
      <c r="B29" s="59">
        <v>1</v>
      </c>
      <c r="C29" s="30"/>
      <c r="D29"/>
      <c r="E29"/>
      <c r="F29"/>
      <c r="G29"/>
      <c r="H29"/>
      <c r="I29" s="1"/>
      <c r="J29" s="120"/>
      <c r="K29" s="122"/>
      <c r="L29" s="122"/>
      <c r="M29" s="122"/>
      <c r="N29" s="122"/>
      <c r="O29" s="118"/>
      <c r="P29" s="24" t="str" cm="1">
        <f t="array" ref="P29">IF(OR($C29="",NOT($A29)),"",N($B29)*(MAX(1,DICEAVG($D29)+$AZ29)+$AH29*FALSE+($AI29+$AJ29)*INT($F$3/5)))</f>
        <v/>
      </c>
      <c r="Q29" s="24" t="str">
        <f t="shared" si="8"/>
        <v/>
      </c>
      <c r="R29" s="24" t="str">
        <f t="shared" si="0"/>
        <v/>
      </c>
      <c r="S29" s="24" t="str">
        <f t="shared" si="1"/>
        <v/>
      </c>
      <c r="T29" s="24" t="str">
        <f t="shared" si="2"/>
        <v/>
      </c>
      <c r="U29" s="24" t="str">
        <f t="shared" si="3"/>
        <v/>
      </c>
      <c r="V29" s="24" t="str" cm="1">
        <f t="array" ref="V29">IF(OR($C29="",NOT($A29)),"",MAX(1,DICEAVG($H29)+$AK29*FALSE+$AV29+$AH$3))</f>
        <v/>
      </c>
      <c r="W29" s="24" t="str">
        <f t="shared" si="4"/>
        <v/>
      </c>
      <c r="X29" s="24" t="str">
        <f t="shared" si="5"/>
        <v/>
      </c>
      <c r="Y29" s="31" t="str">
        <f t="shared" si="6"/>
        <v/>
      </c>
      <c r="AA29" s="17" t="str" cm="1">
        <f t="array" ref="AA29">IF($C29="","",KW(($I29&amp;", "&amp;$AC$3),"Torrent")=TRUE)</f>
        <v/>
      </c>
      <c r="AB29" s="17" t="str" cm="1">
        <f t="array" ref="AB29">IF($C29="","",KW(($I29&amp;", "&amp;$AC$3),"Lethal Hits")=TRUE)</f>
        <v/>
      </c>
      <c r="AC29" s="17" t="str" cm="1">
        <f t="array" ref="AC29">IF($C29="","",N(KW(($I29&amp;", "&amp;$AC$3),"Sustained Hits")))</f>
        <v/>
      </c>
      <c r="AD29" s="17" t="str" cm="1">
        <f t="array" ref="AD29">IF($C29="","",KW(($I29&amp;", "&amp;$AC$3),"Devastating Wounds")=TRUE)</f>
        <v/>
      </c>
      <c r="AE29" s="17" t="str" cm="1">
        <f t="array" ref="AE29">IF($C29="","",KW(($I29&amp;", "&amp;$AC$3),"Twin-Linked")=TRUE)</f>
        <v/>
      </c>
      <c r="AF29" s="17" t="str" cm="1">
        <f t="array" ref="AF29">IF($C29="","",KW(($I29&amp;", "&amp;$AC$3),"Lance")=TRUE)</f>
        <v/>
      </c>
      <c r="AG29" s="17" t="str" cm="1">
        <f t="array" ref="AG29">IF($C29="","",KW(($I29&amp;", "&amp;$AC$3),"Heavy")=TRUE)</f>
        <v/>
      </c>
      <c r="AH29" s="17" t="str" cm="1">
        <f t="array" ref="AH29">IF($C29="","",N(KW(($I29&amp;", "&amp;$AC$3),"Rapid Fire")))</f>
        <v/>
      </c>
      <c r="AI29" s="17" t="str" cm="1">
        <f t="array" ref="AI29">IF($C29="","",N(KW(($I29&amp;", "&amp;$AC$3),"Blast")))</f>
        <v/>
      </c>
      <c r="AJ29" s="17" t="str" cm="1">
        <f t="array" ref="AJ29">IF($C29="","",N(KW(($I29&amp;", "&amp;$AC$3),"Cleave")))</f>
        <v/>
      </c>
      <c r="AK29" s="17" t="str" cm="1">
        <f t="array" ref="AK29">IF($C29="","",N(KW(($I29&amp;", "&amp;$AC$3),"Melta")))</f>
        <v/>
      </c>
      <c r="AL29" s="17" t="str" cm="1">
        <f t="array" ref="AL29">IF($C29="","",KW(($I29&amp;", "&amp;$AC$3),"Ignores Cover")=TRUE)</f>
        <v/>
      </c>
      <c r="AM29" s="17" t="str" cm="1">
        <f t="array" ref="AM29">IF($C29="","",KW(($I29&amp;", "&amp;$AC$3),"Psychic")=TRUE)</f>
        <v/>
      </c>
      <c r="AN29" s="18" t="str" cm="1">
        <f t="array" ref="AN29">IF($C29="","",_xlfn.LET(_xlpm.src,$I29&amp;", "&amp;$AC$3,_xlpm.a,KWANTI(_xlpm.src,($O$6&amp;", "&amp;$AD$3)),_xlpm.c,KWMIN(_xlpm.src,"Critical Wounds"),MIN(_xlpm.a,IF(ISNUMBER(_xlpm.c),MEDIAN(2,6,_xlpm.c),6))))</f>
        <v/>
      </c>
      <c r="AO29" s="18" t="str">
        <f t="shared" si="9"/>
        <v/>
      </c>
      <c r="AP29" s="18" t="str">
        <f t="shared" si="10"/>
        <v/>
      </c>
      <c r="AQ29" s="18" t="str">
        <f t="shared" si="11"/>
        <v/>
      </c>
      <c r="AR29" s="19" t="str">
        <f t="shared" si="7"/>
        <v/>
      </c>
      <c r="AS29" s="19" t="str" cm="1">
        <f t="array" ref="AS29">IF($C29="","",KWSUM(($I29&amp;", "&amp;$AC$3),"Hit Modifier"))</f>
        <v/>
      </c>
      <c r="AT29" s="19" t="str" cm="1">
        <f t="array" ref="AT29">IF($C29="","",KWSUM(($I29&amp;", "&amp;$AC$3),"Wound Modifier"))</f>
        <v/>
      </c>
      <c r="AU29" s="19" t="str" cm="1">
        <f t="array" ref="AU29">IF($C29="","",KWSUM(($I29&amp;", "&amp;$AC$3),"AP Modifier"))</f>
        <v/>
      </c>
      <c r="AV29" s="19" t="str" cm="1">
        <f t="array" ref="AV29">IF($C29="","",KWSUM(($I29&amp;", "&amp;$AC$3),"Damage Modifier"))</f>
        <v/>
      </c>
      <c r="AW29" s="19" t="str" cm="1">
        <f t="array" ref="AW29">IF($C29="","",_xlfn.LET(_xlpm.src,$I29&amp;", "&amp;$AC$3,_xlpm.full,ISNUMBER(_xlfn.XMATCH("Reroll Hits",TRIM(_xlfn.TEXTSPLIT(_xlpm.src,",")))),_xlpm.r,KW(_xlpm.src,"Reroll Hits"),IF(_xlpm.full,2,IF(N(_xlpm.r)&gt;=1,1,0))))</f>
        <v/>
      </c>
      <c r="AX29" s="19" t="str" cm="1">
        <f t="array" ref="AX29">IF($C29="","",_xlfn.LET(_xlpm.src,$I29&amp;", "&amp;$AC$3,_xlpm.full,OR($AE29,ISNUMBER(_xlfn.XMATCH("Reroll Wounds",TRIM(_xlfn.TEXTSPLIT(_xlpm.src,","))))),_xlpm.r,KW(_xlpm.src,"Reroll Wounds"),IF(_xlpm.full,2,IF(N(_xlpm.r)&gt;=1,1,0))))</f>
        <v/>
      </c>
      <c r="AY29" s="19" t="str">
        <f t="shared" si="12"/>
        <v/>
      </c>
      <c r="AZ29" s="19" t="str" cm="1">
        <f t="array" ref="AZ29">IF($C29="","",KWSUM($I29&amp;", "&amp;$AC$3,"Attacks Modifier"))</f>
        <v/>
      </c>
      <c r="BA29" s="19" t="str" cm="1">
        <f t="array" ref="BA29">IF($C29="","",KWSUM($I29&amp;", "&amp;$AC$3,"Strength Modifier"))</f>
        <v/>
      </c>
      <c r="BB29" s="19" t="str" cm="1">
        <f t="array" ref="BB29">IF($C29="","",KWSUM($I29&amp;", "&amp;$AC$3,"WS Modifier"))</f>
        <v/>
      </c>
      <c r="BC29" s="19" t="str" cm="1">
        <f t="array" ref="BC29">IF($C29="","",_xlfn.LET(_xlpm.c,KWMIN($I29&amp;", "&amp;$AC$3,"Critical Hits"),IF(ISNUMBER(_xlpm.c),MEDIAN(2,6,_xlpm.c),6)))</f>
        <v/>
      </c>
      <c r="BD29" s="19" t="str" cm="1">
        <f t="array" ref="BD29">IF($C29="","",KWSUM($I29&amp;", "&amp;$AC$3,"Save Modifier"))</f>
        <v/>
      </c>
    </row>
    <row r="30" spans="1:60" ht="15" customHeight="1" x14ac:dyDescent="0.25">
      <c r="A30" s="38" t="b">
        <v>1</v>
      </c>
      <c r="B30" s="60">
        <v>1</v>
      </c>
      <c r="C30" s="32"/>
      <c r="D30" s="33"/>
      <c r="E30" s="33"/>
      <c r="F30" s="33"/>
      <c r="G30" s="33"/>
      <c r="H30" s="33"/>
      <c r="I30" s="34"/>
      <c r="J30" s="121"/>
      <c r="K30" s="123"/>
      <c r="L30" s="123"/>
      <c r="M30" s="123"/>
      <c r="N30" s="123"/>
      <c r="O30" s="119"/>
      <c r="P30" s="35" t="str" cm="1">
        <f t="array" ref="P30">IF(OR($C30="",NOT($A30)),"",N($B30)*(MAX(1,DICEAVG($D30)+$AZ30)+$AH30*FALSE+($AI30+$AJ30)*INT($F$3/5)))</f>
        <v/>
      </c>
      <c r="Q30" s="35" t="str">
        <f t="shared" si="8"/>
        <v/>
      </c>
      <c r="R30" s="35" t="str">
        <f t="shared" si="0"/>
        <v/>
      </c>
      <c r="S30" s="35" t="str">
        <f t="shared" si="1"/>
        <v/>
      </c>
      <c r="T30" s="35" t="str">
        <f t="shared" si="2"/>
        <v/>
      </c>
      <c r="U30" s="35" t="str">
        <f t="shared" si="3"/>
        <v/>
      </c>
      <c r="V30" s="35" t="str" cm="1">
        <f t="array" ref="V30">IF(OR($C30="",NOT($A30)),"",MAX(1,DICEAVG($H30)+$AK30*FALSE+$AV30+$AH$3))</f>
        <v/>
      </c>
      <c r="W30" s="35" t="str">
        <f t="shared" si="4"/>
        <v/>
      </c>
      <c r="X30" s="35" t="str">
        <f t="shared" si="5"/>
        <v/>
      </c>
      <c r="Y30" s="36" t="str">
        <f t="shared" si="6"/>
        <v/>
      </c>
      <c r="AA30" s="17" t="str" cm="1">
        <f t="array" ref="AA30">IF($C30="","",KW(($I30&amp;", "&amp;$AC$3),"Torrent")=TRUE)</f>
        <v/>
      </c>
      <c r="AB30" s="17" t="str" cm="1">
        <f t="array" ref="AB30">IF($C30="","",KW(($I30&amp;", "&amp;$AC$3),"Lethal Hits")=TRUE)</f>
        <v/>
      </c>
      <c r="AC30" s="17" t="str" cm="1">
        <f t="array" ref="AC30">IF($C30="","",N(KW(($I30&amp;", "&amp;$AC$3),"Sustained Hits")))</f>
        <v/>
      </c>
      <c r="AD30" s="17" t="str" cm="1">
        <f t="array" ref="AD30">IF($C30="","",KW(($I30&amp;", "&amp;$AC$3),"Devastating Wounds")=TRUE)</f>
        <v/>
      </c>
      <c r="AE30" s="17" t="str" cm="1">
        <f t="array" ref="AE30">IF($C30="","",KW(($I30&amp;", "&amp;$AC$3),"Twin-Linked")=TRUE)</f>
        <v/>
      </c>
      <c r="AF30" s="17" t="str" cm="1">
        <f t="array" ref="AF30">IF($C30="","",KW(($I30&amp;", "&amp;$AC$3),"Lance")=TRUE)</f>
        <v/>
      </c>
      <c r="AG30" s="17" t="str" cm="1">
        <f t="array" ref="AG30">IF($C30="","",KW(($I30&amp;", "&amp;$AC$3),"Heavy")=TRUE)</f>
        <v/>
      </c>
      <c r="AH30" s="17" t="str" cm="1">
        <f t="array" ref="AH30">IF($C30="","",N(KW(($I30&amp;", "&amp;$AC$3),"Rapid Fire")))</f>
        <v/>
      </c>
      <c r="AI30" s="17" t="str" cm="1">
        <f t="array" ref="AI30">IF($C30="","",N(KW(($I30&amp;", "&amp;$AC$3),"Blast")))</f>
        <v/>
      </c>
      <c r="AJ30" s="17" t="str" cm="1">
        <f t="array" ref="AJ30">IF($C30="","",N(KW(($I30&amp;", "&amp;$AC$3),"Cleave")))</f>
        <v/>
      </c>
      <c r="AK30" s="17" t="str" cm="1">
        <f t="array" ref="AK30">IF($C30="","",N(KW(($I30&amp;", "&amp;$AC$3),"Melta")))</f>
        <v/>
      </c>
      <c r="AL30" s="17" t="str" cm="1">
        <f t="array" ref="AL30">IF($C30="","",KW(($I30&amp;", "&amp;$AC$3),"Ignores Cover")=TRUE)</f>
        <v/>
      </c>
      <c r="AM30" s="17" t="str" cm="1">
        <f t="array" ref="AM30">IF($C30="","",KW(($I30&amp;", "&amp;$AC$3),"Psychic")=TRUE)</f>
        <v/>
      </c>
      <c r="AN30" s="18" t="str" cm="1">
        <f t="array" ref="AN30">IF($C30="","",_xlfn.LET(_xlpm.src,$I30&amp;", "&amp;$AC$3,_xlpm.a,KWANTI(_xlpm.src,($O$6&amp;", "&amp;$AD$3)),_xlpm.c,KWMIN(_xlpm.src,"Critical Wounds"),MIN(_xlpm.a,IF(ISNUMBER(_xlpm.c),MEDIAN(2,6,_xlpm.c),6))))</f>
        <v/>
      </c>
      <c r="AO30" s="18" t="str">
        <f t="shared" si="9"/>
        <v/>
      </c>
      <c r="AP30" s="18" t="str">
        <f t="shared" si="10"/>
        <v/>
      </c>
      <c r="AQ30" s="18" t="str">
        <f t="shared" si="11"/>
        <v/>
      </c>
      <c r="AR30" s="19" t="str">
        <f t="shared" si="7"/>
        <v/>
      </c>
      <c r="AS30" s="19" t="str" cm="1">
        <f t="array" ref="AS30">IF($C30="","",KWSUM(($I30&amp;", "&amp;$AC$3),"Hit Modifier"))</f>
        <v/>
      </c>
      <c r="AT30" s="19" t="str" cm="1">
        <f t="array" ref="AT30">IF($C30="","",KWSUM(($I30&amp;", "&amp;$AC$3),"Wound Modifier"))</f>
        <v/>
      </c>
      <c r="AU30" s="19" t="str" cm="1">
        <f t="array" ref="AU30">IF($C30="","",KWSUM(($I30&amp;", "&amp;$AC$3),"AP Modifier"))</f>
        <v/>
      </c>
      <c r="AV30" s="19" t="str" cm="1">
        <f t="array" ref="AV30">IF($C30="","",KWSUM(($I30&amp;", "&amp;$AC$3),"Damage Modifier"))</f>
        <v/>
      </c>
      <c r="AW30" s="19" t="str" cm="1">
        <f t="array" ref="AW30">IF($C30="","",_xlfn.LET(_xlpm.src,$I30&amp;", "&amp;$AC$3,_xlpm.full,ISNUMBER(_xlfn.XMATCH("Reroll Hits",TRIM(_xlfn.TEXTSPLIT(_xlpm.src,",")))),_xlpm.r,KW(_xlpm.src,"Reroll Hits"),IF(_xlpm.full,2,IF(N(_xlpm.r)&gt;=1,1,0))))</f>
        <v/>
      </c>
      <c r="AX30" s="19" t="str" cm="1">
        <f t="array" ref="AX30">IF($C30="","",_xlfn.LET(_xlpm.src,$I30&amp;", "&amp;$AC$3,_xlpm.full,OR($AE30,ISNUMBER(_xlfn.XMATCH("Reroll Wounds",TRIM(_xlfn.TEXTSPLIT(_xlpm.src,","))))),_xlpm.r,KW(_xlpm.src,"Reroll Wounds"),IF(_xlpm.full,2,IF(N(_xlpm.r)&gt;=1,1,0))))</f>
        <v/>
      </c>
      <c r="AY30" s="19" t="str">
        <f t="shared" si="12"/>
        <v/>
      </c>
      <c r="AZ30" s="19" t="str" cm="1">
        <f t="array" ref="AZ30">IF($C30="","",KWSUM($I30&amp;", "&amp;$AC$3,"Attacks Modifier"))</f>
        <v/>
      </c>
      <c r="BA30" s="19" t="str" cm="1">
        <f t="array" ref="BA30">IF($C30="","",KWSUM($I30&amp;", "&amp;$AC$3,"Strength Modifier"))</f>
        <v/>
      </c>
      <c r="BB30" s="19" t="str" cm="1">
        <f t="array" ref="BB30">IF($C30="","",KWSUM($I30&amp;", "&amp;$AC$3,"WS Modifier"))</f>
        <v/>
      </c>
      <c r="BC30" s="19" t="str" cm="1">
        <f t="array" ref="BC30">IF($C30="","",_xlfn.LET(_xlpm.c,KWMIN($I30&amp;", "&amp;$AC$3,"Critical Hits"),IF(ISNUMBER(_xlpm.c),MEDIAN(2,6,_xlpm.c),6)))</f>
        <v/>
      </c>
      <c r="BD30" s="19" t="str" cm="1">
        <f t="array" ref="BD30">IF($C30="","",KWSUM($I30&amp;", "&amp;$AC$3,"Save Modifier"))</f>
        <v/>
      </c>
    </row>
    <row r="32" spans="1:60" x14ac:dyDescent="0.25">
      <c r="C32" s="106" t="s">
        <v>175</v>
      </c>
      <c r="D32" s="107"/>
      <c r="E32" s="107"/>
      <c r="F32" s="107"/>
      <c r="G32" s="107"/>
      <c r="H32" s="107"/>
      <c r="I32" s="108"/>
    </row>
    <row r="33" spans="1:9" x14ac:dyDescent="0.25">
      <c r="A33" s="58" t="s">
        <v>121</v>
      </c>
      <c r="C33" s="25" t="s">
        <v>176</v>
      </c>
      <c r="D33" s="26" t="s">
        <v>177</v>
      </c>
      <c r="E33" s="26" t="s">
        <v>178</v>
      </c>
      <c r="F33" s="26"/>
      <c r="G33" s="26"/>
      <c r="H33" s="26"/>
      <c r="I33" s="27"/>
    </row>
    <row r="34" spans="1:9" x14ac:dyDescent="0.25">
      <c r="A34" s="38" t="b">
        <v>0</v>
      </c>
      <c r="C34" s="30" t="str" cm="1">
        <f t="array" ref="C34:E37">_xlfn.TAKE(OPTIONS($C$3,"Attacker","Fighting"),15)</f>
        <v>Lord Of Contagion</v>
      </c>
      <c r="D34" s="3" t="str">
        <v>Rule</v>
      </c>
      <c r="E34" s="3" t="str">
        <v>Sustained Hits 1, Lance</v>
      </c>
      <c r="F34" s="3"/>
      <c r="G34" s="3"/>
      <c r="H34" s="3"/>
      <c r="I34" s="31"/>
    </row>
    <row r="35" spans="1:9" x14ac:dyDescent="0.25">
      <c r="A35" s="38" t="b">
        <v>0</v>
      </c>
      <c r="C35" s="30" t="str">
        <v>Command Re-roll</v>
      </c>
      <c r="D35" s="3" t="str">
        <v>Core Strat</v>
      </c>
      <c r="E35" s="3" t="str">
        <v/>
      </c>
      <c r="F35" s="3"/>
      <c r="G35" s="3"/>
      <c r="H35" s="3"/>
      <c r="I35" s="31"/>
    </row>
    <row r="36" spans="1:9" x14ac:dyDescent="0.25">
      <c r="A36" s="38" t="b">
        <v>0</v>
      </c>
      <c r="C36" s="30" t="str">
        <v>Epic Challenge</v>
      </c>
      <c r="D36" s="3" t="str">
        <v>Core Strat</v>
      </c>
      <c r="E36" s="3" t="str">
        <v>Precision</v>
      </c>
      <c r="F36" s="3"/>
      <c r="G36" s="3"/>
      <c r="H36" s="3"/>
      <c r="I36" s="31"/>
    </row>
    <row r="37" spans="1:9" x14ac:dyDescent="0.25">
      <c r="A37" s="38" t="b">
        <v>0</v>
      </c>
      <c r="C37" s="30" t="str">
        <v>Counteroffensive</v>
      </c>
      <c r="D37" s="3" t="str">
        <v>Core Strat</v>
      </c>
      <c r="E37" s="3" t="str">
        <v/>
      </c>
      <c r="F37" s="3"/>
      <c r="G37" s="3"/>
      <c r="H37" s="3"/>
      <c r="I37" s="31"/>
    </row>
    <row r="38" spans="1:9" x14ac:dyDescent="0.25">
      <c r="A38" s="38" t="b">
        <v>0</v>
      </c>
      <c r="C38" s="30"/>
      <c r="D38" s="3"/>
      <c r="E38" s="3"/>
      <c r="F38" s="3"/>
      <c r="G38" s="3"/>
      <c r="H38" s="3"/>
      <c r="I38" s="31"/>
    </row>
    <row r="39" spans="1:9" x14ac:dyDescent="0.25">
      <c r="A39" s="38" t="b">
        <v>0</v>
      </c>
      <c r="C39" s="30"/>
      <c r="D39" s="3"/>
      <c r="E39" s="3"/>
      <c r="F39" s="3"/>
      <c r="G39" s="3"/>
      <c r="H39" s="3"/>
      <c r="I39" s="31"/>
    </row>
    <row r="40" spans="1:9" x14ac:dyDescent="0.25">
      <c r="A40" s="38" t="b">
        <v>0</v>
      </c>
      <c r="C40" s="30"/>
      <c r="D40" s="3"/>
      <c r="E40" s="3"/>
      <c r="F40" s="3"/>
      <c r="G40" s="3"/>
      <c r="H40" s="3"/>
      <c r="I40" s="31"/>
    </row>
    <row r="41" spans="1:9" x14ac:dyDescent="0.25">
      <c r="A41" s="38" t="b">
        <v>0</v>
      </c>
      <c r="C41" s="30"/>
      <c r="D41" s="3"/>
      <c r="E41" s="3"/>
      <c r="F41" s="3"/>
      <c r="G41" s="3"/>
      <c r="H41" s="3"/>
      <c r="I41" s="31"/>
    </row>
    <row r="42" spans="1:9" x14ac:dyDescent="0.25">
      <c r="A42" s="38" t="b">
        <v>0</v>
      </c>
      <c r="C42" s="30"/>
      <c r="D42" s="3"/>
      <c r="E42" s="3"/>
      <c r="F42" s="3"/>
      <c r="G42" s="3"/>
      <c r="H42" s="3"/>
      <c r="I42" s="31"/>
    </row>
    <row r="43" spans="1:9" x14ac:dyDescent="0.25">
      <c r="A43" s="38" t="b">
        <v>0</v>
      </c>
      <c r="C43" s="30"/>
      <c r="D43" s="3"/>
      <c r="E43" s="3"/>
      <c r="F43" s="3"/>
      <c r="G43" s="3"/>
      <c r="H43" s="3"/>
      <c r="I43" s="31"/>
    </row>
    <row r="44" spans="1:9" x14ac:dyDescent="0.25">
      <c r="A44" s="38" t="b">
        <v>0</v>
      </c>
      <c r="C44" s="30"/>
      <c r="D44" s="3"/>
      <c r="E44" s="3"/>
      <c r="F44" s="3"/>
      <c r="G44" s="3"/>
      <c r="H44" s="3"/>
      <c r="I44" s="31"/>
    </row>
    <row r="45" spans="1:9" x14ac:dyDescent="0.25">
      <c r="A45" s="38" t="b">
        <v>0</v>
      </c>
      <c r="C45" s="30"/>
      <c r="D45" s="3"/>
      <c r="E45" s="3"/>
      <c r="F45" s="3"/>
      <c r="G45" s="3"/>
      <c r="H45" s="3"/>
      <c r="I45" s="31"/>
    </row>
    <row r="46" spans="1:9" x14ac:dyDescent="0.25">
      <c r="A46" s="38" t="b">
        <v>0</v>
      </c>
      <c r="C46" s="30"/>
      <c r="D46" s="3"/>
      <c r="E46" s="3"/>
      <c r="F46" s="3"/>
      <c r="G46" s="3"/>
      <c r="H46" s="3"/>
      <c r="I46" s="31"/>
    </row>
    <row r="47" spans="1:9" x14ac:dyDescent="0.25">
      <c r="A47" s="38" t="b">
        <v>0</v>
      </c>
      <c r="C47" s="30"/>
      <c r="D47" s="3"/>
      <c r="E47" s="3"/>
      <c r="F47" s="3"/>
      <c r="G47" s="3"/>
      <c r="H47" s="3"/>
      <c r="I47" s="31"/>
    </row>
    <row r="48" spans="1:9" x14ac:dyDescent="0.25">
      <c r="A48" s="38" t="b">
        <v>0</v>
      </c>
      <c r="C48" s="30"/>
      <c r="D48" s="3"/>
      <c r="E48" s="3"/>
      <c r="F48" s="3"/>
      <c r="G48" s="3"/>
      <c r="H48" s="3"/>
      <c r="I48" s="31"/>
    </row>
    <row r="50" spans="1:9" x14ac:dyDescent="0.25">
      <c r="C50" s="107" t="s">
        <v>179</v>
      </c>
      <c r="D50" s="107"/>
      <c r="E50" s="107"/>
      <c r="F50" s="107"/>
      <c r="G50" s="107"/>
      <c r="H50" s="107"/>
      <c r="I50" s="107"/>
    </row>
    <row r="51" spans="1:9" x14ac:dyDescent="0.25">
      <c r="A51" s="58" t="s">
        <v>121</v>
      </c>
      <c r="C51" s="25" t="s">
        <v>176</v>
      </c>
      <c r="D51" s="26" t="s">
        <v>177</v>
      </c>
      <c r="E51" s="26" t="s">
        <v>178</v>
      </c>
      <c r="F51" s="26"/>
      <c r="G51" s="26"/>
      <c r="H51" s="26"/>
      <c r="I51" s="27"/>
    </row>
    <row r="52" spans="1:9" x14ac:dyDescent="0.25">
      <c r="A52" s="38" t="b">
        <v>0</v>
      </c>
      <c r="C52" s="30" t="str" cm="1">
        <f t="array" ref="C52">_xlfn.TAKE(OPTIONS($AE$3,"Target","Fighting"),15)</f>
        <v/>
      </c>
      <c r="D52" s="3"/>
      <c r="E52" s="3"/>
      <c r="F52" s="3"/>
      <c r="G52" s="3"/>
      <c r="H52" s="3"/>
      <c r="I52" s="31"/>
    </row>
    <row r="53" spans="1:9" x14ac:dyDescent="0.25">
      <c r="A53" s="38" t="b">
        <v>0</v>
      </c>
      <c r="C53" s="30"/>
      <c r="D53" s="3"/>
      <c r="E53" s="3"/>
      <c r="F53" s="3"/>
      <c r="G53" s="3"/>
      <c r="H53" s="3"/>
      <c r="I53" s="31"/>
    </row>
    <row r="54" spans="1:9" x14ac:dyDescent="0.25">
      <c r="A54" s="38" t="b">
        <v>0</v>
      </c>
      <c r="C54" s="30"/>
      <c r="D54" s="3"/>
      <c r="E54" s="3"/>
      <c r="F54" s="3"/>
      <c r="G54" s="3"/>
      <c r="H54" s="3"/>
      <c r="I54" s="31"/>
    </row>
    <row r="55" spans="1:9" x14ac:dyDescent="0.25">
      <c r="A55" s="38" t="b">
        <v>0</v>
      </c>
      <c r="C55" s="30"/>
      <c r="D55" s="3"/>
      <c r="E55" s="3"/>
      <c r="F55" s="3"/>
      <c r="G55" s="3"/>
      <c r="H55" s="3"/>
      <c r="I55" s="31"/>
    </row>
    <row r="56" spans="1:9" x14ac:dyDescent="0.25">
      <c r="A56" s="38" t="b">
        <v>0</v>
      </c>
      <c r="C56" s="30"/>
      <c r="D56" s="3"/>
      <c r="E56" s="3"/>
      <c r="F56" s="3"/>
      <c r="G56" s="3"/>
      <c r="H56" s="3"/>
      <c r="I56" s="31"/>
    </row>
    <row r="57" spans="1:9" x14ac:dyDescent="0.25">
      <c r="A57" s="38" t="b">
        <v>0</v>
      </c>
      <c r="C57" s="30"/>
      <c r="D57" s="3"/>
      <c r="E57" s="3"/>
      <c r="F57" s="3"/>
      <c r="G57" s="3"/>
      <c r="H57" s="3"/>
      <c r="I57" s="31"/>
    </row>
    <row r="58" spans="1:9" x14ac:dyDescent="0.25">
      <c r="A58" s="38" t="b">
        <v>0</v>
      </c>
      <c r="C58" s="30"/>
      <c r="D58" s="3"/>
      <c r="E58" s="3"/>
      <c r="F58" s="3"/>
      <c r="G58" s="3"/>
      <c r="H58" s="3"/>
      <c r="I58" s="31"/>
    </row>
    <row r="59" spans="1:9" x14ac:dyDescent="0.25">
      <c r="A59" s="38" t="b">
        <v>0</v>
      </c>
      <c r="C59" s="30"/>
      <c r="D59" s="3"/>
      <c r="E59" s="3"/>
      <c r="F59" s="3"/>
      <c r="G59" s="3"/>
      <c r="H59" s="3"/>
      <c r="I59" s="31"/>
    </row>
    <row r="60" spans="1:9" x14ac:dyDescent="0.25">
      <c r="A60" s="38" t="b">
        <v>0</v>
      </c>
      <c r="C60" s="30"/>
      <c r="D60" s="3"/>
      <c r="E60" s="3"/>
      <c r="F60" s="3"/>
      <c r="G60" s="3"/>
      <c r="H60" s="3"/>
      <c r="I60" s="31"/>
    </row>
    <row r="61" spans="1:9" x14ac:dyDescent="0.25">
      <c r="A61" s="38" t="b">
        <v>0</v>
      </c>
      <c r="C61" s="30"/>
      <c r="D61" s="3"/>
      <c r="E61" s="3"/>
      <c r="F61" s="3"/>
      <c r="G61" s="3"/>
      <c r="H61" s="3"/>
      <c r="I61" s="31"/>
    </row>
    <row r="62" spans="1:9" x14ac:dyDescent="0.25">
      <c r="A62" s="38" t="b">
        <v>0</v>
      </c>
      <c r="C62" s="30"/>
      <c r="D62" s="3"/>
      <c r="E62" s="3"/>
      <c r="F62" s="3"/>
      <c r="G62" s="3"/>
      <c r="H62" s="3"/>
      <c r="I62" s="31"/>
    </row>
    <row r="63" spans="1:9" x14ac:dyDescent="0.25">
      <c r="A63" s="38" t="b">
        <v>0</v>
      </c>
      <c r="C63" s="30"/>
      <c r="D63" s="3"/>
      <c r="E63" s="3"/>
      <c r="F63" s="3"/>
      <c r="G63" s="3"/>
      <c r="H63" s="3"/>
      <c r="I63" s="31"/>
    </row>
    <row r="64" spans="1:9" x14ac:dyDescent="0.25">
      <c r="A64" s="38" t="b">
        <v>0</v>
      </c>
      <c r="C64" s="30"/>
      <c r="D64" s="3"/>
      <c r="E64" s="3"/>
      <c r="F64" s="3"/>
      <c r="G64" s="3"/>
      <c r="H64" s="3"/>
      <c r="I64" s="31"/>
    </row>
    <row r="65" spans="1:9" x14ac:dyDescent="0.25">
      <c r="A65" s="38" t="b">
        <v>0</v>
      </c>
      <c r="C65" s="30"/>
      <c r="D65" s="3"/>
      <c r="E65" s="3"/>
      <c r="F65" s="3"/>
      <c r="G65" s="3"/>
      <c r="H65" s="3"/>
      <c r="I65" s="31"/>
    </row>
    <row r="66" spans="1:9" x14ac:dyDescent="0.25">
      <c r="A66" s="38" t="b">
        <v>0</v>
      </c>
      <c r="C66" s="30"/>
      <c r="D66" s="3"/>
      <c r="E66" s="3"/>
      <c r="F66" s="3"/>
      <c r="G66" s="3"/>
      <c r="H66" s="3"/>
      <c r="I66" s="31"/>
    </row>
  </sheetData>
  <mergeCells count="18">
    <mergeCell ref="AA4:AR4"/>
    <mergeCell ref="J6:J30"/>
    <mergeCell ref="K6:K30"/>
    <mergeCell ref="L6:L30"/>
    <mergeCell ref="M6:M30"/>
    <mergeCell ref="N6:N30"/>
    <mergeCell ref="O6:O30"/>
    <mergeCell ref="J4:O4"/>
    <mergeCell ref="P4:Y4"/>
    <mergeCell ref="S3:Y3"/>
    <mergeCell ref="C32:I32"/>
    <mergeCell ref="C50:I50"/>
    <mergeCell ref="H2:I2"/>
    <mergeCell ref="H3:I3"/>
    <mergeCell ref="C4:I4"/>
    <mergeCell ref="J2:K2"/>
    <mergeCell ref="J3:K3"/>
    <mergeCell ref="S2:Y2"/>
  </mergeCells>
  <conditionalFormatting sqref="A34:A48 C34:I48">
    <cfRule type="expression" dxfId="13" priority="3">
      <formula>AND($C34&lt;&gt;"",$A34=TRUE)</formula>
    </cfRule>
    <cfRule type="expression" dxfId="12" priority="4">
      <formula>AND($C34="",$A34=TRUE)</formula>
    </cfRule>
  </conditionalFormatting>
  <conditionalFormatting sqref="A52:A66 C52:I66">
    <cfRule type="expression" dxfId="11" priority="5">
      <formula>AND($C52&lt;&gt;"",$A52=TRUE)</formula>
    </cfRule>
    <cfRule type="expression" dxfId="10" priority="6">
      <formula>AND($C52="",$A52=TRUE)</formula>
    </cfRule>
  </conditionalFormatting>
  <conditionalFormatting sqref="A6:Y30">
    <cfRule type="expression" dxfId="9" priority="1">
      <formula>AND($C6&lt;&gt;"",$A6=FALSE)</formula>
    </cfRule>
  </conditionalFormatting>
  <conditionalFormatting sqref="S3:Y3">
    <cfRule type="expression" dxfId="8" priority="7">
      <formula>LEFT($S$3,2)&lt;&gt;"OK"</formula>
    </cfRule>
  </conditionalFormatting>
  <dataValidations count="7">
    <dataValidation type="list" allowBlank="1" showInputMessage="1" showErrorMessage="1" sqref="E3 G3" xr:uid="{1ED7F5B3-5E9D-41B4-8374-5D776710A2B0}">
      <formula1>"Yes,No"</formula1>
    </dataValidation>
    <dataValidation type="whole" allowBlank="1" showInputMessage="1" showErrorMessage="1" sqref="F3" xr:uid="{A9CFE1CA-B2CA-4BD5-9AF7-21D947A5A2BA}">
      <formula1>1</formula1>
      <formula2>100</formula2>
    </dataValidation>
    <dataValidation type="list" allowBlank="1" showInputMessage="1" showErrorMessage="1" sqref="C4" xr:uid="{F3BD3067-8CBC-48A6-AC49-10373DFFF007}">
      <formula1>_xlfn.ANCHORARRAY($BF$6)</formula1>
    </dataValidation>
    <dataValidation type="list" allowBlank="1" showInputMessage="1" showErrorMessage="1" sqref="J4" xr:uid="{BEDC8625-C067-4A0A-9246-4BEC258438B1}">
      <formula1>_xlfn.ANCHORARRAY($BH$6)</formula1>
    </dataValidation>
    <dataValidation type="list" allowBlank="1" showInputMessage="1" showErrorMessage="1" sqref="C3" xr:uid="{69C808D5-B499-474B-8CF7-D2782C272105}">
      <formula1>FactionList</formula1>
    </dataValidation>
    <dataValidation type="list" allowBlank="1" showInputMessage="1" showErrorMessage="1" sqref="K4:O4" xr:uid="{D9C853FE-512D-4835-A936-20270C7ACD75}">
      <formula1>#REF!</formula1>
    </dataValidation>
    <dataValidation type="whole" allowBlank="1" showInputMessage="1" showErrorMessage="1" errorTitle="Weapon count" error="Enter a whole number of weapons (0–100)." promptTitle="Qty" prompt="Number of this weapon firing/fighting" sqref="B6:B30" xr:uid="{B5C95CCF-3845-44B1-A23D-111DCE8C0E76}">
      <formula1>0</formula1>
      <formula2>100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CCF53C7-3805-4FF1-AE4A-702E4F21D4CB}">
          <x14:formula1>
            <xm:f>DeathGuard!$B$4:$B$40</xm:f>
          </x14:formula1>
          <xm:sqref>D4:I4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8A2AD-7525-4F05-AFD2-B84262F968EC}">
  <sheetPr>
    <tabColor rgb="FF0070C0"/>
    <pageSetUpPr fitToPage="1"/>
  </sheetPr>
  <dimension ref="B1:BB66"/>
  <sheetViews>
    <sheetView tabSelected="1" workbookViewId="0">
      <pane ySplit="2" topLeftCell="A3" activePane="bottomLeft" state="frozen"/>
      <selection pane="bottomLeft" activeCell="F13" sqref="F13"/>
    </sheetView>
  </sheetViews>
  <sheetFormatPr defaultRowHeight="15" x14ac:dyDescent="0.25"/>
  <cols>
    <col min="1" max="1" width="2.5703125" customWidth="1"/>
    <col min="2" max="2" width="27.7109375" customWidth="1"/>
    <col min="3" max="3" width="37" customWidth="1"/>
    <col min="4" max="4" width="13.7109375" bestFit="1" customWidth="1"/>
    <col min="5" max="9" width="13" customWidth="1"/>
    <col min="10" max="10" width="31.42578125" customWidth="1"/>
    <col min="11" max="11" width="25.85546875" customWidth="1"/>
    <col min="12" max="13" width="13" customWidth="1"/>
    <col min="14" max="14" width="6.7109375" customWidth="1"/>
    <col min="15" max="15" width="29.7109375" customWidth="1"/>
    <col min="16" max="16" width="14.7109375" customWidth="1"/>
    <col min="17" max="17" width="37" customWidth="1"/>
    <col min="26" max="54" width="8.85546875" customWidth="1"/>
  </cols>
  <sheetData>
    <row r="1" spans="2:54" ht="21" x14ac:dyDescent="0.35">
      <c r="B1" s="66" t="s">
        <v>522</v>
      </c>
    </row>
    <row r="2" spans="2:54" x14ac:dyDescent="0.25">
      <c r="B2" s="79" t="s">
        <v>523</v>
      </c>
    </row>
    <row r="3" spans="2:54" x14ac:dyDescent="0.25">
      <c r="AA3" s="67" t="s">
        <v>563</v>
      </c>
    </row>
    <row r="4" spans="2:54" x14ac:dyDescent="0.25">
      <c r="B4" s="68" t="s">
        <v>524</v>
      </c>
      <c r="C4" s="68"/>
      <c r="N4" s="68" t="s">
        <v>534</v>
      </c>
      <c r="O4" s="68"/>
      <c r="P4" s="68"/>
      <c r="Q4" s="68"/>
      <c r="AA4" s="68"/>
      <c r="AB4" s="68"/>
      <c r="AC4" s="68"/>
      <c r="AD4" s="68"/>
      <c r="AE4" s="68"/>
      <c r="AF4" s="68"/>
      <c r="AG4" s="68"/>
      <c r="AH4" s="68"/>
      <c r="AI4" s="68"/>
      <c r="AJ4" s="68"/>
      <c r="AK4" s="68"/>
      <c r="AL4" s="68"/>
      <c r="AM4" s="68"/>
      <c r="AN4" s="68"/>
      <c r="AO4" s="68"/>
      <c r="AP4" s="68"/>
      <c r="AQ4" s="68"/>
      <c r="AR4" s="68"/>
      <c r="AS4" s="68"/>
      <c r="AT4" s="68"/>
      <c r="AU4" s="68"/>
      <c r="AV4" s="68"/>
      <c r="AW4" s="68" t="s">
        <v>535</v>
      </c>
      <c r="AX4" s="68"/>
    </row>
    <row r="5" spans="2:54" x14ac:dyDescent="0.25">
      <c r="B5" s="71" t="s">
        <v>525</v>
      </c>
      <c r="C5" s="72" t="s">
        <v>116</v>
      </c>
      <c r="N5" s="73" t="s">
        <v>121</v>
      </c>
      <c r="O5" s="73" t="s">
        <v>176</v>
      </c>
      <c r="P5" s="73" t="s">
        <v>177</v>
      </c>
      <c r="Q5" s="73" t="s">
        <v>178</v>
      </c>
      <c r="AA5" s="80" t="s">
        <v>532</v>
      </c>
      <c r="AB5" s="80"/>
      <c r="AC5" s="80" t="s">
        <v>578</v>
      </c>
      <c r="AD5" s="80"/>
      <c r="AE5" s="80" t="s">
        <v>560</v>
      </c>
      <c r="AF5" s="80" t="s">
        <v>544</v>
      </c>
      <c r="AG5" s="80" t="s">
        <v>500</v>
      </c>
      <c r="AH5" s="80" t="s">
        <v>129</v>
      </c>
      <c r="AI5" s="80" t="s">
        <v>130</v>
      </c>
      <c r="AJ5" s="80" t="s">
        <v>131</v>
      </c>
      <c r="AK5" s="80" t="s">
        <v>132</v>
      </c>
      <c r="AL5" s="80" t="s">
        <v>133</v>
      </c>
      <c r="AM5" s="80" t="s">
        <v>9</v>
      </c>
      <c r="AN5" s="80"/>
      <c r="AO5" s="80"/>
      <c r="AP5" s="80" t="s">
        <v>561</v>
      </c>
      <c r="AQ5" s="80" t="s">
        <v>500</v>
      </c>
      <c r="AR5" s="80" t="s">
        <v>499</v>
      </c>
      <c r="AS5" s="80" t="s">
        <v>562</v>
      </c>
      <c r="AT5" s="80"/>
      <c r="AU5" s="80"/>
      <c r="AV5" s="80"/>
      <c r="AW5" s="80" t="s">
        <v>536</v>
      </c>
      <c r="AX5" s="80" t="str" cm="1">
        <f t="array" ref="AX5">_xlfn.LET(_xlpm.n,$O$6:$O$25,_xlpm.ok,ISNUMBER(_xlfn.XMATCH(_xlpm.n,_xlfn.CHOOSECOLS(OPTIONS($C$5,"Attacker","Shooting"),1))),_xlfn.TEXTJOIN(", ",TRUE,_xlfn._xlws.FILTER($Q$6:$Q$25,($N$6:$N$25=TRUE)*($O$6:$O$25&lt;&gt;"")*_xlpm.ok,"")))</f>
        <v/>
      </c>
    </row>
    <row r="6" spans="2:54" x14ac:dyDescent="0.25">
      <c r="B6" s="71" t="s">
        <v>193</v>
      </c>
      <c r="C6" s="72" t="s">
        <v>205</v>
      </c>
      <c r="N6" s="81" t="b">
        <v>0</v>
      </c>
      <c r="O6" s="71" t="str" cm="1">
        <f t="array" ref="O6:Q9">_xlfn.LET(_xlpm.f,$C$5,_xlpm.p,$C$6,_xlpm.sh,OPTIONS(_xlpm.f,"Attacker","Shooting"),_xlpm.fi,OPTIONS(_xlpm.f,"Attacker","Fighting"),_xlpm.v,IF(_xlpm.p="Shooting",_xlpm.sh,IF(_xlpm.p="Fighting",_xlpm.fi,_xlfn.UNIQUE(_xlfn.VSTACK(_xlpm.sh,_xlpm.fi)))),_xlpm.k,_xlfn._xlws.FILTER(_xlpm.v,_xlfn.CHOOSECOLS(_xlpm.v,1)&lt;&gt;"",{"","",""}),_xlfn.TAKE(_xlpm.k,20))</f>
        <v>Lord Of Contagion</v>
      </c>
      <c r="P6" s="71" t="str">
        <v>Rule</v>
      </c>
      <c r="Q6" s="71" t="str">
        <v>Sustained Hits 1, Lance</v>
      </c>
      <c r="AA6" t="str" cm="1">
        <f t="array" ref="AA6:AA14">_xlfn.LET(_xlpm.k,_xlfn.XMATCH(TRIM($C$5),Factions[Faction]),_xlpm.blk,FACTIONBLOCK(_xlpm.k),_xlpm.uf,_xlfn.SCAN("",_xlfn.CHOOSECOLS(_xlpm.blk,1),_xlfn.LAMBDA(_xlpm.a,_xlpm.v,IF(_xlpm.v&lt;&gt;"",_xlpm.v,_xlpm.a))),IFERROR(_xlfn.UNIQUE(_xlfn._xlws.FILTER(_xlpm.uf,(_xlpm.uf&lt;&gt;"")*(_xlfn.CHOOSECOLS(_xlpm.blk,16)&lt;&gt;""))),"No units"))</f>
        <v>Myphitic Blight Hauler</v>
      </c>
      <c r="AC6" t="str" cm="1">
        <f t="array" ref="AC6">_xlfn.LET(_xlpm.k,_xlfn.XMATCH(TRIM($C$13),Factions[Faction]),_xlpm.blk,FACTIONBLOCK(_xlpm.k),_xlpm.n,_xlfn.CHOOSECOLS(_xlpm.blk,1),IFERROR(_xlfn.UNIQUE(_xlfn._xlws.FILTER(_xlpm.n,_xlpm.n&lt;&gt;"")),"No units"))</f>
        <v>Intercessor</v>
      </c>
      <c r="AE6" t="str" cm="1">
        <f t="array" ref="AE6:AM15">_xlfn.LET(_xlpm.real,$C$12="Real roster",_xlpm.rk,($B$36:$B$50=TRUE)*($C$36:$C$50&lt;&gt;""),_xlpm.gk,($B$55:$B$66=TRUE)*($C$55:$C$66&lt;&gt;""),_xlpm.r,_xlfn._xlws.FILTER(_xlfn.HSTACK($C$36:$C$50,IF($C$36:$C$50&lt;&gt;"",1,0),IF($D$36:$D$50="",$L$36:$L$50,$D$36:$D$50),$E$36:$I$50,$J$36:$J$50&amp;IF($K$36:$K$50&lt;&gt;"",", "&amp;$K$36:$K$50,"")),_xlpm.rk,""),_xlpm.g,_xlfn._xlws.FILTER(_xlfn.HSTACK($C$55:$C$66,IF(ISNUMBER($K$55:$K$66),$K$55:$K$66,1),$D$55:$I$66,$J$55:$J$66&amp;""),_xlpm.gk,""),IF(_xlpm.real,_xlpm.r,_xlpm.g))</f>
        <v>Horde Infantry (GEQ)</v>
      </c>
      <c r="AF6">
        <v>1</v>
      </c>
      <c r="AG6">
        <v>10</v>
      </c>
      <c r="AH6">
        <v>3</v>
      </c>
      <c r="AI6">
        <v>1</v>
      </c>
      <c r="AJ6">
        <v>5</v>
      </c>
      <c r="AK6" t="str">
        <v>-</v>
      </c>
      <c r="AL6" t="str">
        <v>-</v>
      </c>
      <c r="AM6" t="str">
        <v>Infantry</v>
      </c>
      <c r="AP6" t="str" cm="1">
        <f t="array" ref="AP6:AS14">_xlfn.LET(_xlpm.k,($B$17:$B$31=TRUE)*($C$17:$C$31&lt;&gt;""),_xlpm.m,IF($D$17:$D$31="",$E$17:$E$31,$D$17:$D$31),_xlfn._xlws.FILTER(_xlfn.HSTACK($C$17:$C$31,_xlpm.m,$G$17:$G$31,IFERROR(_xlpm.m/$E$17:$E$31,1)),_xlpm.k,""))</f>
        <v>Plague Marines (Ranged)</v>
      </c>
      <c r="AQ6">
        <v>10</v>
      </c>
      <c r="AR6">
        <v>175</v>
      </c>
      <c r="AS6">
        <v>1</v>
      </c>
      <c r="AW6" t="s">
        <v>537</v>
      </c>
      <c r="AX6" t="str" cm="1">
        <f t="array" ref="AX6">_xlfn.LET(_xlpm.n,$O$6:$O$25,_xlpm.ok,ISNUMBER(_xlfn.XMATCH(_xlpm.n,_xlfn.CHOOSECOLS(OPTIONS($C$5,"Attacker","Fighting"),1))),_xlfn.TEXTJOIN(", ",TRUE,_xlfn._xlws.FILTER($Q$6:$Q$25,($N$6:$N$25=TRUE)*($O$6:$O$25&lt;&gt;"")*_xlpm.ok,"")))</f>
        <v/>
      </c>
    </row>
    <row r="7" spans="2:54" x14ac:dyDescent="0.25">
      <c r="B7" s="71" t="s">
        <v>95</v>
      </c>
      <c r="C7" s="72" t="s">
        <v>118</v>
      </c>
      <c r="N7" s="81" t="b">
        <v>0</v>
      </c>
      <c r="O7" s="71" t="str">
        <v>Command Re-roll</v>
      </c>
      <c r="P7" s="71" t="str">
        <v>Core Strat</v>
      </c>
      <c r="Q7" s="71" t="str">
        <v/>
      </c>
      <c r="AA7" t="str">
        <v>Plague Marines (Ranged)</v>
      </c>
      <c r="AE7" t="str">
        <v>Marine Infantry (MEQ)</v>
      </c>
      <c r="AF7">
        <v>1</v>
      </c>
      <c r="AG7">
        <v>5</v>
      </c>
      <c r="AH7">
        <v>4</v>
      </c>
      <c r="AI7">
        <v>2</v>
      </c>
      <c r="AJ7">
        <v>3</v>
      </c>
      <c r="AK7" t="str">
        <v>-</v>
      </c>
      <c r="AL7" t="str">
        <v>-</v>
      </c>
      <c r="AM7" t="str">
        <v>Infantry</v>
      </c>
      <c r="AP7" t="str">
        <v>Plague Marines (Meele)</v>
      </c>
      <c r="AQ7">
        <v>10</v>
      </c>
      <c r="AR7">
        <v>175</v>
      </c>
      <c r="AS7">
        <v>1</v>
      </c>
      <c r="AW7" t="s">
        <v>538</v>
      </c>
      <c r="AX7" t="b" cm="1">
        <f t="array" ref="AX7:BB7">_xlfn.HSTACK($C$7="Yes",$C$8="Yes",$C$9="Yes",$C$10="Yes",FALSE)</f>
        <v>0</v>
      </c>
      <c r="AY7" t="b">
        <v>0</v>
      </c>
      <c r="AZ7" t="b">
        <v>0</v>
      </c>
      <c r="BA7" t="b">
        <v>0</v>
      </c>
      <c r="BB7" t="b">
        <v>0</v>
      </c>
    </row>
    <row r="8" spans="2:54" x14ac:dyDescent="0.25">
      <c r="B8" s="71" t="s">
        <v>96</v>
      </c>
      <c r="C8" s="72" t="s">
        <v>118</v>
      </c>
      <c r="N8" s="81" t="b">
        <v>0</v>
      </c>
      <c r="O8" s="71" t="str">
        <v>Epic Challenge</v>
      </c>
      <c r="P8" s="71" t="str">
        <v>Core Strat</v>
      </c>
      <c r="Q8" s="71" t="str">
        <v>Precision</v>
      </c>
      <c r="AA8" t="str">
        <v>Deathshroud Terminators</v>
      </c>
      <c r="AE8" t="str">
        <v>Terminator (TEQ)</v>
      </c>
      <c r="AF8">
        <v>1</v>
      </c>
      <c r="AG8">
        <v>5</v>
      </c>
      <c r="AH8">
        <v>5</v>
      </c>
      <c r="AI8">
        <v>3</v>
      </c>
      <c r="AJ8">
        <v>2</v>
      </c>
      <c r="AK8">
        <v>4</v>
      </c>
      <c r="AL8" t="str">
        <v>-</v>
      </c>
      <c r="AM8" t="str">
        <v>Infantry, Terminator</v>
      </c>
      <c r="AP8" t="str">
        <v>Deathshroud Terminators</v>
      </c>
      <c r="AQ8">
        <v>3</v>
      </c>
      <c r="AR8">
        <v>150</v>
      </c>
      <c r="AS8">
        <v>1</v>
      </c>
      <c r="AW8" t="s">
        <v>539</v>
      </c>
      <c r="AX8" t="b" cm="1">
        <f t="array" ref="AX8:BB8">_xlfn.HSTACK(FALSE,FALSE,FALSE,$C$10="Yes",$C$11="Yes")</f>
        <v>0</v>
      </c>
      <c r="AY8" t="b">
        <v>0</v>
      </c>
      <c r="AZ8" t="b">
        <v>0</v>
      </c>
      <c r="BA8" t="b">
        <v>0</v>
      </c>
      <c r="BB8" t="b">
        <v>0</v>
      </c>
    </row>
    <row r="9" spans="2:54" x14ac:dyDescent="0.25">
      <c r="B9" s="71" t="s">
        <v>97</v>
      </c>
      <c r="C9" s="72" t="s">
        <v>118</v>
      </c>
      <c r="N9" s="81" t="b">
        <v>0</v>
      </c>
      <c r="O9" s="71" t="str">
        <v>Counteroffensive</v>
      </c>
      <c r="P9" s="71" t="str">
        <v>Core Strat</v>
      </c>
      <c r="Q9" s="71" t="str">
        <v/>
      </c>
      <c r="AA9" t="str">
        <v>Lord of Contagion</v>
      </c>
      <c r="AE9" t="str">
        <v>Heavy Infantry</v>
      </c>
      <c r="AF9">
        <v>1</v>
      </c>
      <c r="AG9">
        <v>3</v>
      </c>
      <c r="AH9">
        <v>6</v>
      </c>
      <c r="AI9">
        <v>3</v>
      </c>
      <c r="AJ9">
        <v>3</v>
      </c>
      <c r="AK9" t="str">
        <v>-</v>
      </c>
      <c r="AL9" t="str">
        <v>-</v>
      </c>
      <c r="AM9" t="str">
        <v>Infantry</v>
      </c>
      <c r="AP9" t="str">
        <v>Lord of Contagion</v>
      </c>
      <c r="AQ9">
        <v>1</v>
      </c>
      <c r="AR9">
        <v>110</v>
      </c>
      <c r="AS9">
        <v>1</v>
      </c>
    </row>
    <row r="10" spans="2:54" x14ac:dyDescent="0.25">
      <c r="B10" s="71" t="s">
        <v>98</v>
      </c>
      <c r="C10" s="72" t="s">
        <v>118</v>
      </c>
      <c r="N10" s="81" t="b">
        <v>0</v>
      </c>
      <c r="O10" s="71"/>
      <c r="P10" s="71"/>
      <c r="Q10" s="71"/>
      <c r="AA10" t="str">
        <v>Lord of Poxes</v>
      </c>
      <c r="AE10" t="str">
        <v>Character (Infantry)</v>
      </c>
      <c r="AF10">
        <v>1</v>
      </c>
      <c r="AG10">
        <v>1</v>
      </c>
      <c r="AH10">
        <v>4</v>
      </c>
      <c r="AI10">
        <v>5</v>
      </c>
      <c r="AJ10">
        <v>3</v>
      </c>
      <c r="AK10">
        <v>4</v>
      </c>
      <c r="AL10" t="str">
        <v>-</v>
      </c>
      <c r="AM10" t="str">
        <v>Infantry, Character</v>
      </c>
      <c r="AP10" t="str">
        <v>Typhus</v>
      </c>
      <c r="AQ10">
        <v>1</v>
      </c>
      <c r="AR10">
        <v>90</v>
      </c>
      <c r="AS10">
        <v>1</v>
      </c>
    </row>
    <row r="11" spans="2:54" x14ac:dyDescent="0.25">
      <c r="B11" s="71" t="s">
        <v>180</v>
      </c>
      <c r="C11" s="72" t="s">
        <v>118</v>
      </c>
      <c r="N11" s="81" t="b">
        <v>0</v>
      </c>
      <c r="O11" s="71"/>
      <c r="P11" s="71"/>
      <c r="Q11" s="71"/>
      <c r="AA11" t="str">
        <v>Tallyman</v>
      </c>
      <c r="AE11" t="str">
        <v>Light Vehicle</v>
      </c>
      <c r="AF11">
        <v>1</v>
      </c>
      <c r="AG11">
        <v>1</v>
      </c>
      <c r="AH11">
        <v>9</v>
      </c>
      <c r="AI11">
        <v>10</v>
      </c>
      <c r="AJ11">
        <v>3</v>
      </c>
      <c r="AK11" t="str">
        <v>-</v>
      </c>
      <c r="AL11" t="str">
        <v>-</v>
      </c>
      <c r="AM11" t="str">
        <v>Vehicle</v>
      </c>
      <c r="AP11" t="str">
        <v>Myphitic Blight Hauler</v>
      </c>
      <c r="AQ11">
        <v>1</v>
      </c>
      <c r="AR11">
        <v>95</v>
      </c>
      <c r="AS11">
        <v>1</v>
      </c>
    </row>
    <row r="12" spans="2:54" x14ac:dyDescent="0.25">
      <c r="B12" s="71" t="s">
        <v>526</v>
      </c>
      <c r="C12" s="72" t="s">
        <v>527</v>
      </c>
      <c r="N12" s="81" t="b">
        <v>0</v>
      </c>
      <c r="O12" s="71"/>
      <c r="P12" s="71"/>
      <c r="Q12" s="71"/>
      <c r="AA12" t="str">
        <v>Typhus</v>
      </c>
      <c r="AE12" t="str">
        <v>Monster</v>
      </c>
      <c r="AF12">
        <v>1</v>
      </c>
      <c r="AG12">
        <v>1</v>
      </c>
      <c r="AH12">
        <v>10</v>
      </c>
      <c r="AI12">
        <v>12</v>
      </c>
      <c r="AJ12">
        <v>3</v>
      </c>
      <c r="AK12" t="str">
        <v>-</v>
      </c>
      <c r="AL12" t="str">
        <v>-</v>
      </c>
      <c r="AM12" t="str">
        <v>Monster</v>
      </c>
      <c r="AP12" t="str">
        <v>Tallyman</v>
      </c>
      <c r="AQ12">
        <v>1</v>
      </c>
      <c r="AR12">
        <v>60</v>
      </c>
      <c r="AS12">
        <v>1</v>
      </c>
    </row>
    <row r="13" spans="2:54" x14ac:dyDescent="0.25">
      <c r="B13" s="71" t="s">
        <v>577</v>
      </c>
      <c r="C13" s="72" t="s">
        <v>290</v>
      </c>
      <c r="N13" s="81" t="b">
        <v>0</v>
      </c>
      <c r="O13" s="71"/>
      <c r="P13" s="71"/>
      <c r="Q13" s="71"/>
      <c r="AA13" t="str">
        <v>Chaos Spawn</v>
      </c>
      <c r="AE13" t="str">
        <v>Battle Tank</v>
      </c>
      <c r="AF13">
        <v>1</v>
      </c>
      <c r="AG13">
        <v>1</v>
      </c>
      <c r="AH13">
        <v>11</v>
      </c>
      <c r="AI13">
        <v>13</v>
      </c>
      <c r="AJ13">
        <v>3</v>
      </c>
      <c r="AK13" t="str">
        <v>-</v>
      </c>
      <c r="AL13" t="str">
        <v>-</v>
      </c>
      <c r="AM13" t="str">
        <v>Vehicle</v>
      </c>
      <c r="AP13" t="str">
        <v>Lord of Poxes</v>
      </c>
      <c r="AQ13">
        <v>1</v>
      </c>
      <c r="AR13">
        <v>65</v>
      </c>
      <c r="AS13">
        <v>1</v>
      </c>
    </row>
    <row r="14" spans="2:54" x14ac:dyDescent="0.25">
      <c r="N14" s="81" t="b">
        <v>0</v>
      </c>
      <c r="O14" s="71"/>
      <c r="P14" s="71"/>
      <c r="Q14" s="71"/>
      <c r="AA14" t="str">
        <v>Plague Marines (Meele)</v>
      </c>
      <c r="AE14" t="str">
        <v>Heavy Tank</v>
      </c>
      <c r="AF14">
        <v>1</v>
      </c>
      <c r="AG14">
        <v>1</v>
      </c>
      <c r="AH14">
        <v>12</v>
      </c>
      <c r="AI14">
        <v>16</v>
      </c>
      <c r="AJ14">
        <v>2</v>
      </c>
      <c r="AK14" t="str">
        <v>-</v>
      </c>
      <c r="AL14" t="str">
        <v>-</v>
      </c>
      <c r="AM14" t="str">
        <v>Vehicle</v>
      </c>
      <c r="AP14" t="str">
        <v>Chaos Spawn</v>
      </c>
      <c r="AQ14">
        <v>2</v>
      </c>
      <c r="AR14">
        <v>80</v>
      </c>
      <c r="AS14">
        <v>1</v>
      </c>
    </row>
    <row r="15" spans="2:54" x14ac:dyDescent="0.25">
      <c r="B15" s="68" t="s">
        <v>528</v>
      </c>
      <c r="C15" s="68"/>
      <c r="D15" s="68"/>
      <c r="E15" s="68"/>
      <c r="F15" s="68"/>
      <c r="G15" s="68"/>
      <c r="N15" s="81" t="b">
        <v>0</v>
      </c>
      <c r="O15" s="71"/>
      <c r="P15" s="71"/>
      <c r="Q15" s="71"/>
      <c r="AE15" t="str">
        <v>Knight / Titanic</v>
      </c>
      <c r="AF15">
        <v>1</v>
      </c>
      <c r="AG15">
        <v>1</v>
      </c>
      <c r="AH15">
        <v>12</v>
      </c>
      <c r="AI15">
        <v>22</v>
      </c>
      <c r="AJ15">
        <v>3</v>
      </c>
      <c r="AK15">
        <v>5</v>
      </c>
      <c r="AL15" t="str">
        <v>-</v>
      </c>
      <c r="AM15" t="str">
        <v>Vehicle, Titanic</v>
      </c>
    </row>
    <row r="16" spans="2:54" ht="31.9" customHeight="1" x14ac:dyDescent="0.25">
      <c r="B16" s="73" t="s">
        <v>121</v>
      </c>
      <c r="C16" s="73" t="s">
        <v>185</v>
      </c>
      <c r="D16" s="73" t="s">
        <v>529</v>
      </c>
      <c r="E16" s="73" t="s">
        <v>530</v>
      </c>
      <c r="F16" s="73" t="s">
        <v>531</v>
      </c>
      <c r="G16" s="73" t="s">
        <v>499</v>
      </c>
      <c r="N16" s="81" t="b">
        <v>0</v>
      </c>
      <c r="O16" s="71"/>
      <c r="P16" s="71"/>
      <c r="Q16" s="71"/>
    </row>
    <row r="17" spans="2:17" x14ac:dyDescent="0.25">
      <c r="B17" s="81" t="b">
        <v>1</v>
      </c>
      <c r="C17" s="74" t="s">
        <v>627</v>
      </c>
      <c r="D17" s="72"/>
      <c r="E17" s="77" cm="1">
        <f t="array" ref="E17">IF(C17="","",_xlfn.LET(_xlpm.blk,FACTIONBLOCK(_xlfn.XMATCH(TRIM($C$5),Factions[Faction])),_xlfn.XLOOKUP(C17,_xlfn.CHOOSECOLS(_xlpm.blk,1),_xlfn.CHOOSECOLS(_xlpm.blk,12),"")))</f>
        <v>10</v>
      </c>
      <c r="F17" s="77" cm="1">
        <f t="array" ref="F17">IF(C17="","",_xlfn.LET(_xlpm.blk,FACTIONBLOCK(_xlfn.XMATCH(TRIM($C$5),Factions[Faction])),_xlfn.XLOOKUP(C17,_xlfn.CHOOSECOLS(_xlpm.blk,1),_xlfn.CHOOSECOLS(_xlpm.blk,11),"")))</f>
        <v>175</v>
      </c>
      <c r="G17" s="77">
        <f>IF(OR(C17="",F17=""),"",IF(N(E17)&gt;0,F17*IF(D17="",E17,D17)/E17,F17))</f>
        <v>175</v>
      </c>
      <c r="N17" s="81" t="b">
        <v>0</v>
      </c>
      <c r="O17" s="71"/>
      <c r="P17" s="71"/>
      <c r="Q17" s="71"/>
    </row>
    <row r="18" spans="2:17" x14ac:dyDescent="0.25">
      <c r="B18" s="81" t="b">
        <v>1</v>
      </c>
      <c r="C18" s="74" t="s">
        <v>628</v>
      </c>
      <c r="D18" s="72"/>
      <c r="E18" s="77" cm="1">
        <f t="array" ref="E18">IF(C18="","",_xlfn.LET(_xlpm.blk,FACTIONBLOCK(_xlfn.XMATCH(TRIM($C$5),Factions[Faction])),_xlfn.XLOOKUP(C18,_xlfn.CHOOSECOLS(_xlpm.blk,1),_xlfn.CHOOSECOLS(_xlpm.blk,12),"")))</f>
        <v>10</v>
      </c>
      <c r="F18" s="77" cm="1">
        <f t="array" ref="F18">IF(C18="","",_xlfn.LET(_xlpm.blk,FACTIONBLOCK(_xlfn.XMATCH(TRIM($C$5),Factions[Faction])),_xlfn.XLOOKUP(C18,_xlfn.CHOOSECOLS(_xlpm.blk,1),_xlfn.CHOOSECOLS(_xlpm.blk,11),"")))</f>
        <v>175</v>
      </c>
      <c r="G18" s="77">
        <f t="shared" ref="G18:G31" si="0">IF(OR(C18="",F18=""),"",IF(N(E18)&gt;0,F18*IF(D18="",E18,D18)/E18,F18))</f>
        <v>175</v>
      </c>
      <c r="N18" s="81" t="b">
        <v>0</v>
      </c>
      <c r="O18" s="71"/>
      <c r="P18" s="71"/>
      <c r="Q18" s="71"/>
    </row>
    <row r="19" spans="2:17" x14ac:dyDescent="0.25">
      <c r="B19" s="81" t="b">
        <v>1</v>
      </c>
      <c r="C19" s="74" t="s">
        <v>626</v>
      </c>
      <c r="D19" s="72"/>
      <c r="E19" s="77" cm="1">
        <f t="array" ref="E19">IF(C19="","",_xlfn.LET(_xlpm.blk,FACTIONBLOCK(_xlfn.XMATCH(TRIM($C$5),Factions[Faction])),_xlfn.XLOOKUP(C19,_xlfn.CHOOSECOLS(_xlpm.blk,1),_xlfn.CHOOSECOLS(_xlpm.blk,12),"")))</f>
        <v>3</v>
      </c>
      <c r="F19" s="77" cm="1">
        <f t="array" ref="F19">IF(C19="","",_xlfn.LET(_xlpm.blk,FACTIONBLOCK(_xlfn.XMATCH(TRIM($C$5),Factions[Faction])),_xlfn.XLOOKUP(C19,_xlfn.CHOOSECOLS(_xlpm.blk,1),_xlfn.CHOOSECOLS(_xlpm.blk,11),"")))</f>
        <v>150</v>
      </c>
      <c r="G19" s="77">
        <f t="shared" si="0"/>
        <v>150</v>
      </c>
      <c r="N19" s="81" t="b">
        <v>0</v>
      </c>
      <c r="O19" s="71"/>
      <c r="P19" s="71"/>
      <c r="Q19" s="71"/>
    </row>
    <row r="20" spans="2:17" x14ac:dyDescent="0.25">
      <c r="B20" s="81" t="b">
        <v>1</v>
      </c>
      <c r="C20" s="74" t="s">
        <v>238</v>
      </c>
      <c r="D20" s="72"/>
      <c r="E20" s="77" cm="1">
        <f t="array" ref="E20">IF(C20="","",_xlfn.LET(_xlpm.blk,FACTIONBLOCK(_xlfn.XMATCH(TRIM($C$5),Factions[Faction])),_xlfn.XLOOKUP(C20,_xlfn.CHOOSECOLS(_xlpm.blk,1),_xlfn.CHOOSECOLS(_xlpm.blk,12),"")))</f>
        <v>1</v>
      </c>
      <c r="F20" s="77" cm="1">
        <f t="array" ref="F20">IF(C20="","",_xlfn.LET(_xlpm.blk,FACTIONBLOCK(_xlfn.XMATCH(TRIM($C$5),Factions[Faction])),_xlfn.XLOOKUP(C20,_xlfn.CHOOSECOLS(_xlpm.blk,1),_xlfn.CHOOSECOLS(_xlpm.blk,11),"")))</f>
        <v>110</v>
      </c>
      <c r="G20" s="77">
        <f t="shared" si="0"/>
        <v>110</v>
      </c>
      <c r="N20" s="81" t="b">
        <v>0</v>
      </c>
      <c r="O20" s="71"/>
      <c r="P20" s="71"/>
      <c r="Q20" s="71"/>
    </row>
    <row r="21" spans="2:17" x14ac:dyDescent="0.25">
      <c r="B21" s="81" t="b">
        <v>1</v>
      </c>
      <c r="C21" s="74" t="s">
        <v>241</v>
      </c>
      <c r="D21" s="72"/>
      <c r="E21" s="77" cm="1">
        <f t="array" ref="E21">IF(C21="","",_xlfn.LET(_xlpm.blk,FACTIONBLOCK(_xlfn.XMATCH(TRIM($C$5),Factions[Faction])),_xlfn.XLOOKUP(C21,_xlfn.CHOOSECOLS(_xlpm.blk,1),_xlfn.CHOOSECOLS(_xlpm.blk,12),"")))</f>
        <v>1</v>
      </c>
      <c r="F21" s="77" cm="1">
        <f t="array" ref="F21">IF(C21="","",_xlfn.LET(_xlpm.blk,FACTIONBLOCK(_xlfn.XMATCH(TRIM($C$5),Factions[Faction])),_xlfn.XLOOKUP(C21,_xlfn.CHOOSECOLS(_xlpm.blk,1),_xlfn.CHOOSECOLS(_xlpm.blk,11),"")))</f>
        <v>90</v>
      </c>
      <c r="G21" s="77">
        <f t="shared" si="0"/>
        <v>90</v>
      </c>
      <c r="N21" s="81" t="b">
        <v>0</v>
      </c>
      <c r="O21" s="71"/>
      <c r="P21" s="71"/>
      <c r="Q21" s="71"/>
    </row>
    <row r="22" spans="2:17" x14ac:dyDescent="0.25">
      <c r="B22" s="81" t="b">
        <v>1</v>
      </c>
      <c r="C22" s="74" t="s">
        <v>197</v>
      </c>
      <c r="D22" s="72"/>
      <c r="E22" s="77" cm="1">
        <f t="array" ref="E22">IF(C22="","",_xlfn.LET(_xlpm.blk,FACTIONBLOCK(_xlfn.XMATCH(TRIM($C$5),Factions[Faction])),_xlfn.XLOOKUP(C22,_xlfn.CHOOSECOLS(_xlpm.blk,1),_xlfn.CHOOSECOLS(_xlpm.blk,12),"")))</f>
        <v>1</v>
      </c>
      <c r="F22" s="77" cm="1">
        <f t="array" ref="F22">IF(C22="","",_xlfn.LET(_xlpm.blk,FACTIONBLOCK(_xlfn.XMATCH(TRIM($C$5),Factions[Faction])),_xlfn.XLOOKUP(C22,_xlfn.CHOOSECOLS(_xlpm.blk,1),_xlfn.CHOOSECOLS(_xlpm.blk,11),"")))</f>
        <v>95</v>
      </c>
      <c r="G22" s="77">
        <f t="shared" si="0"/>
        <v>95</v>
      </c>
      <c r="N22" s="81" t="b">
        <v>0</v>
      </c>
      <c r="O22" s="71"/>
      <c r="P22" s="71"/>
      <c r="Q22" s="71"/>
    </row>
    <row r="23" spans="2:17" x14ac:dyDescent="0.25">
      <c r="B23" s="81" t="b">
        <v>1</v>
      </c>
      <c r="C23" s="74" t="s">
        <v>240</v>
      </c>
      <c r="D23" s="72"/>
      <c r="E23" s="77" cm="1">
        <f t="array" ref="E23">IF(C23="","",_xlfn.LET(_xlpm.blk,FACTIONBLOCK(_xlfn.XMATCH(TRIM($C$5),Factions[Faction])),_xlfn.XLOOKUP(C23,_xlfn.CHOOSECOLS(_xlpm.blk,1),_xlfn.CHOOSECOLS(_xlpm.blk,12),"")))</f>
        <v>1</v>
      </c>
      <c r="F23" s="77" cm="1">
        <f t="array" ref="F23">IF(C23="","",_xlfn.LET(_xlpm.blk,FACTIONBLOCK(_xlfn.XMATCH(TRIM($C$5),Factions[Faction])),_xlfn.XLOOKUP(C23,_xlfn.CHOOSECOLS(_xlpm.blk,1),_xlfn.CHOOSECOLS(_xlpm.blk,11),"")))</f>
        <v>60</v>
      </c>
      <c r="G23" s="77">
        <f t="shared" si="0"/>
        <v>60</v>
      </c>
      <c r="N23" s="81" t="b">
        <v>0</v>
      </c>
      <c r="O23" s="71"/>
      <c r="P23" s="71"/>
      <c r="Q23" s="71"/>
    </row>
    <row r="24" spans="2:17" x14ac:dyDescent="0.25">
      <c r="B24" s="81" t="b">
        <v>1</v>
      </c>
      <c r="C24" s="74" t="s">
        <v>239</v>
      </c>
      <c r="D24" s="72"/>
      <c r="E24" s="77" cm="1">
        <f t="array" ref="E24">IF(C24="","",_xlfn.LET(_xlpm.blk,FACTIONBLOCK(_xlfn.XMATCH(TRIM($C$5),Factions[Faction])),_xlfn.XLOOKUP(C24,_xlfn.CHOOSECOLS(_xlpm.blk,1),_xlfn.CHOOSECOLS(_xlpm.blk,12),"")))</f>
        <v>1</v>
      </c>
      <c r="F24" s="77" cm="1">
        <f t="array" ref="F24">IF(C24="","",_xlfn.LET(_xlpm.blk,FACTIONBLOCK(_xlfn.XMATCH(TRIM($C$5),Factions[Faction])),_xlfn.XLOOKUP(C24,_xlfn.CHOOSECOLS(_xlpm.blk,1),_xlfn.CHOOSECOLS(_xlpm.blk,11),"")))</f>
        <v>65</v>
      </c>
      <c r="G24" s="77">
        <f t="shared" si="0"/>
        <v>65</v>
      </c>
      <c r="N24" s="81" t="b">
        <v>0</v>
      </c>
      <c r="O24" s="71"/>
      <c r="P24" s="71"/>
      <c r="Q24" s="71"/>
    </row>
    <row r="25" spans="2:17" x14ac:dyDescent="0.25">
      <c r="B25" s="81" t="b">
        <v>1</v>
      </c>
      <c r="C25" s="74" t="s">
        <v>181</v>
      </c>
      <c r="D25" s="72"/>
      <c r="E25" s="77" cm="1">
        <f t="array" ref="E25">IF(C25="","",_xlfn.LET(_xlpm.blk,FACTIONBLOCK(_xlfn.XMATCH(TRIM($C$5),Factions[Faction])),_xlfn.XLOOKUP(C25,_xlfn.CHOOSECOLS(_xlpm.blk,1),_xlfn.CHOOSECOLS(_xlpm.blk,12),"")))</f>
        <v>2</v>
      </c>
      <c r="F25" s="77" cm="1">
        <f t="array" ref="F25">IF(C25="","",_xlfn.LET(_xlpm.blk,FACTIONBLOCK(_xlfn.XMATCH(TRIM($C$5),Factions[Faction])),_xlfn.XLOOKUP(C25,_xlfn.CHOOSECOLS(_xlpm.blk,1),_xlfn.CHOOSECOLS(_xlpm.blk,11),"")))</f>
        <v>80</v>
      </c>
      <c r="G25" s="77">
        <f t="shared" si="0"/>
        <v>80</v>
      </c>
      <c r="N25" s="81" t="b">
        <v>0</v>
      </c>
      <c r="O25" s="71"/>
      <c r="P25" s="71"/>
      <c r="Q25" s="71"/>
    </row>
    <row r="26" spans="2:17" x14ac:dyDescent="0.25">
      <c r="B26" s="81" t="b">
        <v>0</v>
      </c>
      <c r="C26" s="74"/>
      <c r="D26" s="72"/>
      <c r="E26" s="77" t="str" cm="1">
        <f t="array" ref="E26">IF(C26="","",_xlfn.LET(_xlpm.blk,FACTIONBLOCK(_xlfn.XMATCH(TRIM($C$5),Factions[Faction])),_xlfn.XLOOKUP(C26,_xlfn.CHOOSECOLS(_xlpm.blk,1),_xlfn.CHOOSECOLS(_xlpm.blk,12),"")))</f>
        <v/>
      </c>
      <c r="F26" s="77" t="str" cm="1">
        <f t="array" ref="F26">IF(C26="","",_xlfn.LET(_xlpm.blk,FACTIONBLOCK(_xlfn.XMATCH(TRIM($C$5),Factions[Faction])),_xlfn.XLOOKUP(C26,_xlfn.CHOOSECOLS(_xlpm.blk,1),_xlfn.CHOOSECOLS(_xlpm.blk,11),"")))</f>
        <v/>
      </c>
      <c r="G26" s="77" t="str">
        <f t="shared" si="0"/>
        <v/>
      </c>
    </row>
    <row r="27" spans="2:17" x14ac:dyDescent="0.25">
      <c r="B27" s="81" t="b">
        <v>0</v>
      </c>
      <c r="C27" s="74"/>
      <c r="D27" s="72"/>
      <c r="E27" s="77" t="str" cm="1">
        <f t="array" ref="E27">IF(C27="","",_xlfn.LET(_xlpm.blk,FACTIONBLOCK(_xlfn.XMATCH(TRIM($C$5),Factions[Faction])),_xlfn.XLOOKUP(C27,_xlfn.CHOOSECOLS(_xlpm.blk,1),_xlfn.CHOOSECOLS(_xlpm.blk,12),"")))</f>
        <v/>
      </c>
      <c r="F27" s="77" t="str" cm="1">
        <f t="array" ref="F27">IF(C27="","",_xlfn.LET(_xlpm.blk,FACTIONBLOCK(_xlfn.XMATCH(TRIM($C$5),Factions[Faction])),_xlfn.XLOOKUP(C27,_xlfn.CHOOSECOLS(_xlpm.blk,1),_xlfn.CHOOSECOLS(_xlpm.blk,11),"")))</f>
        <v/>
      </c>
      <c r="G27" s="77" t="str">
        <f t="shared" si="0"/>
        <v/>
      </c>
    </row>
    <row r="28" spans="2:17" x14ac:dyDescent="0.25">
      <c r="B28" s="81" t="b">
        <v>0</v>
      </c>
      <c r="C28" s="74"/>
      <c r="D28" s="72"/>
      <c r="E28" s="77" t="str" cm="1">
        <f t="array" ref="E28">IF(C28="","",_xlfn.LET(_xlpm.blk,FACTIONBLOCK(_xlfn.XMATCH(TRIM($C$5),Factions[Faction])),_xlfn.XLOOKUP(C28,_xlfn.CHOOSECOLS(_xlpm.blk,1),_xlfn.CHOOSECOLS(_xlpm.blk,12),"")))</f>
        <v/>
      </c>
      <c r="F28" s="77" t="str" cm="1">
        <f t="array" ref="F28">IF(C28="","",_xlfn.LET(_xlpm.blk,FACTIONBLOCK(_xlfn.XMATCH(TRIM($C$5),Factions[Faction])),_xlfn.XLOOKUP(C28,_xlfn.CHOOSECOLS(_xlpm.blk,1),_xlfn.CHOOSECOLS(_xlpm.blk,11),"")))</f>
        <v/>
      </c>
      <c r="G28" s="77" t="str">
        <f t="shared" si="0"/>
        <v/>
      </c>
    </row>
    <row r="29" spans="2:17" x14ac:dyDescent="0.25">
      <c r="B29" s="81" t="b">
        <v>0</v>
      </c>
      <c r="C29" s="74"/>
      <c r="D29" s="72"/>
      <c r="E29" s="77" t="str" cm="1">
        <f t="array" ref="E29">IF(C29="","",_xlfn.LET(_xlpm.blk,FACTIONBLOCK(_xlfn.XMATCH(TRIM($C$5),Factions[Faction])),_xlfn.XLOOKUP(C29,_xlfn.CHOOSECOLS(_xlpm.blk,1),_xlfn.CHOOSECOLS(_xlpm.blk,12),"")))</f>
        <v/>
      </c>
      <c r="F29" s="77" t="str" cm="1">
        <f t="array" ref="F29">IF(C29="","",_xlfn.LET(_xlpm.blk,FACTIONBLOCK(_xlfn.XMATCH(TRIM($C$5),Factions[Faction])),_xlfn.XLOOKUP(C29,_xlfn.CHOOSECOLS(_xlpm.blk,1),_xlfn.CHOOSECOLS(_xlpm.blk,11),"")))</f>
        <v/>
      </c>
      <c r="G29" s="77" t="str">
        <f t="shared" si="0"/>
        <v/>
      </c>
    </row>
    <row r="30" spans="2:17" x14ac:dyDescent="0.25">
      <c r="B30" s="81" t="b">
        <v>0</v>
      </c>
      <c r="C30" s="74"/>
      <c r="D30" s="72"/>
      <c r="E30" s="77" t="str" cm="1">
        <f t="array" ref="E30">IF(C30="","",_xlfn.LET(_xlpm.blk,FACTIONBLOCK(_xlfn.XMATCH(TRIM($C$5),Factions[Faction])),_xlfn.XLOOKUP(C30,_xlfn.CHOOSECOLS(_xlpm.blk,1),_xlfn.CHOOSECOLS(_xlpm.blk,12),"")))</f>
        <v/>
      </c>
      <c r="F30" s="77" t="str" cm="1">
        <f t="array" ref="F30">IF(C30="","",_xlfn.LET(_xlpm.blk,FACTIONBLOCK(_xlfn.XMATCH(TRIM($C$5),Factions[Faction])),_xlfn.XLOOKUP(C30,_xlfn.CHOOSECOLS(_xlpm.blk,1),_xlfn.CHOOSECOLS(_xlpm.blk,11),"")))</f>
        <v/>
      </c>
      <c r="G30" s="77" t="str">
        <f t="shared" si="0"/>
        <v/>
      </c>
    </row>
    <row r="31" spans="2:17" x14ac:dyDescent="0.25">
      <c r="B31" s="81" t="b">
        <v>0</v>
      </c>
      <c r="C31" s="74"/>
      <c r="D31" s="72"/>
      <c r="E31" s="77" t="str" cm="1">
        <f t="array" ref="E31">IF(C31="","",_xlfn.LET(_xlpm.blk,FACTIONBLOCK(_xlfn.XMATCH(TRIM($C$5),Factions[Faction])),_xlfn.XLOOKUP(C31,_xlfn.CHOOSECOLS(_xlpm.blk,1),_xlfn.CHOOSECOLS(_xlpm.blk,12),"")))</f>
        <v/>
      </c>
      <c r="F31" s="77" t="str" cm="1">
        <f t="array" ref="F31">IF(C31="","",_xlfn.LET(_xlpm.blk,FACTIONBLOCK(_xlfn.XMATCH(TRIM($C$5),Factions[Faction])),_xlfn.XLOOKUP(C31,_xlfn.CHOOSECOLS(_xlpm.blk,1),_xlfn.CHOOSECOLS(_xlpm.blk,11),"")))</f>
        <v/>
      </c>
      <c r="G31" s="77" t="str">
        <f t="shared" si="0"/>
        <v/>
      </c>
    </row>
    <row r="32" spans="2:17" x14ac:dyDescent="0.25">
      <c r="B32" s="75" t="s">
        <v>533</v>
      </c>
      <c r="C32" s="75"/>
      <c r="D32" s="75"/>
      <c r="E32" s="75"/>
      <c r="F32" s="75"/>
      <c r="G32" s="78" cm="1">
        <f t="array" ref="G32">SUM(IF((B17:B31=TRUE)*ISNUMBER(G17:G31),G17:G31,0))</f>
        <v>1000</v>
      </c>
    </row>
    <row r="34" spans="2:13" x14ac:dyDescent="0.25">
      <c r="B34" s="68" t="s">
        <v>579</v>
      </c>
      <c r="C34" s="68"/>
      <c r="D34" s="68"/>
      <c r="E34" s="68"/>
      <c r="F34" s="68"/>
      <c r="G34" s="68"/>
      <c r="H34" s="68"/>
      <c r="I34" s="68"/>
      <c r="J34" s="68"/>
      <c r="K34" s="68"/>
      <c r="L34" s="68"/>
      <c r="M34" s="68"/>
    </row>
    <row r="35" spans="2:13" ht="31.9" customHeight="1" x14ac:dyDescent="0.25">
      <c r="B35" s="73" t="s">
        <v>121</v>
      </c>
      <c r="C35" s="73" t="s">
        <v>540</v>
      </c>
      <c r="D35" s="73" t="s">
        <v>529</v>
      </c>
      <c r="E35" s="73" t="s">
        <v>129</v>
      </c>
      <c r="F35" s="73" t="s">
        <v>130</v>
      </c>
      <c r="G35" s="73" t="s">
        <v>131</v>
      </c>
      <c r="H35" s="73" t="s">
        <v>132</v>
      </c>
      <c r="I35" s="73" t="s">
        <v>133</v>
      </c>
      <c r="J35" s="73" t="s">
        <v>9</v>
      </c>
      <c r="K35" s="73" t="s">
        <v>541</v>
      </c>
      <c r="L35" s="73" t="s">
        <v>530</v>
      </c>
      <c r="M35" s="73" t="s">
        <v>499</v>
      </c>
    </row>
    <row r="36" spans="2:13" x14ac:dyDescent="0.25">
      <c r="B36" s="81" t="b">
        <v>1</v>
      </c>
      <c r="C36" s="74" t="s">
        <v>243</v>
      </c>
      <c r="D36" s="72">
        <v>10</v>
      </c>
      <c r="E36" s="76" cm="1">
        <f t="array" ref="E36:J36">IF($C36="","",_xlfn.CHOOSECOLS(_xlfn.XLOOKUP($C36&amp;" ("&amp;$C$13&amp;")",_xlfn.CHOOSECOLS(AllTargets,1),AllTargets),_xlfn.SEQUENCE(1,6,2)))</f>
        <v>5</v>
      </c>
      <c r="F36" s="76">
        <v>2</v>
      </c>
      <c r="G36" s="76">
        <v>3</v>
      </c>
      <c r="H36" s="76" t="str">
        <v>-</v>
      </c>
      <c r="I36" s="76" t="str">
        <v>-</v>
      </c>
      <c r="J36" s="71" t="str">
        <v>-</v>
      </c>
      <c r="K36" s="74"/>
      <c r="L36" s="77" cm="1">
        <f t="array" ref="L36:M36">IF($C36="","",_xlfn.CHOOSECOLS(_xlfn.XLOOKUP($C36&amp;" ("&amp;$C$13&amp;")",_xlfn.CHOOSECOLS(AllTargets,1),AllTargets),8,9))</f>
        <v>0</v>
      </c>
      <c r="M36" s="77">
        <v>0</v>
      </c>
    </row>
    <row r="37" spans="2:13" x14ac:dyDescent="0.25">
      <c r="B37" s="81" t="b">
        <v>0</v>
      </c>
      <c r="C37" s="74"/>
      <c r="D37" s="72"/>
      <c r="E37" s="76" t="str" cm="1">
        <f t="array" ref="E37">IF($C37="","",_xlfn.CHOOSECOLS(_xlfn.XLOOKUP($C37&amp;" ("&amp;$C$13&amp;")",_xlfn.CHOOSECOLS(AllTargets,1),AllTargets),_xlfn.SEQUENCE(1,6,2)))</f>
        <v/>
      </c>
      <c r="F37" s="76"/>
      <c r="G37" s="76"/>
      <c r="H37" s="76"/>
      <c r="I37" s="76"/>
      <c r="J37" s="71"/>
      <c r="K37" s="74"/>
      <c r="L37" s="77" t="str" cm="1">
        <f t="array" ref="L37">IF($C37="","",_xlfn.CHOOSECOLS(_xlfn.XLOOKUP($C37&amp;" ("&amp;$C$13&amp;")",_xlfn.CHOOSECOLS(AllTargets,1),AllTargets),8,9))</f>
        <v/>
      </c>
      <c r="M37" s="77"/>
    </row>
    <row r="38" spans="2:13" x14ac:dyDescent="0.25">
      <c r="B38" s="81" t="b">
        <v>0</v>
      </c>
      <c r="C38" s="74"/>
      <c r="D38" s="72"/>
      <c r="E38" s="76" t="str" cm="1">
        <f t="array" ref="E38">IF($C38="","",_xlfn.CHOOSECOLS(_xlfn.XLOOKUP($C38&amp;" ("&amp;$C$13&amp;")",_xlfn.CHOOSECOLS(AllTargets,1),AllTargets),_xlfn.SEQUENCE(1,6,2)))</f>
        <v/>
      </c>
      <c r="F38" s="76"/>
      <c r="G38" s="76"/>
      <c r="H38" s="76"/>
      <c r="I38" s="76"/>
      <c r="J38" s="71"/>
      <c r="K38" s="74"/>
      <c r="L38" s="77" t="str" cm="1">
        <f t="array" ref="L38">IF($C38="","",_xlfn.CHOOSECOLS(_xlfn.XLOOKUP($C38&amp;" ("&amp;$C$13&amp;")",_xlfn.CHOOSECOLS(AllTargets,1),AllTargets),8,9))</f>
        <v/>
      </c>
      <c r="M38" s="77"/>
    </row>
    <row r="39" spans="2:13" x14ac:dyDescent="0.25">
      <c r="B39" s="81" t="b">
        <v>0</v>
      </c>
      <c r="C39" s="74"/>
      <c r="D39" s="72"/>
      <c r="E39" s="76" t="str" cm="1">
        <f t="array" ref="E39">IF($C39="","",_xlfn.CHOOSECOLS(_xlfn.XLOOKUP($C39&amp;" ("&amp;$C$13&amp;")",_xlfn.CHOOSECOLS(AllTargets,1),AllTargets),_xlfn.SEQUENCE(1,6,2)))</f>
        <v/>
      </c>
      <c r="F39" s="76"/>
      <c r="G39" s="76"/>
      <c r="H39" s="76"/>
      <c r="I39" s="76"/>
      <c r="J39" s="71"/>
      <c r="K39" s="74"/>
      <c r="L39" s="77" t="str" cm="1">
        <f t="array" ref="L39">IF($C39="","",_xlfn.CHOOSECOLS(_xlfn.XLOOKUP($C39&amp;" ("&amp;$C$13&amp;")",_xlfn.CHOOSECOLS(AllTargets,1),AllTargets),8,9))</f>
        <v/>
      </c>
      <c r="M39" s="77"/>
    </row>
    <row r="40" spans="2:13" x14ac:dyDescent="0.25">
      <c r="B40" s="81" t="b">
        <v>0</v>
      </c>
      <c r="C40" s="74"/>
      <c r="D40" s="72"/>
      <c r="E40" s="76" t="str" cm="1">
        <f t="array" ref="E40">IF($C40="","",_xlfn.CHOOSECOLS(_xlfn.XLOOKUP($C40&amp;" ("&amp;$C$13&amp;")",_xlfn.CHOOSECOLS(AllTargets,1),AllTargets),_xlfn.SEQUENCE(1,6,2)))</f>
        <v/>
      </c>
      <c r="F40" s="76"/>
      <c r="G40" s="76"/>
      <c r="H40" s="76"/>
      <c r="I40" s="76"/>
      <c r="J40" s="71"/>
      <c r="K40" s="74"/>
      <c r="L40" s="77" t="str" cm="1">
        <f t="array" ref="L40">IF($C40="","",_xlfn.CHOOSECOLS(_xlfn.XLOOKUP($C40&amp;" ("&amp;$C$13&amp;")",_xlfn.CHOOSECOLS(AllTargets,1),AllTargets),8,9))</f>
        <v/>
      </c>
      <c r="M40" s="77"/>
    </row>
    <row r="41" spans="2:13" x14ac:dyDescent="0.25">
      <c r="B41" s="81" t="b">
        <v>0</v>
      </c>
      <c r="C41" s="74"/>
      <c r="D41" s="72"/>
      <c r="E41" s="76" t="str" cm="1">
        <f t="array" ref="E41">IF($C41="","",_xlfn.CHOOSECOLS(_xlfn.XLOOKUP($C41&amp;" ("&amp;$C$13&amp;")",_xlfn.CHOOSECOLS(AllTargets,1),AllTargets),_xlfn.SEQUENCE(1,6,2)))</f>
        <v/>
      </c>
      <c r="F41" s="76"/>
      <c r="G41" s="76"/>
      <c r="H41" s="76"/>
      <c r="I41" s="76"/>
      <c r="J41" s="71"/>
      <c r="K41" s="74"/>
      <c r="L41" s="77" t="str" cm="1">
        <f t="array" ref="L41">IF($C41="","",_xlfn.CHOOSECOLS(_xlfn.XLOOKUP($C41&amp;" ("&amp;$C$13&amp;")",_xlfn.CHOOSECOLS(AllTargets,1),AllTargets),8,9))</f>
        <v/>
      </c>
      <c r="M41" s="77"/>
    </row>
    <row r="42" spans="2:13" x14ac:dyDescent="0.25">
      <c r="B42" s="81" t="b">
        <v>0</v>
      </c>
      <c r="C42" s="74"/>
      <c r="D42" s="72"/>
      <c r="E42" s="76" t="str" cm="1">
        <f t="array" ref="E42">IF($C42="","",_xlfn.CHOOSECOLS(_xlfn.XLOOKUP($C42&amp;" ("&amp;$C$13&amp;")",_xlfn.CHOOSECOLS(AllTargets,1),AllTargets),_xlfn.SEQUENCE(1,6,2)))</f>
        <v/>
      </c>
      <c r="F42" s="76"/>
      <c r="G42" s="76"/>
      <c r="H42" s="76"/>
      <c r="I42" s="76"/>
      <c r="J42" s="71"/>
      <c r="K42" s="74"/>
      <c r="L42" s="77" t="str" cm="1">
        <f t="array" ref="L42">IF($C42="","",_xlfn.CHOOSECOLS(_xlfn.XLOOKUP($C42&amp;" ("&amp;$C$13&amp;")",_xlfn.CHOOSECOLS(AllTargets,1),AllTargets),8,9))</f>
        <v/>
      </c>
      <c r="M42" s="77"/>
    </row>
    <row r="43" spans="2:13" x14ac:dyDescent="0.25">
      <c r="B43" s="81" t="b">
        <v>0</v>
      </c>
      <c r="C43" s="74"/>
      <c r="D43" s="72"/>
      <c r="E43" s="76" t="str" cm="1">
        <f t="array" ref="E43">IF($C43="","",_xlfn.CHOOSECOLS(_xlfn.XLOOKUP($C43&amp;" ("&amp;$C$13&amp;")",_xlfn.CHOOSECOLS(AllTargets,1),AllTargets),_xlfn.SEQUENCE(1,6,2)))</f>
        <v/>
      </c>
      <c r="F43" s="76"/>
      <c r="G43" s="76"/>
      <c r="H43" s="76"/>
      <c r="I43" s="76"/>
      <c r="J43" s="71"/>
      <c r="K43" s="74"/>
      <c r="L43" s="77" t="str" cm="1">
        <f t="array" ref="L43">IF($C43="","",_xlfn.CHOOSECOLS(_xlfn.XLOOKUP($C43&amp;" ("&amp;$C$13&amp;")",_xlfn.CHOOSECOLS(AllTargets,1),AllTargets),8,9))</f>
        <v/>
      </c>
      <c r="M43" s="77"/>
    </row>
    <row r="44" spans="2:13" x14ac:dyDescent="0.25">
      <c r="B44" s="81" t="b">
        <v>0</v>
      </c>
      <c r="C44" s="74"/>
      <c r="D44" s="72"/>
      <c r="E44" s="76" t="str" cm="1">
        <f t="array" ref="E44">IF($C44="","",_xlfn.CHOOSECOLS(_xlfn.XLOOKUP($C44&amp;" ("&amp;$C$13&amp;")",_xlfn.CHOOSECOLS(AllTargets,1),AllTargets),_xlfn.SEQUENCE(1,6,2)))</f>
        <v/>
      </c>
      <c r="F44" s="76"/>
      <c r="G44" s="76"/>
      <c r="H44" s="76"/>
      <c r="I44" s="76"/>
      <c r="J44" s="71"/>
      <c r="K44" s="74"/>
      <c r="L44" s="77" t="str" cm="1">
        <f t="array" ref="L44">IF($C44="","",_xlfn.CHOOSECOLS(_xlfn.XLOOKUP($C44&amp;" ("&amp;$C$13&amp;")",_xlfn.CHOOSECOLS(AllTargets,1),AllTargets),8,9))</f>
        <v/>
      </c>
      <c r="M44" s="77"/>
    </row>
    <row r="45" spans="2:13" x14ac:dyDescent="0.25">
      <c r="B45" s="81" t="b">
        <v>0</v>
      </c>
      <c r="C45" s="74"/>
      <c r="D45" s="72"/>
      <c r="E45" s="76" t="str" cm="1">
        <f t="array" ref="E45">IF($C45="","",_xlfn.CHOOSECOLS(_xlfn.XLOOKUP($C45&amp;" ("&amp;$C$13&amp;")",_xlfn.CHOOSECOLS(AllTargets,1),AllTargets),_xlfn.SEQUENCE(1,6,2)))</f>
        <v/>
      </c>
      <c r="F45" s="76"/>
      <c r="G45" s="76"/>
      <c r="H45" s="76"/>
      <c r="I45" s="76"/>
      <c r="J45" s="71"/>
      <c r="K45" s="74"/>
      <c r="L45" s="77" t="str" cm="1">
        <f t="array" ref="L45">IF($C45="","",_xlfn.CHOOSECOLS(_xlfn.XLOOKUP($C45&amp;" ("&amp;$C$13&amp;")",_xlfn.CHOOSECOLS(AllTargets,1),AllTargets),8,9))</f>
        <v/>
      </c>
      <c r="M45" s="77"/>
    </row>
    <row r="46" spans="2:13" x14ac:dyDescent="0.25">
      <c r="B46" s="81" t="b">
        <v>0</v>
      </c>
      <c r="C46" s="74"/>
      <c r="D46" s="72"/>
      <c r="E46" s="76" t="str" cm="1">
        <f t="array" ref="E46">IF($C46="","",_xlfn.CHOOSECOLS(_xlfn.XLOOKUP($C46&amp;" ("&amp;$C$13&amp;")",_xlfn.CHOOSECOLS(AllTargets,1),AllTargets),_xlfn.SEQUENCE(1,6,2)))</f>
        <v/>
      </c>
      <c r="F46" s="76"/>
      <c r="G46" s="76"/>
      <c r="H46" s="76"/>
      <c r="I46" s="76"/>
      <c r="J46" s="71"/>
      <c r="K46" s="74"/>
      <c r="L46" s="77" t="str" cm="1">
        <f t="array" ref="L46">IF($C46="","",_xlfn.CHOOSECOLS(_xlfn.XLOOKUP($C46&amp;" ("&amp;$C$13&amp;")",_xlfn.CHOOSECOLS(AllTargets,1),AllTargets),8,9))</f>
        <v/>
      </c>
      <c r="M46" s="77"/>
    </row>
    <row r="47" spans="2:13" x14ac:dyDescent="0.25">
      <c r="B47" s="81" t="b">
        <v>0</v>
      </c>
      <c r="C47" s="74"/>
      <c r="D47" s="72"/>
      <c r="E47" s="76" t="str" cm="1">
        <f t="array" ref="E47">IF($C47="","",_xlfn.CHOOSECOLS(_xlfn.XLOOKUP($C47&amp;" ("&amp;$C$13&amp;")",_xlfn.CHOOSECOLS(AllTargets,1),AllTargets),_xlfn.SEQUENCE(1,6,2)))</f>
        <v/>
      </c>
      <c r="F47" s="76"/>
      <c r="G47" s="76"/>
      <c r="H47" s="76"/>
      <c r="I47" s="76"/>
      <c r="J47" s="71"/>
      <c r="K47" s="74"/>
      <c r="L47" s="77" t="str" cm="1">
        <f t="array" ref="L47">IF($C47="","",_xlfn.CHOOSECOLS(_xlfn.XLOOKUP($C47&amp;" ("&amp;$C$13&amp;")",_xlfn.CHOOSECOLS(AllTargets,1),AllTargets),8,9))</f>
        <v/>
      </c>
      <c r="M47" s="77"/>
    </row>
    <row r="48" spans="2:13" x14ac:dyDescent="0.25">
      <c r="B48" s="81" t="b">
        <v>0</v>
      </c>
      <c r="C48" s="74"/>
      <c r="D48" s="72"/>
      <c r="E48" s="76" t="str" cm="1">
        <f t="array" ref="E48">IF($C48="","",_xlfn.CHOOSECOLS(_xlfn.XLOOKUP($C48&amp;" ("&amp;$C$13&amp;")",_xlfn.CHOOSECOLS(AllTargets,1),AllTargets),_xlfn.SEQUENCE(1,6,2)))</f>
        <v/>
      </c>
      <c r="F48" s="76"/>
      <c r="G48" s="76"/>
      <c r="H48" s="76"/>
      <c r="I48" s="76"/>
      <c r="J48" s="71"/>
      <c r="K48" s="74"/>
      <c r="L48" s="77" t="str" cm="1">
        <f t="array" ref="L48">IF($C48="","",_xlfn.CHOOSECOLS(_xlfn.XLOOKUP($C48&amp;" ("&amp;$C$13&amp;")",_xlfn.CHOOSECOLS(AllTargets,1),AllTargets),8,9))</f>
        <v/>
      </c>
      <c r="M48" s="77"/>
    </row>
    <row r="49" spans="2:13" x14ac:dyDescent="0.25">
      <c r="B49" s="81" t="b">
        <v>0</v>
      </c>
      <c r="C49" s="74"/>
      <c r="D49" s="72"/>
      <c r="E49" s="76" t="str" cm="1">
        <f t="array" ref="E49">IF($C49="","",_xlfn.CHOOSECOLS(_xlfn.XLOOKUP($C49&amp;" ("&amp;$C$13&amp;")",_xlfn.CHOOSECOLS(AllTargets,1),AllTargets),_xlfn.SEQUENCE(1,6,2)))</f>
        <v/>
      </c>
      <c r="F49" s="76"/>
      <c r="G49" s="76"/>
      <c r="H49" s="76"/>
      <c r="I49" s="76"/>
      <c r="J49" s="71"/>
      <c r="K49" s="74"/>
      <c r="L49" s="77" t="str" cm="1">
        <f t="array" ref="L49">IF($C49="","",_xlfn.CHOOSECOLS(_xlfn.XLOOKUP($C49&amp;" ("&amp;$C$13&amp;")",_xlfn.CHOOSECOLS(AllTargets,1),AllTargets),8,9))</f>
        <v/>
      </c>
      <c r="M49" s="77"/>
    </row>
    <row r="50" spans="2:13" x14ac:dyDescent="0.25">
      <c r="B50" s="81" t="b">
        <v>0</v>
      </c>
      <c r="C50" s="74"/>
      <c r="D50" s="72"/>
      <c r="E50" s="76" t="str" cm="1">
        <f t="array" ref="E50">IF($C50="","",_xlfn.CHOOSECOLS(_xlfn.XLOOKUP($C50&amp;" ("&amp;$C$13&amp;")",_xlfn.CHOOSECOLS(AllTargets,1),AllTargets),_xlfn.SEQUENCE(1,6,2)))</f>
        <v/>
      </c>
      <c r="F50" s="76"/>
      <c r="G50" s="76"/>
      <c r="H50" s="76"/>
      <c r="I50" s="76"/>
      <c r="J50" s="71"/>
      <c r="K50" s="74"/>
      <c r="L50" s="77" t="str" cm="1">
        <f t="array" ref="L50">IF($C50="","",_xlfn.CHOOSECOLS(_xlfn.XLOOKUP($C50&amp;" ("&amp;$C$13&amp;")",_xlfn.CHOOSECOLS(AllTargets,1),AllTargets),8,9))</f>
        <v/>
      </c>
      <c r="M50" s="77"/>
    </row>
    <row r="53" spans="2:13" x14ac:dyDescent="0.25">
      <c r="B53" s="68" t="s">
        <v>542</v>
      </c>
      <c r="C53" s="68"/>
      <c r="D53" s="68"/>
      <c r="E53" s="68"/>
      <c r="F53" s="68"/>
      <c r="G53" s="68"/>
      <c r="H53" s="68"/>
      <c r="I53" s="68"/>
      <c r="J53" s="68"/>
      <c r="K53" s="68"/>
    </row>
    <row r="54" spans="2:13" ht="19.899999999999999" customHeight="1" x14ac:dyDescent="0.25">
      <c r="B54" s="73" t="s">
        <v>121</v>
      </c>
      <c r="C54" s="73" t="s">
        <v>543</v>
      </c>
      <c r="D54" s="73" t="s">
        <v>500</v>
      </c>
      <c r="E54" s="73" t="s">
        <v>129</v>
      </c>
      <c r="F54" s="73" t="s">
        <v>130</v>
      </c>
      <c r="G54" s="73" t="s">
        <v>131</v>
      </c>
      <c r="H54" s="73" t="s">
        <v>132</v>
      </c>
      <c r="I54" s="73" t="s">
        <v>133</v>
      </c>
      <c r="J54" s="73" t="s">
        <v>9</v>
      </c>
      <c r="K54" s="73" t="s">
        <v>544</v>
      </c>
    </row>
    <row r="55" spans="2:13" x14ac:dyDescent="0.25">
      <c r="B55" s="81" t="b">
        <v>1</v>
      </c>
      <c r="C55" s="74" t="s">
        <v>545</v>
      </c>
      <c r="D55" s="72">
        <v>10</v>
      </c>
      <c r="E55" s="72">
        <v>3</v>
      </c>
      <c r="F55" s="72">
        <v>1</v>
      </c>
      <c r="G55" s="72">
        <v>5</v>
      </c>
      <c r="H55" s="72" t="s">
        <v>198</v>
      </c>
      <c r="I55" s="72" t="s">
        <v>198</v>
      </c>
      <c r="J55" s="74" t="s">
        <v>546</v>
      </c>
      <c r="K55" s="72">
        <v>1</v>
      </c>
    </row>
    <row r="56" spans="2:13" x14ac:dyDescent="0.25">
      <c r="B56" s="81" t="b">
        <v>1</v>
      </c>
      <c r="C56" s="74" t="s">
        <v>547</v>
      </c>
      <c r="D56" s="72">
        <v>5</v>
      </c>
      <c r="E56" s="72">
        <v>4</v>
      </c>
      <c r="F56" s="72">
        <v>2</v>
      </c>
      <c r="G56" s="72">
        <v>3</v>
      </c>
      <c r="H56" s="72" t="s">
        <v>198</v>
      </c>
      <c r="I56" s="72" t="s">
        <v>198</v>
      </c>
      <c r="J56" s="74" t="s">
        <v>546</v>
      </c>
      <c r="K56" s="72">
        <v>1</v>
      </c>
    </row>
    <row r="57" spans="2:13" x14ac:dyDescent="0.25">
      <c r="B57" s="81" t="b">
        <v>1</v>
      </c>
      <c r="C57" s="74" t="s">
        <v>548</v>
      </c>
      <c r="D57" s="72">
        <v>5</v>
      </c>
      <c r="E57" s="72">
        <v>5</v>
      </c>
      <c r="F57" s="72">
        <v>3</v>
      </c>
      <c r="G57" s="72">
        <v>2</v>
      </c>
      <c r="H57" s="72">
        <v>4</v>
      </c>
      <c r="I57" s="72" t="s">
        <v>198</v>
      </c>
      <c r="J57" s="74" t="s">
        <v>549</v>
      </c>
      <c r="K57" s="72">
        <v>1</v>
      </c>
    </row>
    <row r="58" spans="2:13" x14ac:dyDescent="0.25">
      <c r="B58" s="81" t="b">
        <v>1</v>
      </c>
      <c r="C58" s="74" t="s">
        <v>550</v>
      </c>
      <c r="D58" s="72">
        <v>3</v>
      </c>
      <c r="E58" s="72">
        <v>6</v>
      </c>
      <c r="F58" s="72">
        <v>3</v>
      </c>
      <c r="G58" s="72">
        <v>3</v>
      </c>
      <c r="H58" s="72" t="s">
        <v>198</v>
      </c>
      <c r="I58" s="72" t="s">
        <v>198</v>
      </c>
      <c r="J58" s="74" t="s">
        <v>546</v>
      </c>
      <c r="K58" s="72">
        <v>1</v>
      </c>
    </row>
    <row r="59" spans="2:13" x14ac:dyDescent="0.25">
      <c r="B59" s="81" t="b">
        <v>1</v>
      </c>
      <c r="C59" s="74" t="s">
        <v>551</v>
      </c>
      <c r="D59" s="72">
        <v>1</v>
      </c>
      <c r="E59" s="72">
        <v>4</v>
      </c>
      <c r="F59" s="72">
        <v>5</v>
      </c>
      <c r="G59" s="72">
        <v>3</v>
      </c>
      <c r="H59" s="72">
        <v>4</v>
      </c>
      <c r="I59" s="72" t="s">
        <v>198</v>
      </c>
      <c r="J59" s="74" t="s">
        <v>552</v>
      </c>
      <c r="K59" s="72">
        <v>1</v>
      </c>
    </row>
    <row r="60" spans="2:13" x14ac:dyDescent="0.25">
      <c r="B60" s="81" t="b">
        <v>1</v>
      </c>
      <c r="C60" s="74" t="s">
        <v>553</v>
      </c>
      <c r="D60" s="72">
        <v>1</v>
      </c>
      <c r="E60" s="72">
        <v>9</v>
      </c>
      <c r="F60" s="72">
        <v>10</v>
      </c>
      <c r="G60" s="72">
        <v>3</v>
      </c>
      <c r="H60" s="72" t="s">
        <v>198</v>
      </c>
      <c r="I60" s="72" t="s">
        <v>198</v>
      </c>
      <c r="J60" s="74" t="s">
        <v>554</v>
      </c>
      <c r="K60" s="72">
        <v>1</v>
      </c>
    </row>
    <row r="61" spans="2:13" x14ac:dyDescent="0.25">
      <c r="B61" s="81" t="b">
        <v>1</v>
      </c>
      <c r="C61" s="74" t="s">
        <v>555</v>
      </c>
      <c r="D61" s="72">
        <v>1</v>
      </c>
      <c r="E61" s="72">
        <v>10</v>
      </c>
      <c r="F61" s="72">
        <v>12</v>
      </c>
      <c r="G61" s="72">
        <v>3</v>
      </c>
      <c r="H61" s="72" t="s">
        <v>198</v>
      </c>
      <c r="I61" s="72" t="s">
        <v>198</v>
      </c>
      <c r="J61" s="74" t="s">
        <v>555</v>
      </c>
      <c r="K61" s="72">
        <v>1</v>
      </c>
    </row>
    <row r="62" spans="2:13" x14ac:dyDescent="0.25">
      <c r="B62" s="81" t="b">
        <v>1</v>
      </c>
      <c r="C62" s="74" t="s">
        <v>556</v>
      </c>
      <c r="D62" s="72">
        <v>1</v>
      </c>
      <c r="E62" s="72">
        <v>11</v>
      </c>
      <c r="F62" s="72">
        <v>13</v>
      </c>
      <c r="G62" s="72">
        <v>3</v>
      </c>
      <c r="H62" s="72" t="s">
        <v>198</v>
      </c>
      <c r="I62" s="72" t="s">
        <v>198</v>
      </c>
      <c r="J62" s="74" t="s">
        <v>554</v>
      </c>
      <c r="K62" s="72">
        <v>1</v>
      </c>
    </row>
    <row r="63" spans="2:13" x14ac:dyDescent="0.25">
      <c r="B63" s="81" t="b">
        <v>1</v>
      </c>
      <c r="C63" s="74" t="s">
        <v>557</v>
      </c>
      <c r="D63" s="72">
        <v>1</v>
      </c>
      <c r="E63" s="72">
        <v>12</v>
      </c>
      <c r="F63" s="72">
        <v>16</v>
      </c>
      <c r="G63" s="72">
        <v>2</v>
      </c>
      <c r="H63" s="72" t="s">
        <v>198</v>
      </c>
      <c r="I63" s="72" t="s">
        <v>198</v>
      </c>
      <c r="J63" s="74" t="s">
        <v>554</v>
      </c>
      <c r="K63" s="72">
        <v>1</v>
      </c>
    </row>
    <row r="64" spans="2:13" x14ac:dyDescent="0.25">
      <c r="B64" s="81" t="b">
        <v>1</v>
      </c>
      <c r="C64" s="74" t="s">
        <v>558</v>
      </c>
      <c r="D64" s="72">
        <v>1</v>
      </c>
      <c r="E64" s="72">
        <v>12</v>
      </c>
      <c r="F64" s="72">
        <v>22</v>
      </c>
      <c r="G64" s="72">
        <v>3</v>
      </c>
      <c r="H64" s="72">
        <v>5</v>
      </c>
      <c r="I64" s="72" t="s">
        <v>198</v>
      </c>
      <c r="J64" s="74" t="s">
        <v>559</v>
      </c>
      <c r="K64" s="72">
        <v>1</v>
      </c>
    </row>
    <row r="65" spans="2:11" x14ac:dyDescent="0.25">
      <c r="B65" s="81" t="b">
        <v>0</v>
      </c>
      <c r="C65" s="74"/>
      <c r="D65" s="72"/>
      <c r="E65" s="72"/>
      <c r="F65" s="72"/>
      <c r="G65" s="72"/>
      <c r="H65" s="72"/>
      <c r="I65" s="72"/>
      <c r="J65" s="74"/>
      <c r="K65" s="72"/>
    </row>
    <row r="66" spans="2:11" x14ac:dyDescent="0.25">
      <c r="B66" s="81" t="b">
        <v>0</v>
      </c>
      <c r="C66" s="74"/>
      <c r="D66" s="72"/>
      <c r="E66" s="72"/>
      <c r="F66" s="72"/>
      <c r="G66" s="72"/>
      <c r="H66" s="72"/>
      <c r="I66" s="72"/>
      <c r="J66" s="74"/>
      <c r="K66" s="72"/>
    </row>
  </sheetData>
  <conditionalFormatting sqref="B17:B31">
    <cfRule type="expression" dxfId="7" priority="9">
      <formula>AND($C17&lt;&gt;"",$A17=TRUE)</formula>
    </cfRule>
    <cfRule type="expression" dxfId="6" priority="10">
      <formula>AND($C17="",$A17=TRUE)</formula>
    </cfRule>
  </conditionalFormatting>
  <conditionalFormatting sqref="B54:K66">
    <cfRule type="expression" dxfId="5" priority="12">
      <formula>$C$12&lt;&gt;"Generic profiles"</formula>
    </cfRule>
  </conditionalFormatting>
  <conditionalFormatting sqref="B35:M50">
    <cfRule type="expression" dxfId="4" priority="11">
      <formula>$C$12&lt;&gt;"Real roster"</formula>
    </cfRule>
  </conditionalFormatting>
  <conditionalFormatting sqref="N6:N25">
    <cfRule type="expression" dxfId="3" priority="5">
      <formula>AND($C6&lt;&gt;"",$A6=TRUE)</formula>
    </cfRule>
    <cfRule type="expression" dxfId="2" priority="6">
      <formula>AND($C6="",$A6=TRUE)</formula>
    </cfRule>
  </conditionalFormatting>
  <dataValidations count="12">
    <dataValidation type="list" allowBlank="1" showInputMessage="1" showErrorMessage="1" sqref="C5 C13" xr:uid="{F2696005-C078-4FA1-AF66-2E680133F8E4}">
      <formula1>FactionList</formula1>
    </dataValidation>
    <dataValidation type="list" allowBlank="1" showInputMessage="1" showErrorMessage="1" sqref="C6" xr:uid="{4FEC762A-AFBD-4507-BC22-90BE4D79BD06}">
      <formula1>"Shooting,Fighting,Both"</formula1>
    </dataValidation>
    <dataValidation type="list" allowBlank="1" showInputMessage="1" showErrorMessage="1" sqref="C7:C11" xr:uid="{C269AAC0-2358-4A16-9B8F-CC24CFB6A35F}">
      <formula1>"Yes,No"</formula1>
    </dataValidation>
    <dataValidation type="list" allowBlank="1" showInputMessage="1" showErrorMessage="1" sqref="C12" xr:uid="{5029AFC6-9557-4835-94C1-DBFBA85370F8}">
      <formula1>"Real roster,Generic profiles"</formula1>
    </dataValidation>
    <dataValidation type="list" allowBlank="1" showInputMessage="1" showErrorMessage="1" sqref="C17:C31" xr:uid="{AA1AEE98-9294-4FC7-96AE-BD853F0E2619}">
      <formula1>_xlfn.ANCHORARRAY($AA$6)</formula1>
    </dataValidation>
    <dataValidation type="whole" allowBlank="1" showInputMessage="1" showErrorMessage="1" sqref="D17:D31 D36:D50" xr:uid="{268CF754-7960-4FE0-83EF-9377E65ACDC5}">
      <formula1>1</formula1>
      <formula2>100</formula2>
    </dataValidation>
    <dataValidation type="list" allowBlank="1" showInputMessage="1" showErrorMessage="1" sqref="C36:C50" xr:uid="{803BE367-ECC8-46D8-97C5-FD7C0647BEB5}">
      <formula1>_xlfn.ANCHORARRAY($AC$6)</formula1>
    </dataValidation>
    <dataValidation type="whole" allowBlank="1" showInputMessage="1" showErrorMessage="1" errorTitle="Invalid value" error="Models: whole number 1–200." sqref="D55:D66" xr:uid="{FF97E3C4-71A8-47C7-8137-6D2A04090BF5}">
      <formula1>1</formula1>
      <formula2>200</formula2>
    </dataValidation>
    <dataValidation type="whole" allowBlank="1" showInputMessage="1" showErrorMessage="1" errorTitle="Invalid value" error="Toughness: whole number 1–30." sqref="E55:E66" xr:uid="{DA83FE03-D44D-4E49-BB0E-F05F66028C02}">
      <formula1>1</formula1>
      <formula2>30</formula2>
    </dataValidation>
    <dataValidation type="whole" allowBlank="1" showInputMessage="1" showErrorMessage="1" errorTitle="Invalid value" error="Wounds: whole number 1–100." sqref="F55:F66" xr:uid="{1F5C91F8-0591-48BE-B50C-B8B93E2C5A44}">
      <formula1>1</formula1>
      <formula2>100</formula2>
    </dataValidation>
    <dataValidation type="whole" allowBlank="1" showInputMessage="1" showErrorMessage="1" errorTitle="Invalid value" error="Save: 2–7 (7 = no save)." sqref="G55:G66" xr:uid="{5174C784-EEAA-46E3-8156-9134F69A8E0C}">
      <formula1>2</formula1>
      <formula2>7</formula2>
    </dataValidation>
    <dataValidation type="decimal" operator="greaterThanOrEqual" allowBlank="1" showInputMessage="1" showErrorMessage="1" errorTitle="Invalid value" error="Weight must be 0 or more." sqref="K55:K66" xr:uid="{A9E0365D-CCE6-489B-9FE8-512A03E5863C}">
      <formula1>0</formula1>
    </dataValidation>
  </dataValidations>
  <pageMargins left="0.7" right="0.7" top="0.75" bottom="0.75" header="0.3" footer="0.3"/>
  <pageSetup paperSize="0" fitToHeight="0" orientation="landscape"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9934E-3E89-4AD2-96A2-4EF4DCED1BA8}">
  <sheetPr>
    <tabColor rgb="FF0070C0"/>
    <pageSetUpPr fitToPage="1"/>
  </sheetPr>
  <dimension ref="A1:T122"/>
  <sheetViews>
    <sheetView topLeftCell="A21" zoomScale="85" zoomScaleNormal="85" workbookViewId="0">
      <pane xSplit="3" topLeftCell="D1" activePane="topRight" state="frozen"/>
      <selection pane="topRight" activeCell="M43" sqref="L43:M43"/>
    </sheetView>
  </sheetViews>
  <sheetFormatPr defaultRowHeight="15" x14ac:dyDescent="0.25"/>
  <cols>
    <col min="1" max="1" width="3.28515625" customWidth="1"/>
    <col min="2" max="2" width="35.28515625" customWidth="1"/>
    <col min="3" max="3" width="13" customWidth="1"/>
    <col min="4" max="18" width="14.42578125" customWidth="1"/>
    <col min="19" max="20" width="17.5703125" customWidth="1"/>
  </cols>
  <sheetData>
    <row r="1" spans="2:20" ht="21" x14ac:dyDescent="0.35">
      <c r="B1" s="66" t="s">
        <v>580</v>
      </c>
    </row>
    <row r="2" spans="2:20" x14ac:dyDescent="0.25">
      <c r="B2" s="67" t="str">
        <f>"Phase: "&amp;Roster!$C$6&amp;"   |   My army: "&amp;Roster!$C$5&amp;"   |   Opponent: "&amp;IF(Roster!$C$12="Real roster",Roster!$C$13&amp;" (real roster)","Generic profiles")&amp;"   |   Half range "&amp;Roster!$C$7&amp;", Stationary "&amp;Roster!$C$8&amp;", Cover "&amp;Roster!$C$9&amp;", Charged "&amp;Roster!$C$11</f>
        <v>Phase: Fighting   |   My army: DeathGuard   |   Opponent: Generic profiles   |   Half range No, Stationary No, Cover No, Charged No</v>
      </c>
    </row>
    <row r="3" spans="2:20" x14ac:dyDescent="0.25">
      <c r="B3" s="99" t="s">
        <v>624</v>
      </c>
    </row>
    <row r="4" spans="2:20" x14ac:dyDescent="0.25">
      <c r="B4" s="68" t="s">
        <v>615</v>
      </c>
      <c r="C4" s="68"/>
      <c r="D4" s="68"/>
    </row>
    <row r="5" spans="2:20" x14ac:dyDescent="0.25">
      <c r="B5" s="69"/>
      <c r="C5" s="69" t="s">
        <v>528</v>
      </c>
      <c r="D5" s="69" t="s">
        <v>616</v>
      </c>
    </row>
    <row r="6" spans="2:20" x14ac:dyDescent="0.25">
      <c r="B6" t="s">
        <v>94</v>
      </c>
      <c r="C6" s="6" t="str">
        <f>Roster!$C$5</f>
        <v>DeathGuard</v>
      </c>
      <c r="D6" s="6" t="str">
        <f>IF(Roster!$C$12="Real roster",Roster!$C$13,"Generic profiles")</f>
        <v>Generic profiles</v>
      </c>
    </row>
    <row r="7" spans="2:20" x14ac:dyDescent="0.25">
      <c r="B7" t="s">
        <v>617</v>
      </c>
      <c r="C7" s="6">
        <f>COUNTIF($B$19:$B$33,"?*")</f>
        <v>9</v>
      </c>
      <c r="D7" s="6">
        <f>COUNTIF($D$16:$R$16,"?*")</f>
        <v>10</v>
      </c>
    </row>
    <row r="8" spans="2:20" x14ac:dyDescent="0.25">
      <c r="B8" t="s">
        <v>499</v>
      </c>
      <c r="C8" s="6">
        <f>$C$57</f>
        <v>1000</v>
      </c>
      <c r="D8" s="6" t="str" cm="1">
        <f t="array" ref="D8">IF(Roster!$C$12="Real roster",SUM(IF((Roster!$B$36:$B$50=TRUE)*ISNUMBER(Roster!$M$36:$M$50),Roster!$M$36:$M$50,0)),"n/a")</f>
        <v>n/a</v>
      </c>
    </row>
    <row r="9" spans="2:20" x14ac:dyDescent="0.25">
      <c r="B9" t="s">
        <v>618</v>
      </c>
      <c r="C9" s="6" t="str">
        <f>COUNTIF($D$36:$R$36,"Yes")&amp;" of "&amp;$D$7</f>
        <v>10 of 10</v>
      </c>
      <c r="D9" s="6" t="str">
        <f>IF(Roster!$C$12="Real roster",COUNTIF($S$106:$S$120,1)&amp;" of "&amp;$C$7,"n/a")</f>
        <v>n/a</v>
      </c>
    </row>
    <row r="10" spans="2:20" x14ac:dyDescent="0.25">
      <c r="B10" t="s">
        <v>619</v>
      </c>
      <c r="C10" s="87">
        <f>$S$57</f>
        <v>1</v>
      </c>
      <c r="D10" s="87" t="str">
        <f>IF(Roster!$C$12="Real roster",IFERROR(AVERAGE($S$106:$S$120),0),"n/a")</f>
        <v>n/a</v>
      </c>
    </row>
    <row r="11" spans="2:20" x14ac:dyDescent="0.25">
      <c r="B11" t="s">
        <v>592</v>
      </c>
      <c r="C11" s="89">
        <f>$T$57</f>
        <v>0.1</v>
      </c>
      <c r="D11" s="89" t="str">
        <f>IF(AND(Roster!$C$12="Real roster",N($D$8)&gt;0),$D$10/$D$8*100,"n/a")</f>
        <v>n/a</v>
      </c>
    </row>
    <row r="12" spans="2:20" ht="30" customHeight="1" x14ac:dyDescent="0.25">
      <c r="B12" s="9" t="s">
        <v>620</v>
      </c>
      <c r="C12" s="97" t="str" cm="1">
        <f t="array" ref="C12">IFERROR(INDEX($B$42:$B$56,_xlfn.XMATCH(MAX($T$42:$T$56),$T$42:$T$56)),"")</f>
        <v>Typhus</v>
      </c>
      <c r="D12" s="97" t="str" cm="1">
        <f t="array" ref="D12">IF(Roster!$C$12="Real roster",IFERROR(INDEX($D$104:$R$104,_xlfn.XMATCH(MAX($D$121:$R$121),$D$121:$R$121)),""),"n/a")</f>
        <v>n/a</v>
      </c>
    </row>
    <row r="14" spans="2:20" x14ac:dyDescent="0.25">
      <c r="B14" s="68" t="s">
        <v>581</v>
      </c>
      <c r="C14" s="68"/>
      <c r="D14" s="68"/>
      <c r="E14" s="68"/>
      <c r="F14" s="68"/>
      <c r="G14" s="68"/>
      <c r="H14" s="68"/>
      <c r="I14" s="68"/>
      <c r="J14" s="68"/>
      <c r="K14" s="68"/>
      <c r="L14" s="68"/>
      <c r="M14" s="68"/>
      <c r="N14" s="68"/>
      <c r="O14" s="68"/>
      <c r="P14" s="68"/>
      <c r="Q14" s="68"/>
      <c r="R14" s="68"/>
      <c r="S14" s="68"/>
      <c r="T14" s="68"/>
    </row>
    <row r="15" spans="2:20" x14ac:dyDescent="0.25">
      <c r="C15" s="82" t="s">
        <v>582</v>
      </c>
      <c r="D15" s="82">
        <v>1</v>
      </c>
      <c r="E15" s="82">
        <v>2</v>
      </c>
      <c r="F15" s="82">
        <v>3</v>
      </c>
      <c r="G15" s="82">
        <v>4</v>
      </c>
      <c r="H15" s="82">
        <v>5</v>
      </c>
      <c r="I15" s="82">
        <v>6</v>
      </c>
      <c r="J15" s="82">
        <v>7</v>
      </c>
      <c r="K15" s="82">
        <v>8</v>
      </c>
      <c r="L15" s="82">
        <v>9</v>
      </c>
      <c r="M15" s="82">
        <v>10</v>
      </c>
      <c r="N15" s="82">
        <v>11</v>
      </c>
      <c r="O15" s="82">
        <v>12</v>
      </c>
      <c r="P15" s="82">
        <v>13</v>
      </c>
      <c r="Q15" s="82">
        <v>14</v>
      </c>
      <c r="R15" s="82">
        <v>15</v>
      </c>
    </row>
    <row r="16" spans="2:20" ht="45" customHeight="1" x14ac:dyDescent="0.25">
      <c r="B16" s="69" t="s">
        <v>583</v>
      </c>
      <c r="C16" s="70" t="s">
        <v>584</v>
      </c>
      <c r="D16" s="70" t="str" cm="1">
        <f t="array" ref="D16">IFERROR(INDEX(_xlfn.ANCHORARRAY(Roster!$AE$6),D$15,1),"")</f>
        <v>Horde Infantry (GEQ)</v>
      </c>
      <c r="E16" s="70" t="str" cm="1">
        <f t="array" ref="E16">IFERROR(INDEX(_xlfn.ANCHORARRAY(Roster!$AE$6),E$15,1),"")</f>
        <v>Marine Infantry (MEQ)</v>
      </c>
      <c r="F16" s="70" t="str" cm="1">
        <f t="array" ref="F16">IFERROR(INDEX(_xlfn.ANCHORARRAY(Roster!$AE$6),F$15,1),"")</f>
        <v>Terminator (TEQ)</v>
      </c>
      <c r="G16" s="70" t="str" cm="1">
        <f t="array" ref="G16">IFERROR(INDEX(_xlfn.ANCHORARRAY(Roster!$AE$6),G$15,1),"")</f>
        <v>Heavy Infantry</v>
      </c>
      <c r="H16" s="70" t="str" cm="1">
        <f t="array" ref="H16">IFERROR(INDEX(_xlfn.ANCHORARRAY(Roster!$AE$6),H$15,1),"")</f>
        <v>Character (Infantry)</v>
      </c>
      <c r="I16" s="70" t="str" cm="1">
        <f t="array" ref="I16">IFERROR(INDEX(_xlfn.ANCHORARRAY(Roster!$AE$6),I$15,1),"")</f>
        <v>Light Vehicle</v>
      </c>
      <c r="J16" s="70" t="str" cm="1">
        <f t="array" ref="J16">IFERROR(INDEX(_xlfn.ANCHORARRAY(Roster!$AE$6),J$15,1),"")</f>
        <v>Monster</v>
      </c>
      <c r="K16" s="70" t="str" cm="1">
        <f t="array" ref="K16">IFERROR(INDEX(_xlfn.ANCHORARRAY(Roster!$AE$6),K$15,1),"")</f>
        <v>Battle Tank</v>
      </c>
      <c r="L16" s="70" t="str" cm="1">
        <f t="array" ref="L16">IFERROR(INDEX(_xlfn.ANCHORARRAY(Roster!$AE$6),L$15,1),"")</f>
        <v>Heavy Tank</v>
      </c>
      <c r="M16" s="70" t="str" cm="1">
        <f t="array" ref="M16">IFERROR(INDEX(_xlfn.ANCHORARRAY(Roster!$AE$6),M$15,1),"")</f>
        <v>Knight / Titanic</v>
      </c>
      <c r="N16" s="70" t="str" cm="1">
        <f t="array" ref="N16">IFERROR(INDEX(_xlfn.ANCHORARRAY(Roster!$AE$6),N$15,1),"")</f>
        <v/>
      </c>
      <c r="O16" s="70" t="str" cm="1">
        <f t="array" ref="O16">IFERROR(INDEX(_xlfn.ANCHORARRAY(Roster!$AE$6),O$15,1),"")</f>
        <v/>
      </c>
      <c r="P16" s="70" t="str" cm="1">
        <f t="array" ref="P16">IFERROR(INDEX(_xlfn.ANCHORARRAY(Roster!$AE$6),P$15,1),"")</f>
        <v/>
      </c>
      <c r="Q16" s="70" t="str" cm="1">
        <f t="array" ref="Q16">IFERROR(INDEX(_xlfn.ANCHORARRAY(Roster!$AE$6),Q$15,1),"")</f>
        <v/>
      </c>
      <c r="R16" s="70" t="str" cm="1">
        <f t="array" ref="R16">IFERROR(INDEX(_xlfn.ANCHORARRAY(Roster!$AE$6),R$15,1),"")</f>
        <v/>
      </c>
      <c r="S16" s="6"/>
      <c r="T16" s="6"/>
    </row>
    <row r="17" spans="1:20" x14ac:dyDescent="0.25">
      <c r="B17" s="67" t="s">
        <v>77</v>
      </c>
      <c r="C17" s="6"/>
      <c r="D17" s="6" cm="1">
        <f t="array" ref="D17">IF(D$16="","",INDEX(_xlfn.ANCHORARRAY(Roster!$AE$6),D$15,3))</f>
        <v>10</v>
      </c>
      <c r="E17" s="6" cm="1">
        <f t="array" ref="E17">IF(E$16="","",INDEX(_xlfn.ANCHORARRAY(Roster!$AE$6),E$15,3))</f>
        <v>5</v>
      </c>
      <c r="F17" s="6" cm="1">
        <f t="array" ref="F17">IF(F$16="","",INDEX(_xlfn.ANCHORARRAY(Roster!$AE$6),F$15,3))</f>
        <v>5</v>
      </c>
      <c r="G17" s="6" cm="1">
        <f t="array" ref="G17">IF(G$16="","",INDEX(_xlfn.ANCHORARRAY(Roster!$AE$6),G$15,3))</f>
        <v>3</v>
      </c>
      <c r="H17" s="6" cm="1">
        <f t="array" ref="H17">IF(H$16="","",INDEX(_xlfn.ANCHORARRAY(Roster!$AE$6),H$15,3))</f>
        <v>1</v>
      </c>
      <c r="I17" s="6" cm="1">
        <f t="array" ref="I17">IF(I$16="","",INDEX(_xlfn.ANCHORARRAY(Roster!$AE$6),I$15,3))</f>
        <v>1</v>
      </c>
      <c r="J17" s="6" cm="1">
        <f t="array" ref="J17">IF(J$16="","",INDEX(_xlfn.ANCHORARRAY(Roster!$AE$6),J$15,3))</f>
        <v>1</v>
      </c>
      <c r="K17" s="6" cm="1">
        <f t="array" ref="K17">IF(K$16="","",INDEX(_xlfn.ANCHORARRAY(Roster!$AE$6),K$15,3))</f>
        <v>1</v>
      </c>
      <c r="L17" s="6" cm="1">
        <f t="array" ref="L17">IF(L$16="","",INDEX(_xlfn.ANCHORARRAY(Roster!$AE$6),L$15,3))</f>
        <v>1</v>
      </c>
      <c r="M17" s="6" cm="1">
        <f t="array" ref="M17">IF(M$16="","",INDEX(_xlfn.ANCHORARRAY(Roster!$AE$6),M$15,3))</f>
        <v>1</v>
      </c>
      <c r="N17" s="6" t="str" cm="1">
        <f t="array" ref="N17">IF(N$16="","",INDEX(_xlfn.ANCHORARRAY(Roster!$AE$6),N$15,3))</f>
        <v/>
      </c>
      <c r="O17" s="6" t="str" cm="1">
        <f t="array" ref="O17">IF(O$16="","",INDEX(_xlfn.ANCHORARRAY(Roster!$AE$6),O$15,3))</f>
        <v/>
      </c>
      <c r="P17" s="6" t="str" cm="1">
        <f t="array" ref="P17">IF(P$16="","",INDEX(_xlfn.ANCHORARRAY(Roster!$AE$6),P$15,3))</f>
        <v/>
      </c>
      <c r="Q17" s="6" t="str" cm="1">
        <f t="array" ref="Q17">IF(Q$16="","",INDEX(_xlfn.ANCHORARRAY(Roster!$AE$6),Q$15,3))</f>
        <v/>
      </c>
      <c r="R17" s="6" t="str" cm="1">
        <f t="array" ref="R17">IF(R$16="","",INDEX(_xlfn.ANCHORARRAY(Roster!$AE$6),R$15,3))</f>
        <v/>
      </c>
      <c r="S17" s="6"/>
      <c r="T17" s="6"/>
    </row>
    <row r="18" spans="1:20" x14ac:dyDescent="0.25">
      <c r="B18" s="67" t="s">
        <v>544</v>
      </c>
      <c r="C18" s="6"/>
      <c r="D18" s="6" cm="1">
        <f t="array" ref="D18">IF(D$16="","",INDEX(_xlfn.ANCHORARRAY(Roster!$AE$6),D$15,2))</f>
        <v>1</v>
      </c>
      <c r="E18" s="6" cm="1">
        <f t="array" ref="E18">IF(E$16="","",INDEX(_xlfn.ANCHORARRAY(Roster!$AE$6),E$15,2))</f>
        <v>1</v>
      </c>
      <c r="F18" s="6" cm="1">
        <f t="array" ref="F18">IF(F$16="","",INDEX(_xlfn.ANCHORARRAY(Roster!$AE$6),F$15,2))</f>
        <v>1</v>
      </c>
      <c r="G18" s="6" cm="1">
        <f t="array" ref="G18">IF(G$16="","",INDEX(_xlfn.ANCHORARRAY(Roster!$AE$6),G$15,2))</f>
        <v>1</v>
      </c>
      <c r="H18" s="6" cm="1">
        <f t="array" ref="H18">IF(H$16="","",INDEX(_xlfn.ANCHORARRAY(Roster!$AE$6),H$15,2))</f>
        <v>1</v>
      </c>
      <c r="I18" s="6" cm="1">
        <f t="array" ref="I18">IF(I$16="","",INDEX(_xlfn.ANCHORARRAY(Roster!$AE$6),I$15,2))</f>
        <v>1</v>
      </c>
      <c r="J18" s="6" cm="1">
        <f t="array" ref="J18">IF(J$16="","",INDEX(_xlfn.ANCHORARRAY(Roster!$AE$6),J$15,2))</f>
        <v>1</v>
      </c>
      <c r="K18" s="6" cm="1">
        <f t="array" ref="K18">IF(K$16="","",INDEX(_xlfn.ANCHORARRAY(Roster!$AE$6),K$15,2))</f>
        <v>1</v>
      </c>
      <c r="L18" s="6" cm="1">
        <f t="array" ref="L18">IF(L$16="","",INDEX(_xlfn.ANCHORARRAY(Roster!$AE$6),L$15,2))</f>
        <v>1</v>
      </c>
      <c r="M18" s="6" cm="1">
        <f t="array" ref="M18">IF(M$16="","",INDEX(_xlfn.ANCHORARRAY(Roster!$AE$6),M$15,2))</f>
        <v>1</v>
      </c>
      <c r="N18" s="6" t="str" cm="1">
        <f t="array" ref="N18">IF(N$16="","",INDEX(_xlfn.ANCHORARRAY(Roster!$AE$6),N$15,2))</f>
        <v/>
      </c>
      <c r="O18" s="6" t="str" cm="1">
        <f t="array" ref="O18">IF(O$16="","",INDEX(_xlfn.ANCHORARRAY(Roster!$AE$6),O$15,2))</f>
        <v/>
      </c>
      <c r="P18" s="6" t="str" cm="1">
        <f t="array" ref="P18">IF(P$16="","",INDEX(_xlfn.ANCHORARRAY(Roster!$AE$6),P$15,2))</f>
        <v/>
      </c>
      <c r="Q18" s="6" t="str" cm="1">
        <f t="array" ref="Q18">IF(Q$16="","",INDEX(_xlfn.ANCHORARRAY(Roster!$AE$6),Q$15,2))</f>
        <v/>
      </c>
      <c r="R18" s="6" t="str" cm="1">
        <f t="array" ref="R18">IF(R$16="","",INDEX(_xlfn.ANCHORARRAY(Roster!$AE$6),R$15,2))</f>
        <v/>
      </c>
      <c r="S18" s="6"/>
      <c r="T18" s="6"/>
    </row>
    <row r="19" spans="1:20" x14ac:dyDescent="0.25">
      <c r="A19" s="82">
        <v>1</v>
      </c>
      <c r="B19" t="str" cm="1">
        <f t="array" ref="B19">IFERROR(INDEX(_xlfn.ANCHORARRAY(Roster!$AP$6),$A19,1),"")</f>
        <v>Plague Marines (Ranged)</v>
      </c>
      <c r="C19" s="6" cm="1">
        <f t="array" ref="C19">IF($B19="","",INDEX(_xlfn.ANCHORARRAY(Roster!$AP$6),$A19,2))</f>
        <v>10</v>
      </c>
      <c r="D19" s="86" cm="1">
        <f t="array" ref="D19">IF(OR($B19="",D$16=""),"",_xlfn.LET(_xlpm.fac,Roster!$C$5,_xlpm.ph,Roster!$C$6,_xlpm.sc,INDEX(_xlfn.ANCHORARRAY(Roster!$AP$6),$A19,4),_xlpm.tg,_xlfn.CHOOSECOLS(_xlfn.CHOOSEROWS(_xlfn.ANCHORARRAY(Roster!$AE$6),D$15),4,5,6,7,8,9,3),_xlpm.s,IF(_xlpm.ph="Fighting",0,INDEX(UNITVS(_xlpm.fac,$B19,"Shooting",_xlpm.tg,Roster!$AX$5,_xlfn.ANCHORARRAY(Roster!$AX$7)),2)),_xlpm.f,IF(_xlpm.ph="Shooting",0,INDEX(UNITVS(_xlpm.fac,$B19,"Fighting",_xlpm.tg,Roster!$AX$6,_xlfn.ANCHORARRAY(Roster!$AX$8)),2)),MIN(D$17,(_xlpm.s+_xlpm.f)*_xlpm.sc)))</f>
        <v>10</v>
      </c>
      <c r="E19" s="86" cm="1">
        <f t="array" ref="E19">IF(OR($B19="",E$16=""),"",_xlfn.LET(_xlpm.fac,Roster!$C$5,_xlpm.ph,Roster!$C$6,_xlpm.sc,INDEX(_xlfn.ANCHORARRAY(Roster!$AP$6),$A19,4),_xlpm.tg,_xlfn.CHOOSECOLS(_xlfn.CHOOSEROWS(_xlfn.ANCHORARRAY(Roster!$AE$6),E$15),4,5,6,7,8,9,3),_xlpm.s,IF(_xlpm.ph="Fighting",0,INDEX(UNITVS(_xlpm.fac,$B19,"Shooting",_xlpm.tg,Roster!$AX$5,_xlfn.ANCHORARRAY(Roster!$AX$7)),2)),_xlpm.f,IF(_xlpm.ph="Shooting",0,INDEX(UNITVS(_xlpm.fac,$B19,"Fighting",_xlpm.tg,Roster!$AX$6,_xlfn.ANCHORARRAY(Roster!$AX$8)),2)),MIN(E$17,(_xlpm.s+_xlpm.f)*_xlpm.sc)))</f>
        <v>4.541666666666667</v>
      </c>
      <c r="F19" s="86" cm="1">
        <f t="array" ref="F19">IF(OR($B19="",F$16=""),"",_xlfn.LET(_xlpm.fac,Roster!$C$5,_xlpm.ph,Roster!$C$6,_xlpm.sc,INDEX(_xlfn.ANCHORARRAY(Roster!$AP$6),$A19,4),_xlpm.tg,_xlfn.CHOOSECOLS(_xlfn.CHOOSEROWS(_xlfn.ANCHORARRAY(Roster!$AE$6),F$15),4,5,6,7,8,9,3),_xlpm.s,IF(_xlpm.ph="Fighting",0,INDEX(UNITVS(_xlpm.fac,$B19,"Shooting",_xlpm.tg,Roster!$AX$5,_xlfn.ANCHORARRAY(Roster!$AX$7)),2)),_xlpm.f,IF(_xlpm.ph="Shooting",0,INDEX(UNITVS(_xlpm.fac,$B19,"Fighting",_xlpm.tg,Roster!$AX$6,_xlfn.ANCHORARRAY(Roster!$AX$8)),2)),MIN(F$17,(_xlpm.s+_xlpm.f)*_xlpm.sc)))</f>
        <v>1.625</v>
      </c>
      <c r="G19" s="86" cm="1">
        <f t="array" ref="G19">IF(OR($B19="",G$16=""),"",_xlfn.LET(_xlpm.fac,Roster!$C$5,_xlpm.ph,Roster!$C$6,_xlpm.sc,INDEX(_xlfn.ANCHORARRAY(Roster!$AP$6),$A19,4),_xlpm.tg,_xlfn.CHOOSECOLS(_xlfn.CHOOSEROWS(_xlfn.ANCHORARRAY(Roster!$AE$6),G$15),4,5,6,7,8,9,3),_xlpm.s,IF(_xlpm.ph="Fighting",0,INDEX(UNITVS(_xlpm.fac,$B19,"Shooting",_xlpm.tg,Roster!$AX$5,_xlfn.ANCHORARRAY(Roster!$AX$7)),2)),_xlpm.f,IF(_xlpm.ph="Shooting",0,INDEX(UNITVS(_xlpm.fac,$B19,"Fighting",_xlpm.tg,Roster!$AX$6,_xlfn.ANCHORARRAY(Roster!$AX$8)),2)),MIN(G$17,(_xlpm.s+_xlpm.f)*_xlpm.sc)))</f>
        <v>2</v>
      </c>
      <c r="H19" s="86" cm="1">
        <f t="array" ref="H19">IF(OR($B19="",H$16=""),"",_xlfn.LET(_xlpm.fac,Roster!$C$5,_xlpm.ph,Roster!$C$6,_xlpm.sc,INDEX(_xlfn.ANCHORARRAY(Roster!$AP$6),$A19,4),_xlpm.tg,_xlfn.CHOOSECOLS(_xlfn.CHOOSEROWS(_xlfn.ANCHORARRAY(Roster!$AE$6),H$15),4,5,6,7,8,9,3),_xlpm.s,IF(_xlpm.ph="Fighting",0,INDEX(UNITVS(_xlpm.fac,$B19,"Shooting",_xlpm.tg,Roster!$AX$5,_xlfn.ANCHORARRAY(Roster!$AX$7)),2)),_xlpm.f,IF(_xlpm.ph="Shooting",0,INDEX(UNITVS(_xlpm.fac,$B19,"Fighting",_xlpm.tg,Roster!$AX$6,_xlfn.ANCHORARRAY(Roster!$AX$8)),2)),MIN(H$17,(_xlpm.s+_xlpm.f)*_xlpm.sc)))</f>
        <v>1</v>
      </c>
      <c r="I19" s="86" cm="1">
        <f t="array" ref="I19">IF(OR($B19="",I$16=""),"",_xlfn.LET(_xlpm.fac,Roster!$C$5,_xlpm.ph,Roster!$C$6,_xlpm.sc,INDEX(_xlfn.ANCHORARRAY(Roster!$AP$6),$A19,4),_xlpm.tg,_xlfn.CHOOSECOLS(_xlfn.CHOOSEROWS(_xlfn.ANCHORARRAY(Roster!$AE$6),I$15),4,5,6,7,8,9,3),_xlpm.s,IF(_xlpm.ph="Fighting",0,INDEX(UNITVS(_xlpm.fac,$B19,"Shooting",_xlpm.tg,Roster!$AX$5,_xlfn.ANCHORARRAY(Roster!$AX$7)),2)),_xlpm.f,IF(_xlpm.ph="Shooting",0,INDEX(UNITVS(_xlpm.fac,$B19,"Fighting",_xlpm.tg,Roster!$AX$6,_xlfn.ANCHORARRAY(Roster!$AX$8)),2)),MIN(I$17,(_xlpm.s+_xlpm.f)*_xlpm.sc)))</f>
        <v>0.58333333333333337</v>
      </c>
      <c r="J19" s="86" cm="1">
        <f t="array" ref="J19">IF(OR($B19="",J$16=""),"",_xlfn.LET(_xlpm.fac,Roster!$C$5,_xlpm.ph,Roster!$C$6,_xlpm.sc,INDEX(_xlfn.ANCHORARRAY(Roster!$AP$6),$A19,4),_xlpm.tg,_xlfn.CHOOSECOLS(_xlfn.CHOOSEROWS(_xlfn.ANCHORARRAY(Roster!$AE$6),J$15),4,5,6,7,8,9,3),_xlpm.s,IF(_xlpm.ph="Fighting",0,INDEX(UNITVS(_xlpm.fac,$B19,"Shooting",_xlpm.tg,Roster!$AX$5,_xlfn.ANCHORARRAY(Roster!$AX$7)),2)),_xlpm.f,IF(_xlpm.ph="Shooting",0,INDEX(UNITVS(_xlpm.fac,$B19,"Fighting",_xlpm.tg,Roster!$AX$6,_xlfn.ANCHORARRAY(Roster!$AX$8)),2)),MIN(J$17,(_xlpm.s+_xlpm.f)*_xlpm.sc)))</f>
        <v>0.3923611111111111</v>
      </c>
      <c r="K19" s="86" cm="1">
        <f t="array" ref="K19">IF(OR($B19="",K$16=""),"",_xlfn.LET(_xlpm.fac,Roster!$C$5,_xlpm.ph,Roster!$C$6,_xlpm.sc,INDEX(_xlfn.ANCHORARRAY(Roster!$AP$6),$A19,4),_xlpm.tg,_xlfn.CHOOSECOLS(_xlfn.CHOOSEROWS(_xlfn.ANCHORARRAY(Roster!$AE$6),K$15),4,5,6,7,8,9,3),_xlpm.s,IF(_xlpm.ph="Fighting",0,INDEX(UNITVS(_xlpm.fac,$B19,"Shooting",_xlpm.tg,Roster!$AX$5,_xlfn.ANCHORARRAY(Roster!$AX$7)),2)),_xlpm.f,IF(_xlpm.ph="Shooting",0,INDEX(UNITVS(_xlpm.fac,$B19,"Fighting",_xlpm.tg,Roster!$AX$6,_xlfn.ANCHORARRAY(Roster!$AX$8)),2)),MIN(K$17,(_xlpm.s+_xlpm.f)*_xlpm.sc)))</f>
        <v>0.35485347985347987</v>
      </c>
      <c r="L19" s="86" cm="1">
        <f t="array" ref="L19">IF(OR($B19="",L$16=""),"",_xlfn.LET(_xlpm.fac,Roster!$C$5,_xlpm.ph,Roster!$C$6,_xlpm.sc,INDEX(_xlfn.ANCHORARRAY(Roster!$AP$6),$A19,4),_xlpm.tg,_xlfn.CHOOSECOLS(_xlfn.CHOOSEROWS(_xlfn.ANCHORARRAY(Roster!$AE$6),L$15),4,5,6,7,8,9,3),_xlpm.s,IF(_xlpm.ph="Fighting",0,INDEX(UNITVS(_xlpm.fac,$B19,"Shooting",_xlpm.tg,Roster!$AX$5,_xlfn.ANCHORARRAY(Roster!$AX$7)),2)),_xlpm.f,IF(_xlpm.ph="Shooting",0,INDEX(UNITVS(_xlpm.fac,$B19,"Fighting",_xlpm.tg,Roster!$AX$6,_xlfn.ANCHORARRAY(Roster!$AX$8)),2)),MIN(L$17,(_xlpm.s+_xlpm.f)*_xlpm.sc)))</f>
        <v>0.203125</v>
      </c>
      <c r="M19" s="86" cm="1">
        <f t="array" ref="M19">IF(OR($B19="",M$16=""),"",_xlfn.LET(_xlpm.fac,Roster!$C$5,_xlpm.ph,Roster!$C$6,_xlpm.sc,INDEX(_xlfn.ANCHORARRAY(Roster!$AP$6),$A19,4),_xlpm.tg,_xlfn.CHOOSECOLS(_xlfn.CHOOSEROWS(_xlfn.ANCHORARRAY(Roster!$AE$6),M$15),4,5,6,7,8,9,3),_xlpm.s,IF(_xlpm.ph="Fighting",0,INDEX(UNITVS(_xlpm.fac,$B19,"Shooting",_xlpm.tg,Roster!$AX$5,_xlfn.ANCHORARRAY(Roster!$AX$7)),2)),_xlpm.f,IF(_xlpm.ph="Shooting",0,INDEX(UNITVS(_xlpm.fac,$B19,"Fighting",_xlpm.tg,Roster!$AX$6,_xlfn.ANCHORARRAY(Roster!$AX$8)),2)),MIN(M$17,(_xlpm.s+_xlpm.f)*_xlpm.sc)))</f>
        <v>0.21401515151515152</v>
      </c>
      <c r="N19" s="86" t="str" cm="1">
        <f t="array" ref="N19">IF(OR($B19="",N$16=""),"",_xlfn.LET(_xlpm.fac,Roster!$C$5,_xlpm.ph,Roster!$C$6,_xlpm.sc,INDEX(_xlfn.ANCHORARRAY(Roster!$AP$6),$A19,4),_xlpm.tg,_xlfn.CHOOSECOLS(_xlfn.CHOOSEROWS(_xlfn.ANCHORARRAY(Roster!$AE$6),N$15),4,5,6,7,8,9,3),_xlpm.s,IF(_xlpm.ph="Fighting",0,INDEX(UNITVS(_xlpm.fac,$B19,"Shooting",_xlpm.tg,Roster!$AX$5,_xlfn.ANCHORARRAY(Roster!$AX$7)),2)),_xlpm.f,IF(_xlpm.ph="Shooting",0,INDEX(UNITVS(_xlpm.fac,$B19,"Fighting",_xlpm.tg,Roster!$AX$6,_xlfn.ANCHORARRAY(Roster!$AX$8)),2)),MIN(N$17,(_xlpm.s+_xlpm.f)*_xlpm.sc)))</f>
        <v/>
      </c>
      <c r="O19" s="86" t="str" cm="1">
        <f t="array" ref="O19">IF(OR($B19="",O$16=""),"",_xlfn.LET(_xlpm.fac,Roster!$C$5,_xlpm.ph,Roster!$C$6,_xlpm.sc,INDEX(_xlfn.ANCHORARRAY(Roster!$AP$6),$A19,4),_xlpm.tg,_xlfn.CHOOSECOLS(_xlfn.CHOOSEROWS(_xlfn.ANCHORARRAY(Roster!$AE$6),O$15),4,5,6,7,8,9,3),_xlpm.s,IF(_xlpm.ph="Fighting",0,INDEX(UNITVS(_xlpm.fac,$B19,"Shooting",_xlpm.tg,Roster!$AX$5,_xlfn.ANCHORARRAY(Roster!$AX$7)),2)),_xlpm.f,IF(_xlpm.ph="Shooting",0,INDEX(UNITVS(_xlpm.fac,$B19,"Fighting",_xlpm.tg,Roster!$AX$6,_xlfn.ANCHORARRAY(Roster!$AX$8)),2)),MIN(O$17,(_xlpm.s+_xlpm.f)*_xlpm.sc)))</f>
        <v/>
      </c>
      <c r="P19" s="86" t="str" cm="1">
        <f t="array" ref="P19">IF(OR($B19="",P$16=""),"",_xlfn.LET(_xlpm.fac,Roster!$C$5,_xlpm.ph,Roster!$C$6,_xlpm.sc,INDEX(_xlfn.ANCHORARRAY(Roster!$AP$6),$A19,4),_xlpm.tg,_xlfn.CHOOSECOLS(_xlfn.CHOOSEROWS(_xlfn.ANCHORARRAY(Roster!$AE$6),P$15),4,5,6,7,8,9,3),_xlpm.s,IF(_xlpm.ph="Fighting",0,INDEX(UNITVS(_xlpm.fac,$B19,"Shooting",_xlpm.tg,Roster!$AX$5,_xlfn.ANCHORARRAY(Roster!$AX$7)),2)),_xlpm.f,IF(_xlpm.ph="Shooting",0,INDEX(UNITVS(_xlpm.fac,$B19,"Fighting",_xlpm.tg,Roster!$AX$6,_xlfn.ANCHORARRAY(Roster!$AX$8)),2)),MIN(P$17,(_xlpm.s+_xlpm.f)*_xlpm.sc)))</f>
        <v/>
      </c>
      <c r="Q19" s="86" t="str" cm="1">
        <f t="array" ref="Q19">IF(OR($B19="",Q$16=""),"",_xlfn.LET(_xlpm.fac,Roster!$C$5,_xlpm.ph,Roster!$C$6,_xlpm.sc,INDEX(_xlfn.ANCHORARRAY(Roster!$AP$6),$A19,4),_xlpm.tg,_xlfn.CHOOSECOLS(_xlfn.CHOOSEROWS(_xlfn.ANCHORARRAY(Roster!$AE$6),Q$15),4,5,6,7,8,9,3),_xlpm.s,IF(_xlpm.ph="Fighting",0,INDEX(UNITVS(_xlpm.fac,$B19,"Shooting",_xlpm.tg,Roster!$AX$5,_xlfn.ANCHORARRAY(Roster!$AX$7)),2)),_xlpm.f,IF(_xlpm.ph="Shooting",0,INDEX(UNITVS(_xlpm.fac,$B19,"Fighting",_xlpm.tg,Roster!$AX$6,_xlfn.ANCHORARRAY(Roster!$AX$8)),2)),MIN(Q$17,(_xlpm.s+_xlpm.f)*_xlpm.sc)))</f>
        <v/>
      </c>
      <c r="R19" s="86" t="str" cm="1">
        <f t="array" ref="R19">IF(OR($B19="",R$16=""),"",_xlfn.LET(_xlpm.fac,Roster!$C$5,_xlpm.ph,Roster!$C$6,_xlpm.sc,INDEX(_xlfn.ANCHORARRAY(Roster!$AP$6),$A19,4),_xlpm.tg,_xlfn.CHOOSECOLS(_xlfn.CHOOSEROWS(_xlfn.ANCHORARRAY(Roster!$AE$6),R$15),4,5,6,7,8,9,3),_xlpm.s,IF(_xlpm.ph="Fighting",0,INDEX(UNITVS(_xlpm.fac,$B19,"Shooting",_xlpm.tg,Roster!$AX$5,_xlfn.ANCHORARRAY(Roster!$AX$7)),2)),_xlpm.f,IF(_xlpm.ph="Shooting",0,INDEX(UNITVS(_xlpm.fac,$B19,"Fighting",_xlpm.tg,Roster!$AX$6,_xlfn.ANCHORARRAY(Roster!$AX$8)),2)),MIN(R$17,(_xlpm.s+_xlpm.f)*_xlpm.sc)))</f>
        <v/>
      </c>
      <c r="S19" s="6"/>
      <c r="T19" s="6"/>
    </row>
    <row r="20" spans="1:20" x14ac:dyDescent="0.25">
      <c r="A20" s="82">
        <v>2</v>
      </c>
      <c r="B20" t="str" cm="1">
        <f t="array" ref="B20">IFERROR(INDEX(_xlfn.ANCHORARRAY(Roster!$AP$6),$A20,1),"")</f>
        <v>Plague Marines (Meele)</v>
      </c>
      <c r="C20" s="6" cm="1">
        <f t="array" ref="C20">IF($B20="","",INDEX(_xlfn.ANCHORARRAY(Roster!$AP$6),$A20,2))</f>
        <v>10</v>
      </c>
      <c r="D20" s="86" cm="1">
        <f t="array" ref="D20">IF(OR($B20="",D$16=""),"",_xlfn.LET(_xlpm.fac,Roster!$C$5,_xlpm.ph,Roster!$C$6,_xlpm.sc,INDEX(_xlfn.ANCHORARRAY(Roster!$AP$6),$A20,4),_xlpm.tg,_xlfn.CHOOSECOLS(_xlfn.CHOOSEROWS(_xlfn.ANCHORARRAY(Roster!$AE$6),D$15),4,5,6,7,8,9,3),_xlpm.s,IF(_xlpm.ph="Fighting",0,INDEX(UNITVS(_xlpm.fac,$B20,"Shooting",_xlpm.tg,Roster!$AX$5,_xlfn.ANCHORARRAY(Roster!$AX$7)),2)),_xlpm.f,IF(_xlpm.ph="Shooting",0,INDEX(UNITVS(_xlpm.fac,$B20,"Fighting",_xlpm.tg,Roster!$AX$6,_xlfn.ANCHORARRAY(Roster!$AX$8)),2)),MIN(D$17,(_xlpm.s+_xlpm.f)*_xlpm.sc)))</f>
        <v>10</v>
      </c>
      <c r="E20" s="86" cm="1">
        <f t="array" ref="E20">IF(OR($B20="",E$16=""),"",_xlfn.LET(_xlpm.fac,Roster!$C$5,_xlpm.ph,Roster!$C$6,_xlpm.sc,INDEX(_xlfn.ANCHORARRAY(Roster!$AP$6),$A20,4),_xlpm.tg,_xlfn.CHOOSECOLS(_xlfn.CHOOSEROWS(_xlfn.ANCHORARRAY(Roster!$AE$6),E$15),4,5,6,7,8,9,3),_xlpm.s,IF(_xlpm.ph="Fighting",0,INDEX(UNITVS(_xlpm.fac,$B20,"Shooting",_xlpm.tg,Roster!$AX$5,_xlfn.ANCHORARRAY(Roster!$AX$7)),2)),_xlpm.f,IF(_xlpm.ph="Shooting",0,INDEX(UNITVS(_xlpm.fac,$B20,"Fighting",_xlpm.tg,Roster!$AX$6,_xlfn.ANCHORARRAY(Roster!$AX$8)),2)),MIN(E$17,(_xlpm.s+_xlpm.f)*_xlpm.sc)))</f>
        <v>5</v>
      </c>
      <c r="F20" s="86" cm="1">
        <f t="array" ref="F20">IF(OR($B20="",F$16=""),"",_xlfn.LET(_xlpm.fac,Roster!$C$5,_xlpm.ph,Roster!$C$6,_xlpm.sc,INDEX(_xlfn.ANCHORARRAY(Roster!$AP$6),$A20,4),_xlpm.tg,_xlfn.CHOOSECOLS(_xlfn.CHOOSEROWS(_xlfn.ANCHORARRAY(Roster!$AE$6),F$15),4,5,6,7,8,9,3),_xlpm.s,IF(_xlpm.ph="Fighting",0,INDEX(UNITVS(_xlpm.fac,$B20,"Shooting",_xlpm.tg,Roster!$AX$5,_xlfn.ANCHORARRAY(Roster!$AX$7)),2)),_xlpm.f,IF(_xlpm.ph="Shooting",0,INDEX(UNITVS(_xlpm.fac,$B20,"Fighting",_xlpm.tg,Roster!$AX$6,_xlfn.ANCHORARRAY(Roster!$AX$8)),2)),MIN(F$17,(_xlpm.s+_xlpm.f)*_xlpm.sc)))</f>
        <v>2.6527777777777777</v>
      </c>
      <c r="G20" s="86" cm="1">
        <f t="array" ref="G20">IF(OR($B20="",G$16=""),"",_xlfn.LET(_xlpm.fac,Roster!$C$5,_xlpm.ph,Roster!$C$6,_xlpm.sc,INDEX(_xlfn.ANCHORARRAY(Roster!$AP$6),$A20,4),_xlpm.tg,_xlfn.CHOOSECOLS(_xlfn.CHOOSEROWS(_xlfn.ANCHORARRAY(Roster!$AE$6),G$15),4,5,6,7,8,9,3),_xlpm.s,IF(_xlpm.ph="Fighting",0,INDEX(UNITVS(_xlpm.fac,$B20,"Shooting",_xlpm.tg,Roster!$AX$5,_xlfn.ANCHORARRAY(Roster!$AX$7)),2)),_xlpm.f,IF(_xlpm.ph="Shooting",0,INDEX(UNITVS(_xlpm.fac,$B20,"Fighting",_xlpm.tg,Roster!$AX$6,_xlfn.ANCHORARRAY(Roster!$AX$8)),2)),MIN(G$17,(_xlpm.s+_xlpm.f)*_xlpm.sc)))</f>
        <v>3</v>
      </c>
      <c r="H20" s="86" cm="1">
        <f t="array" ref="H20">IF(OR($B20="",H$16=""),"",_xlfn.LET(_xlpm.fac,Roster!$C$5,_xlpm.ph,Roster!$C$6,_xlpm.sc,INDEX(_xlfn.ANCHORARRAY(Roster!$AP$6),$A20,4),_xlpm.tg,_xlfn.CHOOSECOLS(_xlfn.CHOOSEROWS(_xlfn.ANCHORARRAY(Roster!$AE$6),H$15),4,5,6,7,8,9,3),_xlpm.s,IF(_xlpm.ph="Fighting",0,INDEX(UNITVS(_xlpm.fac,$B20,"Shooting",_xlpm.tg,Roster!$AX$5,_xlfn.ANCHORARRAY(Roster!$AX$7)),2)),_xlpm.f,IF(_xlpm.ph="Shooting",0,INDEX(UNITVS(_xlpm.fac,$B20,"Fighting",_xlpm.tg,Roster!$AX$6,_xlfn.ANCHORARRAY(Roster!$AX$8)),2)),MIN(H$17,(_xlpm.s+_xlpm.f)*_xlpm.sc)))</f>
        <v>1</v>
      </c>
      <c r="I20" s="86" cm="1">
        <f t="array" ref="I20">IF(OR($B20="",I$16=""),"",_xlfn.LET(_xlpm.fac,Roster!$C$5,_xlpm.ph,Roster!$C$6,_xlpm.sc,INDEX(_xlfn.ANCHORARRAY(Roster!$AP$6),$A20,4),_xlpm.tg,_xlfn.CHOOSECOLS(_xlfn.CHOOSEROWS(_xlfn.ANCHORARRAY(Roster!$AE$6),I$15),4,5,6,7,8,9,3),_xlpm.s,IF(_xlpm.ph="Fighting",0,INDEX(UNITVS(_xlpm.fac,$B20,"Shooting",_xlpm.tg,Roster!$AX$5,_xlfn.ANCHORARRAY(Roster!$AX$7)),2)),_xlpm.f,IF(_xlpm.ph="Shooting",0,INDEX(UNITVS(_xlpm.fac,$B20,"Fighting",_xlpm.tg,Roster!$AX$6,_xlfn.ANCHORARRAY(Roster!$AX$8)),2)),MIN(I$17,(_xlpm.s+_xlpm.f)*_xlpm.sc)))</f>
        <v>0.93333333333333313</v>
      </c>
      <c r="J20" s="86" cm="1">
        <f t="array" ref="J20">IF(OR($B20="",J$16=""),"",_xlfn.LET(_xlpm.fac,Roster!$C$5,_xlpm.ph,Roster!$C$6,_xlpm.sc,INDEX(_xlfn.ANCHORARRAY(Roster!$AP$6),$A20,4),_xlpm.tg,_xlfn.CHOOSECOLS(_xlfn.CHOOSEROWS(_xlfn.ANCHORARRAY(Roster!$AE$6),J$15),4,5,6,7,8,9,3),_xlpm.s,IF(_xlpm.ph="Fighting",0,INDEX(UNITVS(_xlpm.fac,$B20,"Shooting",_xlpm.tg,Roster!$AX$5,_xlfn.ANCHORARRAY(Roster!$AX$7)),2)),_xlpm.f,IF(_xlpm.ph="Shooting",0,INDEX(UNITVS(_xlpm.fac,$B20,"Fighting",_xlpm.tg,Roster!$AX$6,_xlfn.ANCHORARRAY(Roster!$AX$8)),2)),MIN(J$17,(_xlpm.s+_xlpm.f)*_xlpm.sc)))</f>
        <v>0.70370370370370372</v>
      </c>
      <c r="K20" s="86" cm="1">
        <f t="array" ref="K20">IF(OR($B20="",K$16=""),"",_xlfn.LET(_xlpm.fac,Roster!$C$5,_xlpm.ph,Roster!$C$6,_xlpm.sc,INDEX(_xlfn.ANCHORARRAY(Roster!$AP$6),$A20,4),_xlpm.tg,_xlfn.CHOOSECOLS(_xlfn.CHOOSEROWS(_xlfn.ANCHORARRAY(Roster!$AE$6),K$15),4,5,6,7,8,9,3),_xlpm.s,IF(_xlpm.ph="Fighting",0,INDEX(UNITVS(_xlpm.fac,$B20,"Shooting",_xlpm.tg,Roster!$AX$5,_xlfn.ANCHORARRAY(Roster!$AX$7)),2)),_xlpm.f,IF(_xlpm.ph="Shooting",0,INDEX(UNITVS(_xlpm.fac,$B20,"Fighting",_xlpm.tg,Roster!$AX$6,_xlfn.ANCHORARRAY(Roster!$AX$8)),2)),MIN(K$17,(_xlpm.s+_xlpm.f)*_xlpm.sc)))</f>
        <v>0.61782661782661774</v>
      </c>
      <c r="L20" s="86" cm="1">
        <f t="array" ref="L20">IF(OR($B20="",L$16=""),"",_xlfn.LET(_xlpm.fac,Roster!$C$5,_xlpm.ph,Roster!$C$6,_xlpm.sc,INDEX(_xlfn.ANCHORARRAY(Roster!$AP$6),$A20,4),_xlpm.tg,_xlfn.CHOOSECOLS(_xlfn.CHOOSEROWS(_xlfn.ANCHORARRAY(Roster!$AE$6),L$15),4,5,6,7,8,9,3),_xlpm.s,IF(_xlpm.ph="Fighting",0,INDEX(UNITVS(_xlpm.fac,$B20,"Shooting",_xlpm.tg,Roster!$AX$5,_xlfn.ANCHORARRAY(Roster!$AX$7)),2)),_xlpm.f,IF(_xlpm.ph="Shooting",0,INDEX(UNITVS(_xlpm.fac,$B20,"Fighting",_xlpm.tg,Roster!$AX$6,_xlfn.ANCHORARRAY(Roster!$AX$8)),2)),MIN(L$17,(_xlpm.s+_xlpm.f)*_xlpm.sc)))</f>
        <v>0.39583333333333337</v>
      </c>
      <c r="M20" s="86" cm="1">
        <f t="array" ref="M20">IF(OR($B20="",M$16=""),"",_xlfn.LET(_xlpm.fac,Roster!$C$5,_xlpm.ph,Roster!$C$6,_xlpm.sc,INDEX(_xlfn.ANCHORARRAY(Roster!$AP$6),$A20,4),_xlpm.tg,_xlfn.CHOOSECOLS(_xlfn.CHOOSEROWS(_xlfn.ANCHORARRAY(Roster!$AE$6),M$15),4,5,6,7,8,9,3),_xlpm.s,IF(_xlpm.ph="Fighting",0,INDEX(UNITVS(_xlpm.fac,$B20,"Shooting",_xlpm.tg,Roster!$AX$5,_xlfn.ANCHORARRAY(Roster!$AX$7)),2)),_xlpm.f,IF(_xlpm.ph="Shooting",0,INDEX(UNITVS(_xlpm.fac,$B20,"Fighting",_xlpm.tg,Roster!$AX$6,_xlfn.ANCHORARRAY(Roster!$AX$8)),2)),MIN(M$17,(_xlpm.s+_xlpm.f)*_xlpm.sc)))</f>
        <v>0.38383838383838381</v>
      </c>
      <c r="N20" s="86" t="str" cm="1">
        <f t="array" ref="N20">IF(OR($B20="",N$16=""),"",_xlfn.LET(_xlpm.fac,Roster!$C$5,_xlpm.ph,Roster!$C$6,_xlpm.sc,INDEX(_xlfn.ANCHORARRAY(Roster!$AP$6),$A20,4),_xlpm.tg,_xlfn.CHOOSECOLS(_xlfn.CHOOSEROWS(_xlfn.ANCHORARRAY(Roster!$AE$6),N$15),4,5,6,7,8,9,3),_xlpm.s,IF(_xlpm.ph="Fighting",0,INDEX(UNITVS(_xlpm.fac,$B20,"Shooting",_xlpm.tg,Roster!$AX$5,_xlfn.ANCHORARRAY(Roster!$AX$7)),2)),_xlpm.f,IF(_xlpm.ph="Shooting",0,INDEX(UNITVS(_xlpm.fac,$B20,"Fighting",_xlpm.tg,Roster!$AX$6,_xlfn.ANCHORARRAY(Roster!$AX$8)),2)),MIN(N$17,(_xlpm.s+_xlpm.f)*_xlpm.sc)))</f>
        <v/>
      </c>
      <c r="O20" s="86" t="str" cm="1">
        <f t="array" ref="O20">IF(OR($B20="",O$16=""),"",_xlfn.LET(_xlpm.fac,Roster!$C$5,_xlpm.ph,Roster!$C$6,_xlpm.sc,INDEX(_xlfn.ANCHORARRAY(Roster!$AP$6),$A20,4),_xlpm.tg,_xlfn.CHOOSECOLS(_xlfn.CHOOSEROWS(_xlfn.ANCHORARRAY(Roster!$AE$6),O$15),4,5,6,7,8,9,3),_xlpm.s,IF(_xlpm.ph="Fighting",0,INDEX(UNITVS(_xlpm.fac,$B20,"Shooting",_xlpm.tg,Roster!$AX$5,_xlfn.ANCHORARRAY(Roster!$AX$7)),2)),_xlpm.f,IF(_xlpm.ph="Shooting",0,INDEX(UNITVS(_xlpm.fac,$B20,"Fighting",_xlpm.tg,Roster!$AX$6,_xlfn.ANCHORARRAY(Roster!$AX$8)),2)),MIN(O$17,(_xlpm.s+_xlpm.f)*_xlpm.sc)))</f>
        <v/>
      </c>
      <c r="P20" s="86" t="str" cm="1">
        <f t="array" ref="P20">IF(OR($B20="",P$16=""),"",_xlfn.LET(_xlpm.fac,Roster!$C$5,_xlpm.ph,Roster!$C$6,_xlpm.sc,INDEX(_xlfn.ANCHORARRAY(Roster!$AP$6),$A20,4),_xlpm.tg,_xlfn.CHOOSECOLS(_xlfn.CHOOSEROWS(_xlfn.ANCHORARRAY(Roster!$AE$6),P$15),4,5,6,7,8,9,3),_xlpm.s,IF(_xlpm.ph="Fighting",0,INDEX(UNITVS(_xlpm.fac,$B20,"Shooting",_xlpm.tg,Roster!$AX$5,_xlfn.ANCHORARRAY(Roster!$AX$7)),2)),_xlpm.f,IF(_xlpm.ph="Shooting",0,INDEX(UNITVS(_xlpm.fac,$B20,"Fighting",_xlpm.tg,Roster!$AX$6,_xlfn.ANCHORARRAY(Roster!$AX$8)),2)),MIN(P$17,(_xlpm.s+_xlpm.f)*_xlpm.sc)))</f>
        <v/>
      </c>
      <c r="Q20" s="86" t="str" cm="1">
        <f t="array" ref="Q20">IF(OR($B20="",Q$16=""),"",_xlfn.LET(_xlpm.fac,Roster!$C$5,_xlpm.ph,Roster!$C$6,_xlpm.sc,INDEX(_xlfn.ANCHORARRAY(Roster!$AP$6),$A20,4),_xlpm.tg,_xlfn.CHOOSECOLS(_xlfn.CHOOSEROWS(_xlfn.ANCHORARRAY(Roster!$AE$6),Q$15),4,5,6,7,8,9,3),_xlpm.s,IF(_xlpm.ph="Fighting",0,INDEX(UNITVS(_xlpm.fac,$B20,"Shooting",_xlpm.tg,Roster!$AX$5,_xlfn.ANCHORARRAY(Roster!$AX$7)),2)),_xlpm.f,IF(_xlpm.ph="Shooting",0,INDEX(UNITVS(_xlpm.fac,$B20,"Fighting",_xlpm.tg,Roster!$AX$6,_xlfn.ANCHORARRAY(Roster!$AX$8)),2)),MIN(Q$17,(_xlpm.s+_xlpm.f)*_xlpm.sc)))</f>
        <v/>
      </c>
      <c r="R20" s="86" t="str" cm="1">
        <f t="array" ref="R20">IF(OR($B20="",R$16=""),"",_xlfn.LET(_xlpm.fac,Roster!$C$5,_xlpm.ph,Roster!$C$6,_xlpm.sc,INDEX(_xlfn.ANCHORARRAY(Roster!$AP$6),$A20,4),_xlpm.tg,_xlfn.CHOOSECOLS(_xlfn.CHOOSEROWS(_xlfn.ANCHORARRAY(Roster!$AE$6),R$15),4,5,6,7,8,9,3),_xlpm.s,IF(_xlpm.ph="Fighting",0,INDEX(UNITVS(_xlpm.fac,$B20,"Shooting",_xlpm.tg,Roster!$AX$5,_xlfn.ANCHORARRAY(Roster!$AX$7)),2)),_xlpm.f,IF(_xlpm.ph="Shooting",0,INDEX(UNITVS(_xlpm.fac,$B20,"Fighting",_xlpm.tg,Roster!$AX$6,_xlfn.ANCHORARRAY(Roster!$AX$8)),2)),MIN(R$17,(_xlpm.s+_xlpm.f)*_xlpm.sc)))</f>
        <v/>
      </c>
      <c r="S20" s="6"/>
      <c r="T20" s="6"/>
    </row>
    <row r="21" spans="1:20" x14ac:dyDescent="0.25">
      <c r="A21" s="82">
        <v>3</v>
      </c>
      <c r="B21" t="str" cm="1">
        <f t="array" ref="B21">IFERROR(INDEX(_xlfn.ANCHORARRAY(Roster!$AP$6),$A21,1),"")</f>
        <v>Deathshroud Terminators</v>
      </c>
      <c r="C21" s="6" cm="1">
        <f t="array" ref="C21">IF($B21="","",INDEX(_xlfn.ANCHORARRAY(Roster!$AP$6),$A21,2))</f>
        <v>3</v>
      </c>
      <c r="D21" s="86" cm="1">
        <f t="array" ref="D21">IF(OR($B21="",D$16=""),"",_xlfn.LET(_xlpm.fac,Roster!$C$5,_xlpm.ph,Roster!$C$6,_xlpm.sc,INDEX(_xlfn.ANCHORARRAY(Roster!$AP$6),$A21,4),_xlpm.tg,_xlfn.CHOOSECOLS(_xlfn.CHOOSEROWS(_xlfn.ANCHORARRAY(Roster!$AE$6),D$15),4,5,6,7,8,9,3),_xlpm.s,IF(_xlpm.ph="Fighting",0,INDEX(UNITVS(_xlpm.fac,$B21,"Shooting",_xlpm.tg,Roster!$AX$5,_xlfn.ANCHORARRAY(Roster!$AX$7)),2)),_xlpm.f,IF(_xlpm.ph="Shooting",0,INDEX(UNITVS(_xlpm.fac,$B21,"Fighting",_xlpm.tg,Roster!$AX$6,_xlfn.ANCHORARRAY(Roster!$AX$8)),2)),MIN(D$17,(_xlpm.s+_xlpm.f)*_xlpm.sc)))</f>
        <v>10</v>
      </c>
      <c r="E21" s="86" cm="1">
        <f t="array" ref="E21">IF(OR($B21="",E$16=""),"",_xlfn.LET(_xlpm.fac,Roster!$C$5,_xlpm.ph,Roster!$C$6,_xlpm.sc,INDEX(_xlfn.ANCHORARRAY(Roster!$AP$6),$A21,4),_xlpm.tg,_xlfn.CHOOSECOLS(_xlfn.CHOOSEROWS(_xlfn.ANCHORARRAY(Roster!$AE$6),E$15),4,5,6,7,8,9,3),_xlpm.s,IF(_xlpm.ph="Fighting",0,INDEX(UNITVS(_xlpm.fac,$B21,"Shooting",_xlpm.tg,Roster!$AX$5,_xlfn.ANCHORARRAY(Roster!$AX$7)),2)),_xlpm.f,IF(_xlpm.ph="Shooting",0,INDEX(UNITVS(_xlpm.fac,$B21,"Fighting",_xlpm.tg,Roster!$AX$6,_xlfn.ANCHORARRAY(Roster!$AX$8)),2)),MIN(E$17,(_xlpm.s+_xlpm.f)*_xlpm.sc)))</f>
        <v>5</v>
      </c>
      <c r="F21" s="86" cm="1">
        <f t="array" ref="F21">IF(OR($B21="",F$16=""),"",_xlfn.LET(_xlpm.fac,Roster!$C$5,_xlpm.ph,Roster!$C$6,_xlpm.sc,INDEX(_xlfn.ANCHORARRAY(Roster!$AP$6),$A21,4),_xlpm.tg,_xlfn.CHOOSECOLS(_xlfn.CHOOSEROWS(_xlfn.ANCHORARRAY(Roster!$AE$6),F$15),4,5,6,7,8,9,3),_xlpm.s,IF(_xlpm.ph="Fighting",0,INDEX(UNITVS(_xlpm.fac,$B21,"Shooting",_xlpm.tg,Roster!$AX$5,_xlfn.ANCHORARRAY(Roster!$AX$7)),2)),_xlpm.f,IF(_xlpm.ph="Shooting",0,INDEX(UNITVS(_xlpm.fac,$B21,"Fighting",_xlpm.tg,Roster!$AX$6,_xlfn.ANCHORARRAY(Roster!$AX$8)),2)),MIN(F$17,(_xlpm.s+_xlpm.f)*_xlpm.sc)))</f>
        <v>2.7222222222222223</v>
      </c>
      <c r="G21" s="86" cm="1">
        <f t="array" ref="G21">IF(OR($B21="",G$16=""),"",_xlfn.LET(_xlpm.fac,Roster!$C$5,_xlpm.ph,Roster!$C$6,_xlpm.sc,INDEX(_xlfn.ANCHORARRAY(Roster!$AP$6),$A21,4),_xlpm.tg,_xlfn.CHOOSECOLS(_xlfn.CHOOSEROWS(_xlfn.ANCHORARRAY(Roster!$AE$6),G$15),4,5,6,7,8,9,3),_xlpm.s,IF(_xlpm.ph="Fighting",0,INDEX(UNITVS(_xlpm.fac,$B21,"Shooting",_xlpm.tg,Roster!$AX$5,_xlfn.ANCHORARRAY(Roster!$AX$7)),2)),_xlpm.f,IF(_xlpm.ph="Shooting",0,INDEX(UNITVS(_xlpm.fac,$B21,"Fighting",_xlpm.tg,Roster!$AX$6,_xlfn.ANCHORARRAY(Roster!$AX$8)),2)),MIN(G$17,(_xlpm.s+_xlpm.f)*_xlpm.sc)))</f>
        <v>3</v>
      </c>
      <c r="H21" s="86" cm="1">
        <f t="array" ref="H21">IF(OR($B21="",H$16=""),"",_xlfn.LET(_xlpm.fac,Roster!$C$5,_xlpm.ph,Roster!$C$6,_xlpm.sc,INDEX(_xlfn.ANCHORARRAY(Roster!$AP$6),$A21,4),_xlpm.tg,_xlfn.CHOOSECOLS(_xlfn.CHOOSEROWS(_xlfn.ANCHORARRAY(Roster!$AE$6),H$15),4,5,6,7,8,9,3),_xlpm.s,IF(_xlpm.ph="Fighting",0,INDEX(UNITVS(_xlpm.fac,$B21,"Shooting",_xlpm.tg,Roster!$AX$5,_xlfn.ANCHORARRAY(Roster!$AX$7)),2)),_xlpm.f,IF(_xlpm.ph="Shooting",0,INDEX(UNITVS(_xlpm.fac,$B21,"Fighting",_xlpm.tg,Roster!$AX$6,_xlfn.ANCHORARRAY(Roster!$AX$8)),2)),MIN(H$17,(_xlpm.s+_xlpm.f)*_xlpm.sc)))</f>
        <v>1</v>
      </c>
      <c r="I21" s="86" cm="1">
        <f t="array" ref="I21">IF(OR($B21="",I$16=""),"",_xlfn.LET(_xlpm.fac,Roster!$C$5,_xlpm.ph,Roster!$C$6,_xlpm.sc,INDEX(_xlfn.ANCHORARRAY(Roster!$AP$6),$A21,4),_xlpm.tg,_xlfn.CHOOSECOLS(_xlfn.CHOOSEROWS(_xlfn.ANCHORARRAY(Roster!$AE$6),I$15),4,5,6,7,8,9,3),_xlpm.s,IF(_xlpm.ph="Fighting",0,INDEX(UNITVS(_xlpm.fac,$B21,"Shooting",_xlpm.tg,Roster!$AX$5,_xlfn.ANCHORARRAY(Roster!$AX$7)),2)),_xlpm.f,IF(_xlpm.ph="Shooting",0,INDEX(UNITVS(_xlpm.fac,$B21,"Fighting",_xlpm.tg,Roster!$AX$6,_xlfn.ANCHORARRAY(Roster!$AX$8)),2)),MIN(I$17,(_xlpm.s+_xlpm.f)*_xlpm.sc)))</f>
        <v>0.92222222222222205</v>
      </c>
      <c r="J21" s="86" cm="1">
        <f t="array" ref="J21">IF(OR($B21="",J$16=""),"",_xlfn.LET(_xlpm.fac,Roster!$C$5,_xlpm.ph,Roster!$C$6,_xlpm.sc,INDEX(_xlfn.ANCHORARRAY(Roster!$AP$6),$A21,4),_xlpm.tg,_xlfn.CHOOSECOLS(_xlfn.CHOOSEROWS(_xlfn.ANCHORARRAY(Roster!$AE$6),J$15),4,5,6,7,8,9,3),_xlpm.s,IF(_xlpm.ph="Fighting",0,INDEX(UNITVS(_xlpm.fac,$B21,"Shooting",_xlpm.tg,Roster!$AX$5,_xlfn.ANCHORARRAY(Roster!$AX$7)),2)),_xlpm.f,IF(_xlpm.ph="Shooting",0,INDEX(UNITVS(_xlpm.fac,$B21,"Fighting",_xlpm.tg,Roster!$AX$6,_xlfn.ANCHORARRAY(Roster!$AX$8)),2)),MIN(J$17,(_xlpm.s+_xlpm.f)*_xlpm.sc)))</f>
        <v>0.76851851851851849</v>
      </c>
      <c r="K21" s="86" cm="1">
        <f t="array" ref="K21">IF(OR($B21="",K$16=""),"",_xlfn.LET(_xlpm.fac,Roster!$C$5,_xlpm.ph,Roster!$C$6,_xlpm.sc,INDEX(_xlfn.ANCHORARRAY(Roster!$AP$6),$A21,4),_xlpm.tg,_xlfn.CHOOSECOLS(_xlfn.CHOOSEROWS(_xlfn.ANCHORARRAY(Roster!$AE$6),K$15),4,5,6,7,8,9,3),_xlpm.s,IF(_xlpm.ph="Fighting",0,INDEX(UNITVS(_xlpm.fac,$B21,"Shooting",_xlpm.tg,Roster!$AX$5,_xlfn.ANCHORARRAY(Roster!$AX$7)),2)),_xlpm.f,IF(_xlpm.ph="Shooting",0,INDEX(UNITVS(_xlpm.fac,$B21,"Fighting",_xlpm.tg,Roster!$AX$6,_xlfn.ANCHORARRAY(Roster!$AX$8)),2)),MIN(K$17,(_xlpm.s+_xlpm.f)*_xlpm.sc)))</f>
        <v>0.67521367521367515</v>
      </c>
      <c r="L21" s="86" cm="1">
        <f t="array" ref="L21">IF(OR($B21="",L$16=""),"",_xlfn.LET(_xlpm.fac,Roster!$C$5,_xlpm.ph,Roster!$C$6,_xlpm.sc,INDEX(_xlfn.ANCHORARRAY(Roster!$AP$6),$A21,4),_xlpm.tg,_xlfn.CHOOSECOLS(_xlfn.CHOOSEROWS(_xlfn.ANCHORARRAY(Roster!$AE$6),L$15),4,5,6,7,8,9,3),_xlpm.s,IF(_xlpm.ph="Fighting",0,INDEX(UNITVS(_xlpm.fac,$B21,"Shooting",_xlpm.tg,Roster!$AX$5,_xlfn.ANCHORARRAY(Roster!$AX$7)),2)),_xlpm.f,IF(_xlpm.ph="Shooting",0,INDEX(UNITVS(_xlpm.fac,$B21,"Fighting",_xlpm.tg,Roster!$AX$6,_xlfn.ANCHORARRAY(Roster!$AX$8)),2)),MIN(L$17,(_xlpm.s+_xlpm.f)*_xlpm.sc)))</f>
        <v>0.41666666666666663</v>
      </c>
      <c r="M21" s="86" cm="1">
        <f t="array" ref="M21">IF(OR($B21="",M$16=""),"",_xlfn.LET(_xlpm.fac,Roster!$C$5,_xlpm.ph,Roster!$C$6,_xlpm.sc,INDEX(_xlfn.ANCHORARRAY(Roster!$AP$6),$A21,4),_xlpm.tg,_xlfn.CHOOSECOLS(_xlfn.CHOOSEROWS(_xlfn.ANCHORARRAY(Roster!$AE$6),M$15),4,5,6,7,8,9,3),_xlpm.s,IF(_xlpm.ph="Fighting",0,INDEX(UNITVS(_xlpm.fac,$B21,"Shooting",_xlpm.tg,Roster!$AX$5,_xlfn.ANCHORARRAY(Roster!$AX$7)),2)),_xlpm.f,IF(_xlpm.ph="Shooting",0,INDEX(UNITVS(_xlpm.fac,$B21,"Fighting",_xlpm.tg,Roster!$AX$6,_xlfn.ANCHORARRAY(Roster!$AX$8)),2)),MIN(M$17,(_xlpm.s+_xlpm.f)*_xlpm.sc)))</f>
        <v>0.41919191919191917</v>
      </c>
      <c r="N21" s="86" t="str" cm="1">
        <f t="array" ref="N21">IF(OR($B21="",N$16=""),"",_xlfn.LET(_xlpm.fac,Roster!$C$5,_xlpm.ph,Roster!$C$6,_xlpm.sc,INDEX(_xlfn.ANCHORARRAY(Roster!$AP$6),$A21,4),_xlpm.tg,_xlfn.CHOOSECOLS(_xlfn.CHOOSEROWS(_xlfn.ANCHORARRAY(Roster!$AE$6),N$15),4,5,6,7,8,9,3),_xlpm.s,IF(_xlpm.ph="Fighting",0,INDEX(UNITVS(_xlpm.fac,$B21,"Shooting",_xlpm.tg,Roster!$AX$5,_xlfn.ANCHORARRAY(Roster!$AX$7)),2)),_xlpm.f,IF(_xlpm.ph="Shooting",0,INDEX(UNITVS(_xlpm.fac,$B21,"Fighting",_xlpm.tg,Roster!$AX$6,_xlfn.ANCHORARRAY(Roster!$AX$8)),2)),MIN(N$17,(_xlpm.s+_xlpm.f)*_xlpm.sc)))</f>
        <v/>
      </c>
      <c r="O21" s="86" t="str" cm="1">
        <f t="array" ref="O21">IF(OR($B21="",O$16=""),"",_xlfn.LET(_xlpm.fac,Roster!$C$5,_xlpm.ph,Roster!$C$6,_xlpm.sc,INDEX(_xlfn.ANCHORARRAY(Roster!$AP$6),$A21,4),_xlpm.tg,_xlfn.CHOOSECOLS(_xlfn.CHOOSEROWS(_xlfn.ANCHORARRAY(Roster!$AE$6),O$15),4,5,6,7,8,9,3),_xlpm.s,IF(_xlpm.ph="Fighting",0,INDEX(UNITVS(_xlpm.fac,$B21,"Shooting",_xlpm.tg,Roster!$AX$5,_xlfn.ANCHORARRAY(Roster!$AX$7)),2)),_xlpm.f,IF(_xlpm.ph="Shooting",0,INDEX(UNITVS(_xlpm.fac,$B21,"Fighting",_xlpm.tg,Roster!$AX$6,_xlfn.ANCHORARRAY(Roster!$AX$8)),2)),MIN(O$17,(_xlpm.s+_xlpm.f)*_xlpm.sc)))</f>
        <v/>
      </c>
      <c r="P21" s="86" t="str" cm="1">
        <f t="array" ref="P21">IF(OR($B21="",P$16=""),"",_xlfn.LET(_xlpm.fac,Roster!$C$5,_xlpm.ph,Roster!$C$6,_xlpm.sc,INDEX(_xlfn.ANCHORARRAY(Roster!$AP$6),$A21,4),_xlpm.tg,_xlfn.CHOOSECOLS(_xlfn.CHOOSEROWS(_xlfn.ANCHORARRAY(Roster!$AE$6),P$15),4,5,6,7,8,9,3),_xlpm.s,IF(_xlpm.ph="Fighting",0,INDEX(UNITVS(_xlpm.fac,$B21,"Shooting",_xlpm.tg,Roster!$AX$5,_xlfn.ANCHORARRAY(Roster!$AX$7)),2)),_xlpm.f,IF(_xlpm.ph="Shooting",0,INDEX(UNITVS(_xlpm.fac,$B21,"Fighting",_xlpm.tg,Roster!$AX$6,_xlfn.ANCHORARRAY(Roster!$AX$8)),2)),MIN(P$17,(_xlpm.s+_xlpm.f)*_xlpm.sc)))</f>
        <v/>
      </c>
      <c r="Q21" s="86" t="str" cm="1">
        <f t="array" ref="Q21">IF(OR($B21="",Q$16=""),"",_xlfn.LET(_xlpm.fac,Roster!$C$5,_xlpm.ph,Roster!$C$6,_xlpm.sc,INDEX(_xlfn.ANCHORARRAY(Roster!$AP$6),$A21,4),_xlpm.tg,_xlfn.CHOOSECOLS(_xlfn.CHOOSEROWS(_xlfn.ANCHORARRAY(Roster!$AE$6),Q$15),4,5,6,7,8,9,3),_xlpm.s,IF(_xlpm.ph="Fighting",0,INDEX(UNITVS(_xlpm.fac,$B21,"Shooting",_xlpm.tg,Roster!$AX$5,_xlfn.ANCHORARRAY(Roster!$AX$7)),2)),_xlpm.f,IF(_xlpm.ph="Shooting",0,INDEX(UNITVS(_xlpm.fac,$B21,"Fighting",_xlpm.tg,Roster!$AX$6,_xlfn.ANCHORARRAY(Roster!$AX$8)),2)),MIN(Q$17,(_xlpm.s+_xlpm.f)*_xlpm.sc)))</f>
        <v/>
      </c>
      <c r="R21" s="86" t="str" cm="1">
        <f t="array" ref="R21">IF(OR($B21="",R$16=""),"",_xlfn.LET(_xlpm.fac,Roster!$C$5,_xlpm.ph,Roster!$C$6,_xlpm.sc,INDEX(_xlfn.ANCHORARRAY(Roster!$AP$6),$A21,4),_xlpm.tg,_xlfn.CHOOSECOLS(_xlfn.CHOOSEROWS(_xlfn.ANCHORARRAY(Roster!$AE$6),R$15),4,5,6,7,8,9,3),_xlpm.s,IF(_xlpm.ph="Fighting",0,INDEX(UNITVS(_xlpm.fac,$B21,"Shooting",_xlpm.tg,Roster!$AX$5,_xlfn.ANCHORARRAY(Roster!$AX$7)),2)),_xlpm.f,IF(_xlpm.ph="Shooting",0,INDEX(UNITVS(_xlpm.fac,$B21,"Fighting",_xlpm.tg,Roster!$AX$6,_xlfn.ANCHORARRAY(Roster!$AX$8)),2)),MIN(R$17,(_xlpm.s+_xlpm.f)*_xlpm.sc)))</f>
        <v/>
      </c>
      <c r="S21" s="6"/>
      <c r="T21" s="6"/>
    </row>
    <row r="22" spans="1:20" x14ac:dyDescent="0.25">
      <c r="A22" s="82">
        <v>4</v>
      </c>
      <c r="B22" t="str" cm="1">
        <f t="array" ref="B22">IFERROR(INDEX(_xlfn.ANCHORARRAY(Roster!$AP$6),$A22,1),"")</f>
        <v>Lord of Contagion</v>
      </c>
      <c r="C22" s="6" cm="1">
        <f t="array" ref="C22">IF($B22="","",INDEX(_xlfn.ANCHORARRAY(Roster!$AP$6),$A22,2))</f>
        <v>1</v>
      </c>
      <c r="D22" s="86" cm="1">
        <f t="array" ref="D22">IF(OR($B22="",D$16=""),"",_xlfn.LET(_xlpm.fac,Roster!$C$5,_xlpm.ph,Roster!$C$6,_xlpm.sc,INDEX(_xlfn.ANCHORARRAY(Roster!$AP$6),$A22,4),_xlpm.tg,_xlfn.CHOOSECOLS(_xlfn.CHOOSEROWS(_xlfn.ANCHORARRAY(Roster!$AE$6),D$15),4,5,6,7,8,9,3),_xlpm.s,IF(_xlpm.ph="Fighting",0,INDEX(UNITVS(_xlpm.fac,$B22,"Shooting",_xlpm.tg,Roster!$AX$5,_xlfn.ANCHORARRAY(Roster!$AX$7)),2)),_xlpm.f,IF(_xlpm.ph="Shooting",0,INDEX(UNITVS(_xlpm.fac,$B22,"Fighting",_xlpm.tg,Roster!$AX$6,_xlfn.ANCHORARRAY(Roster!$AX$8)),2)),MIN(D$17,(_xlpm.s+_xlpm.f)*_xlpm.sc)))</f>
        <v>6.2222222222222232</v>
      </c>
      <c r="E22" s="86" cm="1">
        <f t="array" ref="E22">IF(OR($B22="",E$16=""),"",_xlfn.LET(_xlpm.fac,Roster!$C$5,_xlpm.ph,Roster!$C$6,_xlpm.sc,INDEX(_xlfn.ANCHORARRAY(Roster!$AP$6),$A22,4),_xlpm.tg,_xlfn.CHOOSECOLS(_xlfn.CHOOSEROWS(_xlfn.ANCHORARRAY(Roster!$AE$6),E$15),4,5,6,7,8,9,3),_xlpm.s,IF(_xlpm.ph="Fighting",0,INDEX(UNITVS(_xlpm.fac,$B22,"Shooting",_xlpm.tg,Roster!$AX$5,_xlfn.ANCHORARRAY(Roster!$AX$7)),2)),_xlpm.f,IF(_xlpm.ph="Shooting",0,INDEX(UNITVS(_xlpm.fac,$B22,"Fighting",_xlpm.tg,Roster!$AX$6,_xlfn.ANCHORARRAY(Roster!$AX$8)),2)),MIN(E$17,(_xlpm.s+_xlpm.f)*_xlpm.sc)))</f>
        <v>2.7592592592592595</v>
      </c>
      <c r="F22" s="86" cm="1">
        <f t="array" ref="F22">IF(OR($B22="",F$16=""),"",_xlfn.LET(_xlpm.fac,Roster!$C$5,_xlpm.ph,Roster!$C$6,_xlpm.sc,INDEX(_xlfn.ANCHORARRAY(Roster!$AP$6),$A22,4),_xlpm.tg,_xlfn.CHOOSECOLS(_xlfn.CHOOSEROWS(_xlfn.ANCHORARRAY(Roster!$AE$6),F$15),4,5,6,7,8,9,3),_xlpm.s,IF(_xlpm.ph="Fighting",0,INDEX(UNITVS(_xlpm.fac,$B22,"Shooting",_xlpm.tg,Roster!$AX$5,_xlfn.ANCHORARRAY(Roster!$AX$7)),2)),_xlpm.f,IF(_xlpm.ph="Shooting",0,INDEX(UNITVS(_xlpm.fac,$B22,"Fighting",_xlpm.tg,Roster!$AX$6,_xlfn.ANCHORARRAY(Roster!$AX$8)),2)),MIN(F$17,(_xlpm.s+_xlpm.f)*_xlpm.sc)))</f>
        <v>0.90740740740740744</v>
      </c>
      <c r="G22" s="86" cm="1">
        <f t="array" ref="G22">IF(OR($B22="",G$16=""),"",_xlfn.LET(_xlpm.fac,Roster!$C$5,_xlpm.ph,Roster!$C$6,_xlpm.sc,INDEX(_xlfn.ANCHORARRAY(Roster!$AP$6),$A22,4),_xlpm.tg,_xlfn.CHOOSECOLS(_xlfn.CHOOSEROWS(_xlfn.ANCHORARRAY(Roster!$AE$6),G$15),4,5,6,7,8,9,3),_xlpm.s,IF(_xlpm.ph="Fighting",0,INDEX(UNITVS(_xlpm.fac,$B22,"Shooting",_xlpm.tg,Roster!$AX$5,_xlfn.ANCHORARRAY(Roster!$AX$7)),2)),_xlpm.f,IF(_xlpm.ph="Shooting",0,INDEX(UNITVS(_xlpm.fac,$B22,"Fighting",_xlpm.tg,Roster!$AX$6,_xlfn.ANCHORARRAY(Roster!$AX$8)),2)),MIN(G$17,(_xlpm.s+_xlpm.f)*_xlpm.sc)))</f>
        <v>1.2592592592592593</v>
      </c>
      <c r="H22" s="86" cm="1">
        <f t="array" ref="H22">IF(OR($B22="",H$16=""),"",_xlfn.LET(_xlpm.fac,Roster!$C$5,_xlpm.ph,Roster!$C$6,_xlpm.sc,INDEX(_xlfn.ANCHORARRAY(Roster!$AP$6),$A22,4),_xlpm.tg,_xlfn.CHOOSECOLS(_xlfn.CHOOSEROWS(_xlfn.ANCHORARRAY(Roster!$AE$6),H$15),4,5,6,7,8,9,3),_xlpm.s,IF(_xlpm.ph="Fighting",0,INDEX(UNITVS(_xlpm.fac,$B22,"Shooting",_xlpm.tg,Roster!$AX$5,_xlfn.ANCHORARRAY(Roster!$AX$7)),2)),_xlpm.f,IF(_xlpm.ph="Shooting",0,INDEX(UNITVS(_xlpm.fac,$B22,"Fighting",_xlpm.tg,Roster!$AX$6,_xlfn.ANCHORARRAY(Roster!$AX$8)),2)),MIN(H$17,(_xlpm.s+_xlpm.f)*_xlpm.sc)))</f>
        <v>0.81481481481481488</v>
      </c>
      <c r="I22" s="86" cm="1">
        <f t="array" ref="I22">IF(OR($B22="",I$16=""),"",_xlfn.LET(_xlpm.fac,Roster!$C$5,_xlpm.ph,Roster!$C$6,_xlpm.sc,INDEX(_xlfn.ANCHORARRAY(Roster!$AP$6),$A22,4),_xlpm.tg,_xlfn.CHOOSECOLS(_xlfn.CHOOSEROWS(_xlfn.ANCHORARRAY(Roster!$AE$6),I$15),4,5,6,7,8,9,3),_xlpm.s,IF(_xlpm.ph="Fighting",0,INDEX(UNITVS(_xlpm.fac,$B22,"Shooting",_xlpm.tg,Roster!$AX$5,_xlfn.ANCHORARRAY(Roster!$AX$7)),2)),_xlpm.f,IF(_xlpm.ph="Shooting",0,INDEX(UNITVS(_xlpm.fac,$B22,"Fighting",_xlpm.tg,Roster!$AX$6,_xlfn.ANCHORARRAY(Roster!$AX$8)),2)),MIN(I$17,(_xlpm.s+_xlpm.f)*_xlpm.sc)))</f>
        <v>0.30740740740740741</v>
      </c>
      <c r="J22" s="86" cm="1">
        <f t="array" ref="J22">IF(OR($B22="",J$16=""),"",_xlfn.LET(_xlpm.fac,Roster!$C$5,_xlpm.ph,Roster!$C$6,_xlpm.sc,INDEX(_xlfn.ANCHORARRAY(Roster!$AP$6),$A22,4),_xlpm.tg,_xlfn.CHOOSECOLS(_xlfn.CHOOSEROWS(_xlfn.ANCHORARRAY(Roster!$AE$6),J$15),4,5,6,7,8,9,3),_xlpm.s,IF(_xlpm.ph="Fighting",0,INDEX(UNITVS(_xlpm.fac,$B22,"Shooting",_xlpm.tg,Roster!$AX$5,_xlfn.ANCHORARRAY(Roster!$AX$7)),2)),_xlpm.f,IF(_xlpm.ph="Shooting",0,INDEX(UNITVS(_xlpm.fac,$B22,"Fighting",_xlpm.tg,Roster!$AX$6,_xlfn.ANCHORARRAY(Roster!$AX$8)),2)),MIN(J$17,(_xlpm.s+_xlpm.f)*_xlpm.sc)))</f>
        <v>0.25617283950617281</v>
      </c>
      <c r="K22" s="86" cm="1">
        <f t="array" ref="K22">IF(OR($B22="",K$16=""),"",_xlfn.LET(_xlpm.fac,Roster!$C$5,_xlpm.ph,Roster!$C$6,_xlpm.sc,INDEX(_xlfn.ANCHORARRAY(Roster!$AP$6),$A22,4),_xlpm.tg,_xlfn.CHOOSECOLS(_xlfn.CHOOSEROWS(_xlfn.ANCHORARRAY(Roster!$AE$6),K$15),4,5,6,7,8,9,3),_xlpm.s,IF(_xlpm.ph="Fighting",0,INDEX(UNITVS(_xlpm.fac,$B22,"Shooting",_xlpm.tg,Roster!$AX$5,_xlfn.ANCHORARRAY(Roster!$AX$7)),2)),_xlpm.f,IF(_xlpm.ph="Shooting",0,INDEX(UNITVS(_xlpm.fac,$B22,"Fighting",_xlpm.tg,Roster!$AX$6,_xlfn.ANCHORARRAY(Roster!$AX$8)),2)),MIN(K$17,(_xlpm.s+_xlpm.f)*_xlpm.sc)))</f>
        <v>0.22507122507122507</v>
      </c>
      <c r="L22" s="86" cm="1">
        <f t="array" ref="L22">IF(OR($B22="",L$16=""),"",_xlfn.LET(_xlpm.fac,Roster!$C$5,_xlpm.ph,Roster!$C$6,_xlpm.sc,INDEX(_xlfn.ANCHORARRAY(Roster!$AP$6),$A22,4),_xlpm.tg,_xlfn.CHOOSECOLS(_xlfn.CHOOSEROWS(_xlfn.ANCHORARRAY(Roster!$AE$6),L$15),4,5,6,7,8,9,3),_xlpm.s,IF(_xlpm.ph="Fighting",0,INDEX(UNITVS(_xlpm.fac,$B22,"Shooting",_xlpm.tg,Roster!$AX$5,_xlfn.ANCHORARRAY(Roster!$AX$7)),2)),_xlpm.f,IF(_xlpm.ph="Shooting",0,INDEX(UNITVS(_xlpm.fac,$B22,"Fighting",_xlpm.tg,Roster!$AX$6,_xlfn.ANCHORARRAY(Roster!$AX$8)),2)),MIN(L$17,(_xlpm.s+_xlpm.f)*_xlpm.sc)))</f>
        <v>0.1388888888888889</v>
      </c>
      <c r="M22" s="86" cm="1">
        <f t="array" ref="M22">IF(OR($B22="",M$16=""),"",_xlfn.LET(_xlpm.fac,Roster!$C$5,_xlpm.ph,Roster!$C$6,_xlpm.sc,INDEX(_xlfn.ANCHORARRAY(Roster!$AP$6),$A22,4),_xlpm.tg,_xlfn.CHOOSECOLS(_xlfn.CHOOSEROWS(_xlfn.ANCHORARRAY(Roster!$AE$6),M$15),4,5,6,7,8,9,3),_xlpm.s,IF(_xlpm.ph="Fighting",0,INDEX(UNITVS(_xlpm.fac,$B22,"Shooting",_xlpm.tg,Roster!$AX$5,_xlfn.ANCHORARRAY(Roster!$AX$7)),2)),_xlpm.f,IF(_xlpm.ph="Shooting",0,INDEX(UNITVS(_xlpm.fac,$B22,"Fighting",_xlpm.tg,Roster!$AX$6,_xlfn.ANCHORARRAY(Roster!$AX$8)),2)),MIN(M$17,(_xlpm.s+_xlpm.f)*_xlpm.sc)))</f>
        <v>0.13973063973063973</v>
      </c>
      <c r="N22" s="86" t="str" cm="1">
        <f t="array" ref="N22">IF(OR($B22="",N$16=""),"",_xlfn.LET(_xlpm.fac,Roster!$C$5,_xlpm.ph,Roster!$C$6,_xlpm.sc,INDEX(_xlfn.ANCHORARRAY(Roster!$AP$6),$A22,4),_xlpm.tg,_xlfn.CHOOSECOLS(_xlfn.CHOOSEROWS(_xlfn.ANCHORARRAY(Roster!$AE$6),N$15),4,5,6,7,8,9,3),_xlpm.s,IF(_xlpm.ph="Fighting",0,INDEX(UNITVS(_xlpm.fac,$B22,"Shooting",_xlpm.tg,Roster!$AX$5,_xlfn.ANCHORARRAY(Roster!$AX$7)),2)),_xlpm.f,IF(_xlpm.ph="Shooting",0,INDEX(UNITVS(_xlpm.fac,$B22,"Fighting",_xlpm.tg,Roster!$AX$6,_xlfn.ANCHORARRAY(Roster!$AX$8)),2)),MIN(N$17,(_xlpm.s+_xlpm.f)*_xlpm.sc)))</f>
        <v/>
      </c>
      <c r="O22" s="86" t="str" cm="1">
        <f t="array" ref="O22">IF(OR($B22="",O$16=""),"",_xlfn.LET(_xlpm.fac,Roster!$C$5,_xlpm.ph,Roster!$C$6,_xlpm.sc,INDEX(_xlfn.ANCHORARRAY(Roster!$AP$6),$A22,4),_xlpm.tg,_xlfn.CHOOSECOLS(_xlfn.CHOOSEROWS(_xlfn.ANCHORARRAY(Roster!$AE$6),O$15),4,5,6,7,8,9,3),_xlpm.s,IF(_xlpm.ph="Fighting",0,INDEX(UNITVS(_xlpm.fac,$B22,"Shooting",_xlpm.tg,Roster!$AX$5,_xlfn.ANCHORARRAY(Roster!$AX$7)),2)),_xlpm.f,IF(_xlpm.ph="Shooting",0,INDEX(UNITVS(_xlpm.fac,$B22,"Fighting",_xlpm.tg,Roster!$AX$6,_xlfn.ANCHORARRAY(Roster!$AX$8)),2)),MIN(O$17,(_xlpm.s+_xlpm.f)*_xlpm.sc)))</f>
        <v/>
      </c>
      <c r="P22" s="86" t="str" cm="1">
        <f t="array" ref="P22">IF(OR($B22="",P$16=""),"",_xlfn.LET(_xlpm.fac,Roster!$C$5,_xlpm.ph,Roster!$C$6,_xlpm.sc,INDEX(_xlfn.ANCHORARRAY(Roster!$AP$6),$A22,4),_xlpm.tg,_xlfn.CHOOSECOLS(_xlfn.CHOOSEROWS(_xlfn.ANCHORARRAY(Roster!$AE$6),P$15),4,5,6,7,8,9,3),_xlpm.s,IF(_xlpm.ph="Fighting",0,INDEX(UNITVS(_xlpm.fac,$B22,"Shooting",_xlpm.tg,Roster!$AX$5,_xlfn.ANCHORARRAY(Roster!$AX$7)),2)),_xlpm.f,IF(_xlpm.ph="Shooting",0,INDEX(UNITVS(_xlpm.fac,$B22,"Fighting",_xlpm.tg,Roster!$AX$6,_xlfn.ANCHORARRAY(Roster!$AX$8)),2)),MIN(P$17,(_xlpm.s+_xlpm.f)*_xlpm.sc)))</f>
        <v/>
      </c>
      <c r="Q22" s="86" t="str" cm="1">
        <f t="array" ref="Q22">IF(OR($B22="",Q$16=""),"",_xlfn.LET(_xlpm.fac,Roster!$C$5,_xlpm.ph,Roster!$C$6,_xlpm.sc,INDEX(_xlfn.ANCHORARRAY(Roster!$AP$6),$A22,4),_xlpm.tg,_xlfn.CHOOSECOLS(_xlfn.CHOOSEROWS(_xlfn.ANCHORARRAY(Roster!$AE$6),Q$15),4,5,6,7,8,9,3),_xlpm.s,IF(_xlpm.ph="Fighting",0,INDEX(UNITVS(_xlpm.fac,$B22,"Shooting",_xlpm.tg,Roster!$AX$5,_xlfn.ANCHORARRAY(Roster!$AX$7)),2)),_xlpm.f,IF(_xlpm.ph="Shooting",0,INDEX(UNITVS(_xlpm.fac,$B22,"Fighting",_xlpm.tg,Roster!$AX$6,_xlfn.ANCHORARRAY(Roster!$AX$8)),2)),MIN(Q$17,(_xlpm.s+_xlpm.f)*_xlpm.sc)))</f>
        <v/>
      </c>
      <c r="R22" s="86" t="str" cm="1">
        <f t="array" ref="R22">IF(OR($B22="",R$16=""),"",_xlfn.LET(_xlpm.fac,Roster!$C$5,_xlpm.ph,Roster!$C$6,_xlpm.sc,INDEX(_xlfn.ANCHORARRAY(Roster!$AP$6),$A22,4),_xlpm.tg,_xlfn.CHOOSECOLS(_xlfn.CHOOSEROWS(_xlfn.ANCHORARRAY(Roster!$AE$6),R$15),4,5,6,7,8,9,3),_xlpm.s,IF(_xlpm.ph="Fighting",0,INDEX(UNITVS(_xlpm.fac,$B22,"Shooting",_xlpm.tg,Roster!$AX$5,_xlfn.ANCHORARRAY(Roster!$AX$7)),2)),_xlpm.f,IF(_xlpm.ph="Shooting",0,INDEX(UNITVS(_xlpm.fac,$B22,"Fighting",_xlpm.tg,Roster!$AX$6,_xlfn.ANCHORARRAY(Roster!$AX$8)),2)),MIN(R$17,(_xlpm.s+_xlpm.f)*_xlpm.sc)))</f>
        <v/>
      </c>
      <c r="S22" s="6"/>
      <c r="T22" s="6"/>
    </row>
    <row r="23" spans="1:20" x14ac:dyDescent="0.25">
      <c r="A23" s="82">
        <v>5</v>
      </c>
      <c r="B23" t="str" cm="1">
        <f t="array" ref="B23">IFERROR(INDEX(_xlfn.ANCHORARRAY(Roster!$AP$6),$A23,1),"")</f>
        <v>Typhus</v>
      </c>
      <c r="C23" s="6" cm="1">
        <f t="array" ref="C23">IF($B23="","",INDEX(_xlfn.ANCHORARRAY(Roster!$AP$6),$A23,2))</f>
        <v>1</v>
      </c>
      <c r="D23" s="86" cm="1">
        <f t="array" ref="D23">IF(OR($B23="",D$16=""),"",_xlfn.LET(_xlpm.fac,Roster!$C$5,_xlpm.ph,Roster!$C$6,_xlpm.sc,INDEX(_xlfn.ANCHORARRAY(Roster!$AP$6),$A23,4),_xlpm.tg,_xlfn.CHOOSECOLS(_xlfn.CHOOSEROWS(_xlfn.ANCHORARRAY(Roster!$AE$6),D$15),4,5,6,7,8,9,3),_xlpm.s,IF(_xlpm.ph="Fighting",0,INDEX(UNITVS(_xlpm.fac,$B23,"Shooting",_xlpm.tg,Roster!$AX$5,_xlfn.ANCHORARRAY(Roster!$AX$7)),2)),_xlpm.f,IF(_xlpm.ph="Shooting",0,INDEX(UNITVS(_xlpm.fac,$B23,"Fighting",_xlpm.tg,Roster!$AX$6,_xlfn.ANCHORARRAY(Roster!$AX$8)),2)),MIN(D$17,(_xlpm.s+_xlpm.f)*_xlpm.sc)))</f>
        <v>10</v>
      </c>
      <c r="E23" s="86" cm="1">
        <f t="array" ref="E23">IF(OR($B23="",E$16=""),"",_xlfn.LET(_xlpm.fac,Roster!$C$5,_xlpm.ph,Roster!$C$6,_xlpm.sc,INDEX(_xlfn.ANCHORARRAY(Roster!$AP$6),$A23,4),_xlpm.tg,_xlfn.CHOOSECOLS(_xlfn.CHOOSEROWS(_xlfn.ANCHORARRAY(Roster!$AE$6),E$15),4,5,6,7,8,9,3),_xlpm.s,IF(_xlpm.ph="Fighting",0,INDEX(UNITVS(_xlpm.fac,$B23,"Shooting",_xlpm.tg,Roster!$AX$5,_xlfn.ANCHORARRAY(Roster!$AX$7)),2)),_xlpm.f,IF(_xlpm.ph="Shooting",0,INDEX(UNITVS(_xlpm.fac,$B23,"Fighting",_xlpm.tg,Roster!$AX$6,_xlfn.ANCHORARRAY(Roster!$AX$8)),2)),MIN(E$17,(_xlpm.s+_xlpm.f)*_xlpm.sc)))</f>
        <v>4.7222222222222223</v>
      </c>
      <c r="F23" s="86" cm="1">
        <f t="array" ref="F23">IF(OR($B23="",F$16=""),"",_xlfn.LET(_xlpm.fac,Roster!$C$5,_xlpm.ph,Roster!$C$6,_xlpm.sc,INDEX(_xlfn.ANCHORARRAY(Roster!$AP$6),$A23,4),_xlpm.tg,_xlfn.CHOOSECOLS(_xlfn.CHOOSEROWS(_xlfn.ANCHORARRAY(Roster!$AE$6),F$15),4,5,6,7,8,9,3),_xlpm.s,IF(_xlpm.ph="Fighting",0,INDEX(UNITVS(_xlpm.fac,$B23,"Shooting",_xlpm.tg,Roster!$AX$5,_xlfn.ANCHORARRAY(Roster!$AX$7)),2)),_xlpm.f,IF(_xlpm.ph="Shooting",0,INDEX(UNITVS(_xlpm.fac,$B23,"Fighting",_xlpm.tg,Roster!$AX$6,_xlfn.ANCHORARRAY(Roster!$AX$8)),2)),MIN(F$17,(_xlpm.s+_xlpm.f)*_xlpm.sc)))</f>
        <v>2.6481481481481479</v>
      </c>
      <c r="G23" s="86" cm="1">
        <f t="array" ref="G23">IF(OR($B23="",G$16=""),"",_xlfn.LET(_xlpm.fac,Roster!$C$5,_xlpm.ph,Roster!$C$6,_xlpm.sc,INDEX(_xlfn.ANCHORARRAY(Roster!$AP$6),$A23,4),_xlpm.tg,_xlfn.CHOOSECOLS(_xlfn.CHOOSEROWS(_xlfn.ANCHORARRAY(Roster!$AE$6),G$15),4,5,6,7,8,9,3),_xlpm.s,IF(_xlpm.ph="Fighting",0,INDEX(UNITVS(_xlpm.fac,$B23,"Shooting",_xlpm.tg,Roster!$AX$5,_xlfn.ANCHORARRAY(Roster!$AX$7)),2)),_xlpm.f,IF(_xlpm.ph="Shooting",0,INDEX(UNITVS(_xlpm.fac,$B23,"Fighting",_xlpm.tg,Roster!$AX$6,_xlfn.ANCHORARRAY(Roster!$AX$8)),2)),MIN(G$17,(_xlpm.s+_xlpm.f)*_xlpm.sc)))</f>
        <v>3</v>
      </c>
      <c r="H23" s="86" cm="1">
        <f t="array" ref="H23">IF(OR($B23="",H$16=""),"",_xlfn.LET(_xlpm.fac,Roster!$C$5,_xlpm.ph,Roster!$C$6,_xlpm.sc,INDEX(_xlfn.ANCHORARRAY(Roster!$AP$6),$A23,4),_xlpm.tg,_xlfn.CHOOSECOLS(_xlfn.CHOOSEROWS(_xlfn.ANCHORARRAY(Roster!$AE$6),H$15),4,5,6,7,8,9,3),_xlpm.s,IF(_xlpm.ph="Fighting",0,INDEX(UNITVS(_xlpm.fac,$B23,"Shooting",_xlpm.tg,Roster!$AX$5,_xlfn.ANCHORARRAY(Roster!$AX$7)),2)),_xlpm.f,IF(_xlpm.ph="Shooting",0,INDEX(UNITVS(_xlpm.fac,$B23,"Fighting",_xlpm.tg,Roster!$AX$6,_xlfn.ANCHORARRAY(Roster!$AX$8)),2)),MIN(H$17,(_xlpm.s+_xlpm.f)*_xlpm.sc)))</f>
        <v>1</v>
      </c>
      <c r="I23" s="86" cm="1">
        <f t="array" ref="I23">IF(OR($B23="",I$16=""),"",_xlfn.LET(_xlpm.fac,Roster!$C$5,_xlpm.ph,Roster!$C$6,_xlpm.sc,INDEX(_xlfn.ANCHORARRAY(Roster!$AP$6),$A23,4),_xlpm.tg,_xlfn.CHOOSECOLS(_xlfn.CHOOSEROWS(_xlfn.ANCHORARRAY(Roster!$AE$6),I$15),4,5,6,7,8,9,3),_xlpm.s,IF(_xlpm.ph="Fighting",0,INDEX(UNITVS(_xlpm.fac,$B23,"Shooting",_xlpm.tg,Roster!$AX$5,_xlfn.ANCHORARRAY(Roster!$AX$7)),2)),_xlpm.f,IF(_xlpm.ph="Shooting",0,INDEX(UNITVS(_xlpm.fac,$B23,"Fighting",_xlpm.tg,Roster!$AX$6,_xlfn.ANCHORARRAY(Roster!$AX$8)),2)),MIN(I$17,(_xlpm.s+_xlpm.f)*_xlpm.sc)))</f>
        <v>0.73333333333333328</v>
      </c>
      <c r="J23" s="86" cm="1">
        <f t="array" ref="J23">IF(OR($B23="",J$16=""),"",_xlfn.LET(_xlpm.fac,Roster!$C$5,_xlpm.ph,Roster!$C$6,_xlpm.sc,INDEX(_xlfn.ANCHORARRAY(Roster!$AP$6),$A23,4),_xlpm.tg,_xlfn.CHOOSECOLS(_xlfn.CHOOSEROWS(_xlfn.ANCHORARRAY(Roster!$AE$6),J$15),4,5,6,7,8,9,3),_xlpm.s,IF(_xlpm.ph="Fighting",0,INDEX(UNITVS(_xlpm.fac,$B23,"Shooting",_xlpm.tg,Roster!$AX$5,_xlfn.ANCHORARRAY(Roster!$AX$7)),2)),_xlpm.f,IF(_xlpm.ph="Shooting",0,INDEX(UNITVS(_xlpm.fac,$B23,"Fighting",_xlpm.tg,Roster!$AX$6,_xlfn.ANCHORARRAY(Roster!$AX$8)),2)),MIN(J$17,(_xlpm.s+_xlpm.f)*_xlpm.sc)))</f>
        <v>0.58333333333333326</v>
      </c>
      <c r="K23" s="86" cm="1">
        <f t="array" ref="K23">IF(OR($B23="",K$16=""),"",_xlfn.LET(_xlpm.fac,Roster!$C$5,_xlpm.ph,Roster!$C$6,_xlpm.sc,INDEX(_xlfn.ANCHORARRAY(Roster!$AP$6),$A23,4),_xlpm.tg,_xlfn.CHOOSECOLS(_xlfn.CHOOSEROWS(_xlfn.ANCHORARRAY(Roster!$AE$6),K$15),4,5,6,7,8,9,3),_xlpm.s,IF(_xlpm.ph="Fighting",0,INDEX(UNITVS(_xlpm.fac,$B23,"Shooting",_xlpm.tg,Roster!$AX$5,_xlfn.ANCHORARRAY(Roster!$AX$7)),2)),_xlpm.f,IF(_xlpm.ph="Shooting",0,INDEX(UNITVS(_xlpm.fac,$B23,"Fighting",_xlpm.tg,Roster!$AX$6,_xlfn.ANCHORARRAY(Roster!$AX$8)),2)),MIN(K$17,(_xlpm.s+_xlpm.f)*_xlpm.sc)))</f>
        <v>0.49059829059829052</v>
      </c>
      <c r="L23" s="86" cm="1">
        <f t="array" ref="L23">IF(OR($B23="",L$16=""),"",_xlfn.LET(_xlpm.fac,Roster!$C$5,_xlpm.ph,Roster!$C$6,_xlpm.sc,INDEX(_xlfn.ANCHORARRAY(Roster!$AP$6),$A23,4),_xlpm.tg,_xlfn.CHOOSECOLS(_xlfn.CHOOSEROWS(_xlfn.ANCHORARRAY(Roster!$AE$6),L$15),4,5,6,7,8,9,3),_xlpm.s,IF(_xlpm.ph="Fighting",0,INDEX(UNITVS(_xlpm.fac,$B23,"Shooting",_xlpm.tg,Roster!$AX$5,_xlfn.ANCHORARRAY(Roster!$AX$7)),2)),_xlpm.f,IF(_xlpm.ph="Shooting",0,INDEX(UNITVS(_xlpm.fac,$B23,"Fighting",_xlpm.tg,Roster!$AX$6,_xlfn.ANCHORARRAY(Roster!$AX$8)),2)),MIN(L$17,(_xlpm.s+_xlpm.f)*_xlpm.sc)))</f>
        <v>0.26388888888888884</v>
      </c>
      <c r="M23" s="86" cm="1">
        <f t="array" ref="M23">IF(OR($B23="",M$16=""),"",_xlfn.LET(_xlpm.fac,Roster!$C$5,_xlpm.ph,Roster!$C$6,_xlpm.sc,INDEX(_xlfn.ANCHORARRAY(Roster!$AP$6),$A23,4),_xlpm.tg,_xlfn.CHOOSECOLS(_xlfn.CHOOSEROWS(_xlfn.ANCHORARRAY(Roster!$AE$6),M$15),4,5,6,7,8,9,3),_xlpm.s,IF(_xlpm.ph="Fighting",0,INDEX(UNITVS(_xlpm.fac,$B23,"Shooting",_xlpm.tg,Roster!$AX$5,_xlfn.ANCHORARRAY(Roster!$AX$7)),2)),_xlpm.f,IF(_xlpm.ph="Shooting",0,INDEX(UNITVS(_xlpm.fac,$B23,"Fighting",_xlpm.tg,Roster!$AX$6,_xlfn.ANCHORARRAY(Roster!$AX$8)),2)),MIN(M$17,(_xlpm.s+_xlpm.f)*_xlpm.sc)))</f>
        <v>0.27020202020202017</v>
      </c>
      <c r="N23" s="86" t="str" cm="1">
        <f t="array" ref="N23">IF(OR($B23="",N$16=""),"",_xlfn.LET(_xlpm.fac,Roster!$C$5,_xlpm.ph,Roster!$C$6,_xlpm.sc,INDEX(_xlfn.ANCHORARRAY(Roster!$AP$6),$A23,4),_xlpm.tg,_xlfn.CHOOSECOLS(_xlfn.CHOOSEROWS(_xlfn.ANCHORARRAY(Roster!$AE$6),N$15),4,5,6,7,8,9,3),_xlpm.s,IF(_xlpm.ph="Fighting",0,INDEX(UNITVS(_xlpm.fac,$B23,"Shooting",_xlpm.tg,Roster!$AX$5,_xlfn.ANCHORARRAY(Roster!$AX$7)),2)),_xlpm.f,IF(_xlpm.ph="Shooting",0,INDEX(UNITVS(_xlpm.fac,$B23,"Fighting",_xlpm.tg,Roster!$AX$6,_xlfn.ANCHORARRAY(Roster!$AX$8)),2)),MIN(N$17,(_xlpm.s+_xlpm.f)*_xlpm.sc)))</f>
        <v/>
      </c>
      <c r="O23" s="86" t="str" cm="1">
        <f t="array" ref="O23">IF(OR($B23="",O$16=""),"",_xlfn.LET(_xlpm.fac,Roster!$C$5,_xlpm.ph,Roster!$C$6,_xlpm.sc,INDEX(_xlfn.ANCHORARRAY(Roster!$AP$6),$A23,4),_xlpm.tg,_xlfn.CHOOSECOLS(_xlfn.CHOOSEROWS(_xlfn.ANCHORARRAY(Roster!$AE$6),O$15),4,5,6,7,8,9,3),_xlpm.s,IF(_xlpm.ph="Fighting",0,INDEX(UNITVS(_xlpm.fac,$B23,"Shooting",_xlpm.tg,Roster!$AX$5,_xlfn.ANCHORARRAY(Roster!$AX$7)),2)),_xlpm.f,IF(_xlpm.ph="Shooting",0,INDEX(UNITVS(_xlpm.fac,$B23,"Fighting",_xlpm.tg,Roster!$AX$6,_xlfn.ANCHORARRAY(Roster!$AX$8)),2)),MIN(O$17,(_xlpm.s+_xlpm.f)*_xlpm.sc)))</f>
        <v/>
      </c>
      <c r="P23" s="86" t="str" cm="1">
        <f t="array" ref="P23">IF(OR($B23="",P$16=""),"",_xlfn.LET(_xlpm.fac,Roster!$C$5,_xlpm.ph,Roster!$C$6,_xlpm.sc,INDEX(_xlfn.ANCHORARRAY(Roster!$AP$6),$A23,4),_xlpm.tg,_xlfn.CHOOSECOLS(_xlfn.CHOOSEROWS(_xlfn.ANCHORARRAY(Roster!$AE$6),P$15),4,5,6,7,8,9,3),_xlpm.s,IF(_xlpm.ph="Fighting",0,INDEX(UNITVS(_xlpm.fac,$B23,"Shooting",_xlpm.tg,Roster!$AX$5,_xlfn.ANCHORARRAY(Roster!$AX$7)),2)),_xlpm.f,IF(_xlpm.ph="Shooting",0,INDEX(UNITVS(_xlpm.fac,$B23,"Fighting",_xlpm.tg,Roster!$AX$6,_xlfn.ANCHORARRAY(Roster!$AX$8)),2)),MIN(P$17,(_xlpm.s+_xlpm.f)*_xlpm.sc)))</f>
        <v/>
      </c>
      <c r="Q23" s="86" t="str" cm="1">
        <f t="array" ref="Q23">IF(OR($B23="",Q$16=""),"",_xlfn.LET(_xlpm.fac,Roster!$C$5,_xlpm.ph,Roster!$C$6,_xlpm.sc,INDEX(_xlfn.ANCHORARRAY(Roster!$AP$6),$A23,4),_xlpm.tg,_xlfn.CHOOSECOLS(_xlfn.CHOOSEROWS(_xlfn.ANCHORARRAY(Roster!$AE$6),Q$15),4,5,6,7,8,9,3),_xlpm.s,IF(_xlpm.ph="Fighting",0,INDEX(UNITVS(_xlpm.fac,$B23,"Shooting",_xlpm.tg,Roster!$AX$5,_xlfn.ANCHORARRAY(Roster!$AX$7)),2)),_xlpm.f,IF(_xlpm.ph="Shooting",0,INDEX(UNITVS(_xlpm.fac,$B23,"Fighting",_xlpm.tg,Roster!$AX$6,_xlfn.ANCHORARRAY(Roster!$AX$8)),2)),MIN(Q$17,(_xlpm.s+_xlpm.f)*_xlpm.sc)))</f>
        <v/>
      </c>
      <c r="R23" s="86" t="str" cm="1">
        <f t="array" ref="R23">IF(OR($B23="",R$16=""),"",_xlfn.LET(_xlpm.fac,Roster!$C$5,_xlpm.ph,Roster!$C$6,_xlpm.sc,INDEX(_xlfn.ANCHORARRAY(Roster!$AP$6),$A23,4),_xlpm.tg,_xlfn.CHOOSECOLS(_xlfn.CHOOSEROWS(_xlfn.ANCHORARRAY(Roster!$AE$6),R$15),4,5,6,7,8,9,3),_xlpm.s,IF(_xlpm.ph="Fighting",0,INDEX(UNITVS(_xlpm.fac,$B23,"Shooting",_xlpm.tg,Roster!$AX$5,_xlfn.ANCHORARRAY(Roster!$AX$7)),2)),_xlpm.f,IF(_xlpm.ph="Shooting",0,INDEX(UNITVS(_xlpm.fac,$B23,"Fighting",_xlpm.tg,Roster!$AX$6,_xlfn.ANCHORARRAY(Roster!$AX$8)),2)),MIN(R$17,(_xlpm.s+_xlpm.f)*_xlpm.sc)))</f>
        <v/>
      </c>
      <c r="S23" s="6"/>
      <c r="T23" s="6"/>
    </row>
    <row r="24" spans="1:20" x14ac:dyDescent="0.25">
      <c r="A24" s="82">
        <v>6</v>
      </c>
      <c r="B24" t="str" cm="1">
        <f t="array" ref="B24">IFERROR(INDEX(_xlfn.ANCHORARRAY(Roster!$AP$6),$A24,1),"")</f>
        <v>Myphitic Blight Hauler</v>
      </c>
      <c r="C24" s="6" cm="1">
        <f t="array" ref="C24">IF($B24="","",INDEX(_xlfn.ANCHORARRAY(Roster!$AP$6),$A24,2))</f>
        <v>1</v>
      </c>
      <c r="D24" s="86" cm="1">
        <f t="array" ref="D24">IF(OR($B24="",D$16=""),"",_xlfn.LET(_xlpm.fac,Roster!$C$5,_xlpm.ph,Roster!$C$6,_xlpm.sc,INDEX(_xlfn.ANCHORARRAY(Roster!$AP$6),$A24,4),_xlpm.tg,_xlfn.CHOOSECOLS(_xlfn.CHOOSEROWS(_xlfn.ANCHORARRAY(Roster!$AE$6),D$15),4,5,6,7,8,9,3),_xlpm.s,IF(_xlpm.ph="Fighting",0,INDEX(UNITVS(_xlpm.fac,$B24,"Shooting",_xlpm.tg,Roster!$AX$5,_xlfn.ANCHORARRAY(Roster!$AX$7)),2)),_xlpm.f,IF(_xlpm.ph="Shooting",0,INDEX(UNITVS(_xlpm.fac,$B24,"Fighting",_xlpm.tg,Roster!$AX$6,_xlfn.ANCHORARRAY(Roster!$AX$8)),2)),MIN(D$17,(_xlpm.s+_xlpm.f)*_xlpm.sc)))</f>
        <v>1.9444444444444446</v>
      </c>
      <c r="E24" s="86" cm="1">
        <f t="array" ref="E24">IF(OR($B24="",E$16=""),"",_xlfn.LET(_xlpm.fac,Roster!$C$5,_xlpm.ph,Roster!$C$6,_xlpm.sc,INDEX(_xlfn.ANCHORARRAY(Roster!$AP$6),$A24,4),_xlpm.tg,_xlfn.CHOOSECOLS(_xlfn.CHOOSEROWS(_xlfn.ANCHORARRAY(Roster!$AE$6),E$15),4,5,6,7,8,9,3),_xlpm.s,IF(_xlpm.ph="Fighting",0,INDEX(UNITVS(_xlpm.fac,$B24,"Shooting",_xlpm.tg,Roster!$AX$5,_xlfn.ANCHORARRAY(Roster!$AX$7)),2)),_xlpm.f,IF(_xlpm.ph="Shooting",0,INDEX(UNITVS(_xlpm.fac,$B24,"Fighting",_xlpm.tg,Roster!$AX$6,_xlfn.ANCHORARRAY(Roster!$AX$8)),2)),MIN(E$17,(_xlpm.s+_xlpm.f)*_xlpm.sc)))</f>
        <v>0.5</v>
      </c>
      <c r="F24" s="86" cm="1">
        <f t="array" ref="F24">IF(OR($B24="",F$16=""),"",_xlfn.LET(_xlpm.fac,Roster!$C$5,_xlpm.ph,Roster!$C$6,_xlpm.sc,INDEX(_xlfn.ANCHORARRAY(Roster!$AP$6),$A24,4),_xlpm.tg,_xlfn.CHOOSECOLS(_xlfn.CHOOSEROWS(_xlfn.ANCHORARRAY(Roster!$AE$6),F$15),4,5,6,7,8,9,3),_xlpm.s,IF(_xlpm.ph="Fighting",0,INDEX(UNITVS(_xlpm.fac,$B24,"Shooting",_xlpm.tg,Roster!$AX$5,_xlfn.ANCHORARRAY(Roster!$AX$7)),2)),_xlpm.f,IF(_xlpm.ph="Shooting",0,INDEX(UNITVS(_xlpm.fac,$B24,"Fighting",_xlpm.tg,Roster!$AX$6,_xlfn.ANCHORARRAY(Roster!$AX$8)),2)),MIN(F$17,(_xlpm.s+_xlpm.f)*_xlpm.sc)))</f>
        <v>0.22222222222222221</v>
      </c>
      <c r="G24" s="86" cm="1">
        <f t="array" ref="G24">IF(OR($B24="",G$16=""),"",_xlfn.LET(_xlpm.fac,Roster!$C$5,_xlpm.ph,Roster!$C$6,_xlpm.sc,INDEX(_xlfn.ANCHORARRAY(Roster!$AP$6),$A24,4),_xlpm.tg,_xlfn.CHOOSECOLS(_xlfn.CHOOSEROWS(_xlfn.ANCHORARRAY(Roster!$AE$6),G$15),4,5,6,7,8,9,3),_xlpm.s,IF(_xlpm.ph="Fighting",0,INDEX(UNITVS(_xlpm.fac,$B24,"Shooting",_xlpm.tg,Roster!$AX$5,_xlfn.ANCHORARRAY(Roster!$AX$7)),2)),_xlpm.f,IF(_xlpm.ph="Shooting",0,INDEX(UNITVS(_xlpm.fac,$B24,"Fighting",_xlpm.tg,Roster!$AX$6,_xlfn.ANCHORARRAY(Roster!$AX$8)),2)),MIN(G$17,(_xlpm.s+_xlpm.f)*_xlpm.sc)))</f>
        <v>0.27777777777777779</v>
      </c>
      <c r="H24" s="86" cm="1">
        <f t="array" ref="H24">IF(OR($B24="",H$16=""),"",_xlfn.LET(_xlpm.fac,Roster!$C$5,_xlpm.ph,Roster!$C$6,_xlpm.sc,INDEX(_xlfn.ANCHORARRAY(Roster!$AP$6),$A24,4),_xlpm.tg,_xlfn.CHOOSECOLS(_xlfn.CHOOSEROWS(_xlfn.ANCHORARRAY(Roster!$AE$6),H$15),4,5,6,7,8,9,3),_xlpm.s,IF(_xlpm.ph="Fighting",0,INDEX(UNITVS(_xlpm.fac,$B24,"Shooting",_xlpm.tg,Roster!$AX$5,_xlfn.ANCHORARRAY(Roster!$AX$7)),2)),_xlpm.f,IF(_xlpm.ph="Shooting",0,INDEX(UNITVS(_xlpm.fac,$B24,"Fighting",_xlpm.tg,Roster!$AX$6,_xlfn.ANCHORARRAY(Roster!$AX$8)),2)),MIN(H$17,(_xlpm.s+_xlpm.f)*_xlpm.sc)))</f>
        <v>0.2</v>
      </c>
      <c r="I24" s="86" cm="1">
        <f t="array" ref="I24">IF(OR($B24="",I$16=""),"",_xlfn.LET(_xlpm.fac,Roster!$C$5,_xlpm.ph,Roster!$C$6,_xlpm.sc,INDEX(_xlfn.ANCHORARRAY(Roster!$AP$6),$A24,4),_xlpm.tg,_xlfn.CHOOSECOLS(_xlfn.CHOOSEROWS(_xlfn.ANCHORARRAY(Roster!$AE$6),I$15),4,5,6,7,8,9,3),_xlpm.s,IF(_xlpm.ph="Fighting",0,INDEX(UNITVS(_xlpm.fac,$B24,"Shooting",_xlpm.tg,Roster!$AX$5,_xlfn.ANCHORARRAY(Roster!$AX$7)),2)),_xlpm.f,IF(_xlpm.ph="Shooting",0,INDEX(UNITVS(_xlpm.fac,$B24,"Fighting",_xlpm.tg,Roster!$AX$6,_xlfn.ANCHORARRAY(Roster!$AX$8)),2)),MIN(I$17,(_xlpm.s+_xlpm.f)*_xlpm.sc)))</f>
        <v>6.6666666666666666E-2</v>
      </c>
      <c r="J24" s="86" cm="1">
        <f t="array" ref="J24">IF(OR($B24="",J$16=""),"",_xlfn.LET(_xlpm.fac,Roster!$C$5,_xlpm.ph,Roster!$C$6,_xlpm.sc,INDEX(_xlfn.ANCHORARRAY(Roster!$AP$6),$A24,4),_xlpm.tg,_xlfn.CHOOSECOLS(_xlfn.CHOOSEROWS(_xlfn.ANCHORARRAY(Roster!$AE$6),J$15),4,5,6,7,8,9,3),_xlpm.s,IF(_xlpm.ph="Fighting",0,INDEX(UNITVS(_xlpm.fac,$B24,"Shooting",_xlpm.tg,Roster!$AX$5,_xlfn.ANCHORARRAY(Roster!$AX$7)),2)),_xlpm.f,IF(_xlpm.ph="Shooting",0,INDEX(UNITVS(_xlpm.fac,$B24,"Fighting",_xlpm.tg,Roster!$AX$6,_xlfn.ANCHORARRAY(Roster!$AX$8)),2)),MIN(J$17,(_xlpm.s+_xlpm.f)*_xlpm.sc)))</f>
        <v>5.5555555555555552E-2</v>
      </c>
      <c r="K24" s="86" cm="1">
        <f t="array" ref="K24">IF(OR($B24="",K$16=""),"",_xlfn.LET(_xlpm.fac,Roster!$C$5,_xlpm.ph,Roster!$C$6,_xlpm.sc,INDEX(_xlfn.ANCHORARRAY(Roster!$AP$6),$A24,4),_xlpm.tg,_xlfn.CHOOSECOLS(_xlfn.CHOOSEROWS(_xlfn.ANCHORARRAY(Roster!$AE$6),K$15),4,5,6,7,8,9,3),_xlpm.s,IF(_xlpm.ph="Fighting",0,INDEX(UNITVS(_xlpm.fac,$B24,"Shooting",_xlpm.tg,Roster!$AX$5,_xlfn.ANCHORARRAY(Roster!$AX$7)),2)),_xlpm.f,IF(_xlpm.ph="Shooting",0,INDEX(UNITVS(_xlpm.fac,$B24,"Fighting",_xlpm.tg,Roster!$AX$6,_xlfn.ANCHORARRAY(Roster!$AX$8)),2)),MIN(K$17,(_xlpm.s+_xlpm.f)*_xlpm.sc)))</f>
        <v>5.128205128205128E-2</v>
      </c>
      <c r="L24" s="86" cm="1">
        <f t="array" ref="L24">IF(OR($B24="",L$16=""),"",_xlfn.LET(_xlpm.fac,Roster!$C$5,_xlpm.ph,Roster!$C$6,_xlpm.sc,INDEX(_xlfn.ANCHORARRAY(Roster!$AP$6),$A24,4),_xlpm.tg,_xlfn.CHOOSECOLS(_xlfn.CHOOSEROWS(_xlfn.ANCHORARRAY(Roster!$AE$6),L$15),4,5,6,7,8,9,3),_xlpm.s,IF(_xlpm.ph="Fighting",0,INDEX(UNITVS(_xlpm.fac,$B24,"Shooting",_xlpm.tg,Roster!$AX$5,_xlfn.ANCHORARRAY(Roster!$AX$7)),2)),_xlpm.f,IF(_xlpm.ph="Shooting",0,INDEX(UNITVS(_xlpm.fac,$B24,"Fighting",_xlpm.tg,Roster!$AX$6,_xlfn.ANCHORARRAY(Roster!$AX$8)),2)),MIN(L$17,(_xlpm.s+_xlpm.f)*_xlpm.sc)))</f>
        <v>2.0833333333333332E-2</v>
      </c>
      <c r="M24" s="86" cm="1">
        <f t="array" ref="M24">IF(OR($B24="",M$16=""),"",_xlfn.LET(_xlpm.fac,Roster!$C$5,_xlpm.ph,Roster!$C$6,_xlpm.sc,INDEX(_xlfn.ANCHORARRAY(Roster!$AP$6),$A24,4),_xlpm.tg,_xlfn.CHOOSECOLS(_xlfn.CHOOSEROWS(_xlfn.ANCHORARRAY(Roster!$AE$6),M$15),4,5,6,7,8,9,3),_xlpm.s,IF(_xlpm.ph="Fighting",0,INDEX(UNITVS(_xlpm.fac,$B24,"Shooting",_xlpm.tg,Roster!$AX$5,_xlfn.ANCHORARRAY(Roster!$AX$7)),2)),_xlpm.f,IF(_xlpm.ph="Shooting",0,INDEX(UNITVS(_xlpm.fac,$B24,"Fighting",_xlpm.tg,Roster!$AX$6,_xlfn.ANCHORARRAY(Roster!$AX$8)),2)),MIN(M$17,(_xlpm.s+_xlpm.f)*_xlpm.sc)))</f>
        <v>2.2727272727272728E-2</v>
      </c>
      <c r="N24" s="86" t="str" cm="1">
        <f t="array" ref="N24">IF(OR($B24="",N$16=""),"",_xlfn.LET(_xlpm.fac,Roster!$C$5,_xlpm.ph,Roster!$C$6,_xlpm.sc,INDEX(_xlfn.ANCHORARRAY(Roster!$AP$6),$A24,4),_xlpm.tg,_xlfn.CHOOSECOLS(_xlfn.CHOOSEROWS(_xlfn.ANCHORARRAY(Roster!$AE$6),N$15),4,5,6,7,8,9,3),_xlpm.s,IF(_xlpm.ph="Fighting",0,INDEX(UNITVS(_xlpm.fac,$B24,"Shooting",_xlpm.tg,Roster!$AX$5,_xlfn.ANCHORARRAY(Roster!$AX$7)),2)),_xlpm.f,IF(_xlpm.ph="Shooting",0,INDEX(UNITVS(_xlpm.fac,$B24,"Fighting",_xlpm.tg,Roster!$AX$6,_xlfn.ANCHORARRAY(Roster!$AX$8)),2)),MIN(N$17,(_xlpm.s+_xlpm.f)*_xlpm.sc)))</f>
        <v/>
      </c>
      <c r="O24" s="86" t="str" cm="1">
        <f t="array" ref="O24">IF(OR($B24="",O$16=""),"",_xlfn.LET(_xlpm.fac,Roster!$C$5,_xlpm.ph,Roster!$C$6,_xlpm.sc,INDEX(_xlfn.ANCHORARRAY(Roster!$AP$6),$A24,4),_xlpm.tg,_xlfn.CHOOSECOLS(_xlfn.CHOOSEROWS(_xlfn.ANCHORARRAY(Roster!$AE$6),O$15),4,5,6,7,8,9,3),_xlpm.s,IF(_xlpm.ph="Fighting",0,INDEX(UNITVS(_xlpm.fac,$B24,"Shooting",_xlpm.tg,Roster!$AX$5,_xlfn.ANCHORARRAY(Roster!$AX$7)),2)),_xlpm.f,IF(_xlpm.ph="Shooting",0,INDEX(UNITVS(_xlpm.fac,$B24,"Fighting",_xlpm.tg,Roster!$AX$6,_xlfn.ANCHORARRAY(Roster!$AX$8)),2)),MIN(O$17,(_xlpm.s+_xlpm.f)*_xlpm.sc)))</f>
        <v/>
      </c>
      <c r="P24" s="86" t="str" cm="1">
        <f t="array" ref="P24">IF(OR($B24="",P$16=""),"",_xlfn.LET(_xlpm.fac,Roster!$C$5,_xlpm.ph,Roster!$C$6,_xlpm.sc,INDEX(_xlfn.ANCHORARRAY(Roster!$AP$6),$A24,4),_xlpm.tg,_xlfn.CHOOSECOLS(_xlfn.CHOOSEROWS(_xlfn.ANCHORARRAY(Roster!$AE$6),P$15),4,5,6,7,8,9,3),_xlpm.s,IF(_xlpm.ph="Fighting",0,INDEX(UNITVS(_xlpm.fac,$B24,"Shooting",_xlpm.tg,Roster!$AX$5,_xlfn.ANCHORARRAY(Roster!$AX$7)),2)),_xlpm.f,IF(_xlpm.ph="Shooting",0,INDEX(UNITVS(_xlpm.fac,$B24,"Fighting",_xlpm.tg,Roster!$AX$6,_xlfn.ANCHORARRAY(Roster!$AX$8)),2)),MIN(P$17,(_xlpm.s+_xlpm.f)*_xlpm.sc)))</f>
        <v/>
      </c>
      <c r="Q24" s="86" t="str" cm="1">
        <f t="array" ref="Q24">IF(OR($B24="",Q$16=""),"",_xlfn.LET(_xlpm.fac,Roster!$C$5,_xlpm.ph,Roster!$C$6,_xlpm.sc,INDEX(_xlfn.ANCHORARRAY(Roster!$AP$6),$A24,4),_xlpm.tg,_xlfn.CHOOSECOLS(_xlfn.CHOOSEROWS(_xlfn.ANCHORARRAY(Roster!$AE$6),Q$15),4,5,6,7,8,9,3),_xlpm.s,IF(_xlpm.ph="Fighting",0,INDEX(UNITVS(_xlpm.fac,$B24,"Shooting",_xlpm.tg,Roster!$AX$5,_xlfn.ANCHORARRAY(Roster!$AX$7)),2)),_xlpm.f,IF(_xlpm.ph="Shooting",0,INDEX(UNITVS(_xlpm.fac,$B24,"Fighting",_xlpm.tg,Roster!$AX$6,_xlfn.ANCHORARRAY(Roster!$AX$8)),2)),MIN(Q$17,(_xlpm.s+_xlpm.f)*_xlpm.sc)))</f>
        <v/>
      </c>
      <c r="R24" s="86" t="str" cm="1">
        <f t="array" ref="R24">IF(OR($B24="",R$16=""),"",_xlfn.LET(_xlpm.fac,Roster!$C$5,_xlpm.ph,Roster!$C$6,_xlpm.sc,INDEX(_xlfn.ANCHORARRAY(Roster!$AP$6),$A24,4),_xlpm.tg,_xlfn.CHOOSECOLS(_xlfn.CHOOSEROWS(_xlfn.ANCHORARRAY(Roster!$AE$6),R$15),4,5,6,7,8,9,3),_xlpm.s,IF(_xlpm.ph="Fighting",0,INDEX(UNITVS(_xlpm.fac,$B24,"Shooting",_xlpm.tg,Roster!$AX$5,_xlfn.ANCHORARRAY(Roster!$AX$7)),2)),_xlpm.f,IF(_xlpm.ph="Shooting",0,INDEX(UNITVS(_xlpm.fac,$B24,"Fighting",_xlpm.tg,Roster!$AX$6,_xlfn.ANCHORARRAY(Roster!$AX$8)),2)),MIN(R$17,(_xlpm.s+_xlpm.f)*_xlpm.sc)))</f>
        <v/>
      </c>
      <c r="S24" s="6"/>
      <c r="T24" s="6"/>
    </row>
    <row r="25" spans="1:20" x14ac:dyDescent="0.25">
      <c r="A25" s="82">
        <v>7</v>
      </c>
      <c r="B25" t="str" cm="1">
        <f t="array" ref="B25">IFERROR(INDEX(_xlfn.ANCHORARRAY(Roster!$AP$6),$A25,1),"")</f>
        <v>Tallyman</v>
      </c>
      <c r="C25" s="6" cm="1">
        <f t="array" ref="C25">IF($B25="","",INDEX(_xlfn.ANCHORARRAY(Roster!$AP$6),$A25,2))</f>
        <v>1</v>
      </c>
      <c r="D25" s="86" cm="1">
        <f t="array" ref="D25">IF(OR($B25="",D$16=""),"",_xlfn.LET(_xlpm.fac,Roster!$C$5,_xlpm.ph,Roster!$C$6,_xlpm.sc,INDEX(_xlfn.ANCHORARRAY(Roster!$AP$6),$A25,4),_xlpm.tg,_xlfn.CHOOSECOLS(_xlfn.CHOOSEROWS(_xlfn.ANCHORARRAY(Roster!$AE$6),D$15),4,5,6,7,8,9,3),_xlpm.s,IF(_xlpm.ph="Fighting",0,INDEX(UNITVS(_xlpm.fac,$B25,"Shooting",_xlpm.tg,Roster!$AX$5,_xlfn.ANCHORARRAY(Roster!$AX$7)),2)),_xlpm.f,IF(_xlpm.ph="Shooting",0,INDEX(UNITVS(_xlpm.fac,$B25,"Fighting",_xlpm.tg,Roster!$AX$6,_xlfn.ANCHORARRAY(Roster!$AX$8)),2)),MIN(D$17,(_xlpm.s+_xlpm.f)*_xlpm.sc)))</f>
        <v>1.1851851851851851</v>
      </c>
      <c r="E25" s="86" cm="1">
        <f t="array" ref="E25">IF(OR($B25="",E$16=""),"",_xlfn.LET(_xlpm.fac,Roster!$C$5,_xlpm.ph,Roster!$C$6,_xlpm.sc,INDEX(_xlfn.ANCHORARRAY(Roster!$AP$6),$A25,4),_xlpm.tg,_xlfn.CHOOSECOLS(_xlfn.CHOOSEROWS(_xlfn.ANCHORARRAY(Roster!$AE$6),E$15),4,5,6,7,8,9,3),_xlpm.s,IF(_xlpm.ph="Fighting",0,INDEX(UNITVS(_xlpm.fac,$B25,"Shooting",_xlpm.tg,Roster!$AX$5,_xlfn.ANCHORARRAY(Roster!$AX$7)),2)),_xlpm.f,IF(_xlpm.ph="Shooting",0,INDEX(UNITVS(_xlpm.fac,$B25,"Fighting",_xlpm.tg,Roster!$AX$6,_xlfn.ANCHORARRAY(Roster!$AX$8)),2)),MIN(E$17,(_xlpm.s+_xlpm.f)*_xlpm.sc)))</f>
        <v>0.29629629629629628</v>
      </c>
      <c r="F25" s="86" cm="1">
        <f t="array" ref="F25">IF(OR($B25="",F$16=""),"",_xlfn.LET(_xlpm.fac,Roster!$C$5,_xlpm.ph,Roster!$C$6,_xlpm.sc,INDEX(_xlfn.ANCHORARRAY(Roster!$AP$6),$A25,4),_xlpm.tg,_xlfn.CHOOSECOLS(_xlfn.CHOOSEROWS(_xlfn.ANCHORARRAY(Roster!$AE$6),F$15),4,5,6,7,8,9,3),_xlpm.s,IF(_xlpm.ph="Fighting",0,INDEX(UNITVS(_xlpm.fac,$B25,"Shooting",_xlpm.tg,Roster!$AX$5,_xlfn.ANCHORARRAY(Roster!$AX$7)),2)),_xlpm.f,IF(_xlpm.ph="Shooting",0,INDEX(UNITVS(_xlpm.fac,$B25,"Fighting",_xlpm.tg,Roster!$AX$6,_xlfn.ANCHORARRAY(Roster!$AX$8)),2)),MIN(F$17,(_xlpm.s+_xlpm.f)*_xlpm.sc)))</f>
        <v>7.407407407407407E-2</v>
      </c>
      <c r="G25" s="86" cm="1">
        <f t="array" ref="G25">IF(OR($B25="",G$16=""),"",_xlfn.LET(_xlpm.fac,Roster!$C$5,_xlpm.ph,Roster!$C$6,_xlpm.sc,INDEX(_xlfn.ANCHORARRAY(Roster!$AP$6),$A25,4),_xlpm.tg,_xlfn.CHOOSECOLS(_xlfn.CHOOSEROWS(_xlfn.ANCHORARRAY(Roster!$AE$6),G$15),4,5,6,7,8,9,3),_xlpm.s,IF(_xlpm.ph="Fighting",0,INDEX(UNITVS(_xlpm.fac,$B25,"Shooting",_xlpm.tg,Roster!$AX$5,_xlfn.ANCHORARRAY(Roster!$AX$7)),2)),_xlpm.f,IF(_xlpm.ph="Shooting",0,INDEX(UNITVS(_xlpm.fac,$B25,"Fighting",_xlpm.tg,Roster!$AX$6,_xlfn.ANCHORARRAY(Roster!$AX$8)),2)),MIN(G$17,(_xlpm.s+_xlpm.f)*_xlpm.sc)))</f>
        <v>9.8765432098765427E-2</v>
      </c>
      <c r="H25" s="86" cm="1">
        <f t="array" ref="H25">IF(OR($B25="",H$16=""),"",_xlfn.LET(_xlpm.fac,Roster!$C$5,_xlpm.ph,Roster!$C$6,_xlpm.sc,INDEX(_xlfn.ANCHORARRAY(Roster!$AP$6),$A25,4),_xlpm.tg,_xlfn.CHOOSECOLS(_xlfn.CHOOSEROWS(_xlfn.ANCHORARRAY(Roster!$AE$6),H$15),4,5,6,7,8,9,3),_xlpm.s,IF(_xlpm.ph="Fighting",0,INDEX(UNITVS(_xlpm.fac,$B25,"Shooting",_xlpm.tg,Roster!$AX$5,_xlfn.ANCHORARRAY(Roster!$AX$7)),2)),_xlpm.f,IF(_xlpm.ph="Shooting",0,INDEX(UNITVS(_xlpm.fac,$B25,"Fighting",_xlpm.tg,Roster!$AX$6,_xlfn.ANCHORARRAY(Roster!$AX$8)),2)),MIN(H$17,(_xlpm.s+_xlpm.f)*_xlpm.sc)))</f>
        <v>0.11851851851851851</v>
      </c>
      <c r="I25" s="86" cm="1">
        <f t="array" ref="I25">IF(OR($B25="",I$16=""),"",_xlfn.LET(_xlpm.fac,Roster!$C$5,_xlpm.ph,Roster!$C$6,_xlpm.sc,INDEX(_xlfn.ANCHORARRAY(Roster!$AP$6),$A25,4),_xlpm.tg,_xlfn.CHOOSECOLS(_xlfn.CHOOSEROWS(_xlfn.ANCHORARRAY(Roster!$AE$6),I$15),4,5,6,7,8,9,3),_xlpm.s,IF(_xlpm.ph="Fighting",0,INDEX(UNITVS(_xlpm.fac,$B25,"Shooting",_xlpm.tg,Roster!$AX$5,_xlfn.ANCHORARRAY(Roster!$AX$7)),2)),_xlpm.f,IF(_xlpm.ph="Shooting",0,INDEX(UNITVS(_xlpm.fac,$B25,"Fighting",_xlpm.tg,Roster!$AX$6,_xlfn.ANCHORARRAY(Roster!$AX$8)),2)),MIN(I$17,(_xlpm.s+_xlpm.f)*_xlpm.sc)))</f>
        <v>2.9629629629629627E-2</v>
      </c>
      <c r="J25" s="86" cm="1">
        <f t="array" ref="J25">IF(OR($B25="",J$16=""),"",_xlfn.LET(_xlpm.fac,Roster!$C$5,_xlpm.ph,Roster!$C$6,_xlpm.sc,INDEX(_xlfn.ANCHORARRAY(Roster!$AP$6),$A25,4),_xlpm.tg,_xlfn.CHOOSECOLS(_xlfn.CHOOSEROWS(_xlfn.ANCHORARRAY(Roster!$AE$6),J$15),4,5,6,7,8,9,3),_xlpm.s,IF(_xlpm.ph="Fighting",0,INDEX(UNITVS(_xlpm.fac,$B25,"Shooting",_xlpm.tg,Roster!$AX$5,_xlfn.ANCHORARRAY(Roster!$AX$7)),2)),_xlpm.f,IF(_xlpm.ph="Shooting",0,INDEX(UNITVS(_xlpm.fac,$B25,"Fighting",_xlpm.tg,Roster!$AX$6,_xlfn.ANCHORARRAY(Roster!$AX$8)),2)),MIN(J$17,(_xlpm.s+_xlpm.f)*_xlpm.sc)))</f>
        <v>1.2345679012345678E-2</v>
      </c>
      <c r="K25" s="86" cm="1">
        <f t="array" ref="K25">IF(OR($B25="",K$16=""),"",_xlfn.LET(_xlpm.fac,Roster!$C$5,_xlpm.ph,Roster!$C$6,_xlpm.sc,INDEX(_xlfn.ANCHORARRAY(Roster!$AP$6),$A25,4),_xlpm.tg,_xlfn.CHOOSECOLS(_xlfn.CHOOSEROWS(_xlfn.ANCHORARRAY(Roster!$AE$6),K$15),4,5,6,7,8,9,3),_xlpm.s,IF(_xlpm.ph="Fighting",0,INDEX(UNITVS(_xlpm.fac,$B25,"Shooting",_xlpm.tg,Roster!$AX$5,_xlfn.ANCHORARRAY(Roster!$AX$7)),2)),_xlpm.f,IF(_xlpm.ph="Shooting",0,INDEX(UNITVS(_xlpm.fac,$B25,"Fighting",_xlpm.tg,Roster!$AX$6,_xlfn.ANCHORARRAY(Roster!$AX$8)),2)),MIN(K$17,(_xlpm.s+_xlpm.f)*_xlpm.sc)))</f>
        <v>1.1396011396011395E-2</v>
      </c>
      <c r="L25" s="86" cm="1">
        <f t="array" ref="L25">IF(OR($B25="",L$16=""),"",_xlfn.LET(_xlpm.fac,Roster!$C$5,_xlpm.ph,Roster!$C$6,_xlpm.sc,INDEX(_xlfn.ANCHORARRAY(Roster!$AP$6),$A25,4),_xlpm.tg,_xlfn.CHOOSECOLS(_xlfn.CHOOSEROWS(_xlfn.ANCHORARRAY(Roster!$AE$6),L$15),4,5,6,7,8,9,3),_xlpm.s,IF(_xlpm.ph="Fighting",0,INDEX(UNITVS(_xlpm.fac,$B25,"Shooting",_xlpm.tg,Roster!$AX$5,_xlfn.ANCHORARRAY(Roster!$AX$7)),2)),_xlpm.f,IF(_xlpm.ph="Shooting",0,INDEX(UNITVS(_xlpm.fac,$B25,"Fighting",_xlpm.tg,Roster!$AX$6,_xlfn.ANCHORARRAY(Roster!$AX$8)),2)),MIN(L$17,(_xlpm.s+_xlpm.f)*_xlpm.sc)))</f>
        <v>4.6296296296296294E-3</v>
      </c>
      <c r="M25" s="86" cm="1">
        <f t="array" ref="M25">IF(OR($B25="",M$16=""),"",_xlfn.LET(_xlpm.fac,Roster!$C$5,_xlpm.ph,Roster!$C$6,_xlpm.sc,INDEX(_xlfn.ANCHORARRAY(Roster!$AP$6),$A25,4),_xlpm.tg,_xlfn.CHOOSECOLS(_xlfn.CHOOSEROWS(_xlfn.ANCHORARRAY(Roster!$AE$6),M$15),4,5,6,7,8,9,3),_xlpm.s,IF(_xlpm.ph="Fighting",0,INDEX(UNITVS(_xlpm.fac,$B25,"Shooting",_xlpm.tg,Roster!$AX$5,_xlfn.ANCHORARRAY(Roster!$AX$7)),2)),_xlpm.f,IF(_xlpm.ph="Shooting",0,INDEX(UNITVS(_xlpm.fac,$B25,"Fighting",_xlpm.tg,Roster!$AX$6,_xlfn.ANCHORARRAY(Roster!$AX$8)),2)),MIN(M$17,(_xlpm.s+_xlpm.f)*_xlpm.sc)))</f>
        <v>6.7340067340067337E-3</v>
      </c>
      <c r="N25" s="86" t="str" cm="1">
        <f t="array" ref="N25">IF(OR($B25="",N$16=""),"",_xlfn.LET(_xlpm.fac,Roster!$C$5,_xlpm.ph,Roster!$C$6,_xlpm.sc,INDEX(_xlfn.ANCHORARRAY(Roster!$AP$6),$A25,4),_xlpm.tg,_xlfn.CHOOSECOLS(_xlfn.CHOOSEROWS(_xlfn.ANCHORARRAY(Roster!$AE$6),N$15),4,5,6,7,8,9,3),_xlpm.s,IF(_xlpm.ph="Fighting",0,INDEX(UNITVS(_xlpm.fac,$B25,"Shooting",_xlpm.tg,Roster!$AX$5,_xlfn.ANCHORARRAY(Roster!$AX$7)),2)),_xlpm.f,IF(_xlpm.ph="Shooting",0,INDEX(UNITVS(_xlpm.fac,$B25,"Fighting",_xlpm.tg,Roster!$AX$6,_xlfn.ANCHORARRAY(Roster!$AX$8)),2)),MIN(N$17,(_xlpm.s+_xlpm.f)*_xlpm.sc)))</f>
        <v/>
      </c>
      <c r="O25" s="86" t="str" cm="1">
        <f t="array" ref="O25">IF(OR($B25="",O$16=""),"",_xlfn.LET(_xlpm.fac,Roster!$C$5,_xlpm.ph,Roster!$C$6,_xlpm.sc,INDEX(_xlfn.ANCHORARRAY(Roster!$AP$6),$A25,4),_xlpm.tg,_xlfn.CHOOSECOLS(_xlfn.CHOOSEROWS(_xlfn.ANCHORARRAY(Roster!$AE$6),O$15),4,5,6,7,8,9,3),_xlpm.s,IF(_xlpm.ph="Fighting",0,INDEX(UNITVS(_xlpm.fac,$B25,"Shooting",_xlpm.tg,Roster!$AX$5,_xlfn.ANCHORARRAY(Roster!$AX$7)),2)),_xlpm.f,IF(_xlpm.ph="Shooting",0,INDEX(UNITVS(_xlpm.fac,$B25,"Fighting",_xlpm.tg,Roster!$AX$6,_xlfn.ANCHORARRAY(Roster!$AX$8)),2)),MIN(O$17,(_xlpm.s+_xlpm.f)*_xlpm.sc)))</f>
        <v/>
      </c>
      <c r="P25" s="86" t="str" cm="1">
        <f t="array" ref="P25">IF(OR($B25="",P$16=""),"",_xlfn.LET(_xlpm.fac,Roster!$C$5,_xlpm.ph,Roster!$C$6,_xlpm.sc,INDEX(_xlfn.ANCHORARRAY(Roster!$AP$6),$A25,4),_xlpm.tg,_xlfn.CHOOSECOLS(_xlfn.CHOOSEROWS(_xlfn.ANCHORARRAY(Roster!$AE$6),P$15),4,5,6,7,8,9,3),_xlpm.s,IF(_xlpm.ph="Fighting",0,INDEX(UNITVS(_xlpm.fac,$B25,"Shooting",_xlpm.tg,Roster!$AX$5,_xlfn.ANCHORARRAY(Roster!$AX$7)),2)),_xlpm.f,IF(_xlpm.ph="Shooting",0,INDEX(UNITVS(_xlpm.fac,$B25,"Fighting",_xlpm.tg,Roster!$AX$6,_xlfn.ANCHORARRAY(Roster!$AX$8)),2)),MIN(P$17,(_xlpm.s+_xlpm.f)*_xlpm.sc)))</f>
        <v/>
      </c>
      <c r="Q25" s="86" t="str" cm="1">
        <f t="array" ref="Q25">IF(OR($B25="",Q$16=""),"",_xlfn.LET(_xlpm.fac,Roster!$C$5,_xlpm.ph,Roster!$C$6,_xlpm.sc,INDEX(_xlfn.ANCHORARRAY(Roster!$AP$6),$A25,4),_xlpm.tg,_xlfn.CHOOSECOLS(_xlfn.CHOOSEROWS(_xlfn.ANCHORARRAY(Roster!$AE$6),Q$15),4,5,6,7,8,9,3),_xlpm.s,IF(_xlpm.ph="Fighting",0,INDEX(UNITVS(_xlpm.fac,$B25,"Shooting",_xlpm.tg,Roster!$AX$5,_xlfn.ANCHORARRAY(Roster!$AX$7)),2)),_xlpm.f,IF(_xlpm.ph="Shooting",0,INDEX(UNITVS(_xlpm.fac,$B25,"Fighting",_xlpm.tg,Roster!$AX$6,_xlfn.ANCHORARRAY(Roster!$AX$8)),2)),MIN(Q$17,(_xlpm.s+_xlpm.f)*_xlpm.sc)))</f>
        <v/>
      </c>
      <c r="R25" s="86" t="str" cm="1">
        <f t="array" ref="R25">IF(OR($B25="",R$16=""),"",_xlfn.LET(_xlpm.fac,Roster!$C$5,_xlpm.ph,Roster!$C$6,_xlpm.sc,INDEX(_xlfn.ANCHORARRAY(Roster!$AP$6),$A25,4),_xlpm.tg,_xlfn.CHOOSECOLS(_xlfn.CHOOSEROWS(_xlfn.ANCHORARRAY(Roster!$AE$6),R$15),4,5,6,7,8,9,3),_xlpm.s,IF(_xlpm.ph="Fighting",0,INDEX(UNITVS(_xlpm.fac,$B25,"Shooting",_xlpm.tg,Roster!$AX$5,_xlfn.ANCHORARRAY(Roster!$AX$7)),2)),_xlpm.f,IF(_xlpm.ph="Shooting",0,INDEX(UNITVS(_xlpm.fac,$B25,"Fighting",_xlpm.tg,Roster!$AX$6,_xlfn.ANCHORARRAY(Roster!$AX$8)),2)),MIN(R$17,(_xlpm.s+_xlpm.f)*_xlpm.sc)))</f>
        <v/>
      </c>
      <c r="S25" s="6"/>
      <c r="T25" s="6"/>
    </row>
    <row r="26" spans="1:20" x14ac:dyDescent="0.25">
      <c r="A26" s="82">
        <v>8</v>
      </c>
      <c r="B26" t="str" cm="1">
        <f t="array" ref="B26">IFERROR(INDEX(_xlfn.ANCHORARRAY(Roster!$AP$6),$A26,1),"")</f>
        <v>Lord of Poxes</v>
      </c>
      <c r="C26" s="6" cm="1">
        <f t="array" ref="C26">IF($B26="","",INDEX(_xlfn.ANCHORARRAY(Roster!$AP$6),$A26,2))</f>
        <v>1</v>
      </c>
      <c r="D26" s="86" cm="1">
        <f t="array" ref="D26">IF(OR($B26="",D$16=""),"",_xlfn.LET(_xlpm.fac,Roster!$C$5,_xlpm.ph,Roster!$C$6,_xlpm.sc,INDEX(_xlfn.ANCHORARRAY(Roster!$AP$6),$A26,4),_xlpm.tg,_xlfn.CHOOSECOLS(_xlfn.CHOOSEROWS(_xlfn.ANCHORARRAY(Roster!$AE$6),D$15),4,5,6,7,8,9,3),_xlpm.s,IF(_xlpm.ph="Fighting",0,INDEX(UNITVS(_xlpm.fac,$B26,"Shooting",_xlpm.tg,Roster!$AX$5,_xlfn.ANCHORARRAY(Roster!$AX$7)),2)),_xlpm.f,IF(_xlpm.ph="Shooting",0,INDEX(UNITVS(_xlpm.fac,$B26,"Fighting",_xlpm.tg,Roster!$AX$6,_xlfn.ANCHORARRAY(Roster!$AX$8)),2)),MIN(D$17,(_xlpm.s+_xlpm.f)*_xlpm.sc)))</f>
        <v>4.3333333333333339</v>
      </c>
      <c r="E26" s="86" cm="1">
        <f t="array" ref="E26">IF(OR($B26="",E$16=""),"",_xlfn.LET(_xlpm.fac,Roster!$C$5,_xlpm.ph,Roster!$C$6,_xlpm.sc,INDEX(_xlfn.ANCHORARRAY(Roster!$AP$6),$A26,4),_xlpm.tg,_xlfn.CHOOSECOLS(_xlfn.CHOOSEROWS(_xlfn.ANCHORARRAY(Roster!$AE$6),E$15),4,5,6,7,8,9,3),_xlpm.s,IF(_xlpm.ph="Fighting",0,INDEX(UNITVS(_xlpm.fac,$B26,"Shooting",_xlpm.tg,Roster!$AX$5,_xlfn.ANCHORARRAY(Roster!$AX$7)),2)),_xlpm.f,IF(_xlpm.ph="Shooting",0,INDEX(UNITVS(_xlpm.fac,$B26,"Fighting",_xlpm.tg,Roster!$AX$6,_xlfn.ANCHORARRAY(Roster!$AX$8)),2)),MIN(E$17,(_xlpm.s+_xlpm.f)*_xlpm.sc)))</f>
        <v>3.1111111111111116</v>
      </c>
      <c r="F26" s="86" cm="1">
        <f t="array" ref="F26">IF(OR($B26="",F$16=""),"",_xlfn.LET(_xlpm.fac,Roster!$C$5,_xlpm.ph,Roster!$C$6,_xlpm.sc,INDEX(_xlfn.ANCHORARRAY(Roster!$AP$6),$A26,4),_xlpm.tg,_xlfn.CHOOSECOLS(_xlfn.CHOOSEROWS(_xlfn.ANCHORARRAY(Roster!$AE$6),F$15),4,5,6,7,8,9,3),_xlpm.s,IF(_xlpm.ph="Fighting",0,INDEX(UNITVS(_xlpm.fac,$B26,"Shooting",_xlpm.tg,Roster!$AX$5,_xlfn.ANCHORARRAY(Roster!$AX$7)),2)),_xlpm.f,IF(_xlpm.ph="Shooting",0,INDEX(UNITVS(_xlpm.fac,$B26,"Fighting",_xlpm.tg,Roster!$AX$6,_xlfn.ANCHORARRAY(Roster!$AX$8)),2)),MIN(F$17,(_xlpm.s+_xlpm.f)*_xlpm.sc)))</f>
        <v>1.0833333333333333</v>
      </c>
      <c r="G26" s="86" cm="1">
        <f t="array" ref="G26">IF(OR($B26="",G$16=""),"",_xlfn.LET(_xlpm.fac,Roster!$C$5,_xlpm.ph,Roster!$C$6,_xlpm.sc,INDEX(_xlfn.ANCHORARRAY(Roster!$AP$6),$A26,4),_xlpm.tg,_xlfn.CHOOSECOLS(_xlfn.CHOOSEROWS(_xlfn.ANCHORARRAY(Roster!$AE$6),G$15),4,5,6,7,8,9,3),_xlpm.s,IF(_xlpm.ph="Fighting",0,INDEX(UNITVS(_xlpm.fac,$B26,"Shooting",_xlpm.tg,Roster!$AX$5,_xlfn.ANCHORARRAY(Roster!$AX$7)),2)),_xlpm.f,IF(_xlpm.ph="Shooting",0,INDEX(UNITVS(_xlpm.fac,$B26,"Fighting",_xlpm.tg,Roster!$AX$6,_xlfn.ANCHORARRAY(Roster!$AX$8)),2)),MIN(G$17,(_xlpm.s+_xlpm.f)*_xlpm.sc)))</f>
        <v>1.3333333333333333</v>
      </c>
      <c r="H26" s="86" cm="1">
        <f t="array" ref="H26">IF(OR($B26="",H$16=""),"",_xlfn.LET(_xlpm.fac,Roster!$C$5,_xlpm.ph,Roster!$C$6,_xlpm.sc,INDEX(_xlfn.ANCHORARRAY(Roster!$AP$6),$A26,4),_xlpm.tg,_xlfn.CHOOSECOLS(_xlfn.CHOOSEROWS(_xlfn.ANCHORARRAY(Roster!$AE$6),H$15),4,5,6,7,8,9,3),_xlpm.s,IF(_xlpm.ph="Fighting",0,INDEX(UNITVS(_xlpm.fac,$B26,"Shooting",_xlpm.tg,Roster!$AX$5,_xlfn.ANCHORARRAY(Roster!$AX$7)),2)),_xlpm.f,IF(_xlpm.ph="Shooting",0,INDEX(UNITVS(_xlpm.fac,$B26,"Fighting",_xlpm.tg,Roster!$AX$6,_xlfn.ANCHORARRAY(Roster!$AX$8)),2)),MIN(H$17,(_xlpm.s+_xlpm.f)*_xlpm.sc)))</f>
        <v>0.83333333333333348</v>
      </c>
      <c r="I26" s="86" cm="1">
        <f t="array" ref="I26">IF(OR($B26="",I$16=""),"",_xlfn.LET(_xlpm.fac,Roster!$C$5,_xlpm.ph,Roster!$C$6,_xlpm.sc,INDEX(_xlfn.ANCHORARRAY(Roster!$AP$6),$A26,4),_xlpm.tg,_xlfn.CHOOSECOLS(_xlfn.CHOOSEROWS(_xlfn.ANCHORARRAY(Roster!$AE$6),I$15),4,5,6,7,8,9,3),_xlpm.s,IF(_xlpm.ph="Fighting",0,INDEX(UNITVS(_xlpm.fac,$B26,"Shooting",_xlpm.tg,Roster!$AX$5,_xlfn.ANCHORARRAY(Roster!$AX$7)),2)),_xlpm.f,IF(_xlpm.ph="Shooting",0,INDEX(UNITVS(_xlpm.fac,$B26,"Fighting",_xlpm.tg,Roster!$AX$6,_xlfn.ANCHORARRAY(Roster!$AX$8)),2)),MIN(I$17,(_xlpm.s+_xlpm.f)*_xlpm.sc)))</f>
        <v>0.35555555555555551</v>
      </c>
      <c r="J26" s="86" cm="1">
        <f t="array" ref="J26">IF(OR($B26="",J$16=""),"",_xlfn.LET(_xlpm.fac,Roster!$C$5,_xlpm.ph,Roster!$C$6,_xlpm.sc,INDEX(_xlfn.ANCHORARRAY(Roster!$AP$6),$A26,4),_xlpm.tg,_xlfn.CHOOSECOLS(_xlfn.CHOOSEROWS(_xlfn.ANCHORARRAY(Roster!$AE$6),J$15),4,5,6,7,8,9,3),_xlpm.s,IF(_xlpm.ph="Fighting",0,INDEX(UNITVS(_xlpm.fac,$B26,"Shooting",_xlpm.tg,Roster!$AX$5,_xlfn.ANCHORARRAY(Roster!$AX$7)),2)),_xlpm.f,IF(_xlpm.ph="Shooting",0,INDEX(UNITVS(_xlpm.fac,$B26,"Fighting",_xlpm.tg,Roster!$AX$6,_xlfn.ANCHORARRAY(Roster!$AX$8)),2)),MIN(J$17,(_xlpm.s+_xlpm.f)*_xlpm.sc)))</f>
        <v>0.29629629629629628</v>
      </c>
      <c r="K26" s="86" cm="1">
        <f t="array" ref="K26">IF(OR($B26="",K$16=""),"",_xlfn.LET(_xlpm.fac,Roster!$C$5,_xlpm.ph,Roster!$C$6,_xlpm.sc,INDEX(_xlfn.ANCHORARRAY(Roster!$AP$6),$A26,4),_xlpm.tg,_xlfn.CHOOSECOLS(_xlfn.CHOOSEROWS(_xlfn.ANCHORARRAY(Roster!$AE$6),K$15),4,5,6,7,8,9,3),_xlpm.s,IF(_xlpm.ph="Fighting",0,INDEX(UNITVS(_xlpm.fac,$B26,"Shooting",_xlpm.tg,Roster!$AX$5,_xlfn.ANCHORARRAY(Roster!$AX$7)),2)),_xlpm.f,IF(_xlpm.ph="Shooting",0,INDEX(UNITVS(_xlpm.fac,$B26,"Fighting",_xlpm.tg,Roster!$AX$6,_xlfn.ANCHORARRAY(Roster!$AX$8)),2)),MIN(K$17,(_xlpm.s+_xlpm.f)*_xlpm.sc)))</f>
        <v>0.25396825396825395</v>
      </c>
      <c r="L26" s="86" cm="1">
        <f t="array" ref="L26">IF(OR($B26="",L$16=""),"",_xlfn.LET(_xlpm.fac,Roster!$C$5,_xlpm.ph,Roster!$C$6,_xlpm.sc,INDEX(_xlfn.ANCHORARRAY(Roster!$AP$6),$A26,4),_xlpm.tg,_xlfn.CHOOSECOLS(_xlfn.CHOOSEROWS(_xlfn.ANCHORARRAY(Roster!$AE$6),L$15),4,5,6,7,8,9,3),_xlpm.s,IF(_xlpm.ph="Fighting",0,INDEX(UNITVS(_xlpm.fac,$B26,"Shooting",_xlpm.tg,Roster!$AX$5,_xlfn.ANCHORARRAY(Roster!$AX$7)),2)),_xlpm.f,IF(_xlpm.ph="Shooting",0,INDEX(UNITVS(_xlpm.fac,$B26,"Fighting",_xlpm.tg,Roster!$AX$6,_xlfn.ANCHORARRAY(Roster!$AX$8)),2)),MIN(L$17,(_xlpm.s+_xlpm.f)*_xlpm.sc)))</f>
        <v>0.1875</v>
      </c>
      <c r="M26" s="86" cm="1">
        <f t="array" ref="M26">IF(OR($B26="",M$16=""),"",_xlfn.LET(_xlpm.fac,Roster!$C$5,_xlpm.ph,Roster!$C$6,_xlpm.sc,INDEX(_xlfn.ANCHORARRAY(Roster!$AP$6),$A26,4),_xlpm.tg,_xlfn.CHOOSECOLS(_xlfn.CHOOSEROWS(_xlfn.ANCHORARRAY(Roster!$AE$6),M$15),4,5,6,7,8,9,3),_xlpm.s,IF(_xlpm.ph="Fighting",0,INDEX(UNITVS(_xlpm.fac,$B26,"Shooting",_xlpm.tg,Roster!$AX$5,_xlfn.ANCHORARRAY(Roster!$AX$7)),2)),_xlpm.f,IF(_xlpm.ph="Shooting",0,INDEX(UNITVS(_xlpm.fac,$B26,"Fighting",_xlpm.tg,Roster!$AX$6,_xlfn.ANCHORARRAY(Roster!$AX$8)),2)),MIN(M$17,(_xlpm.s+_xlpm.f)*_xlpm.sc)))</f>
        <v>0.1616161616161616</v>
      </c>
      <c r="N26" s="86" t="str" cm="1">
        <f t="array" ref="N26">IF(OR($B26="",N$16=""),"",_xlfn.LET(_xlpm.fac,Roster!$C$5,_xlpm.ph,Roster!$C$6,_xlpm.sc,INDEX(_xlfn.ANCHORARRAY(Roster!$AP$6),$A26,4),_xlpm.tg,_xlfn.CHOOSECOLS(_xlfn.CHOOSEROWS(_xlfn.ANCHORARRAY(Roster!$AE$6),N$15),4,5,6,7,8,9,3),_xlpm.s,IF(_xlpm.ph="Fighting",0,INDEX(UNITVS(_xlpm.fac,$B26,"Shooting",_xlpm.tg,Roster!$AX$5,_xlfn.ANCHORARRAY(Roster!$AX$7)),2)),_xlpm.f,IF(_xlpm.ph="Shooting",0,INDEX(UNITVS(_xlpm.fac,$B26,"Fighting",_xlpm.tg,Roster!$AX$6,_xlfn.ANCHORARRAY(Roster!$AX$8)),2)),MIN(N$17,(_xlpm.s+_xlpm.f)*_xlpm.sc)))</f>
        <v/>
      </c>
      <c r="O26" s="86" t="str" cm="1">
        <f t="array" ref="O26">IF(OR($B26="",O$16=""),"",_xlfn.LET(_xlpm.fac,Roster!$C$5,_xlpm.ph,Roster!$C$6,_xlpm.sc,INDEX(_xlfn.ANCHORARRAY(Roster!$AP$6),$A26,4),_xlpm.tg,_xlfn.CHOOSECOLS(_xlfn.CHOOSEROWS(_xlfn.ANCHORARRAY(Roster!$AE$6),O$15),4,5,6,7,8,9,3),_xlpm.s,IF(_xlpm.ph="Fighting",0,INDEX(UNITVS(_xlpm.fac,$B26,"Shooting",_xlpm.tg,Roster!$AX$5,_xlfn.ANCHORARRAY(Roster!$AX$7)),2)),_xlpm.f,IF(_xlpm.ph="Shooting",0,INDEX(UNITVS(_xlpm.fac,$B26,"Fighting",_xlpm.tg,Roster!$AX$6,_xlfn.ANCHORARRAY(Roster!$AX$8)),2)),MIN(O$17,(_xlpm.s+_xlpm.f)*_xlpm.sc)))</f>
        <v/>
      </c>
      <c r="P26" s="86" t="str" cm="1">
        <f t="array" ref="P26">IF(OR($B26="",P$16=""),"",_xlfn.LET(_xlpm.fac,Roster!$C$5,_xlpm.ph,Roster!$C$6,_xlpm.sc,INDEX(_xlfn.ANCHORARRAY(Roster!$AP$6),$A26,4),_xlpm.tg,_xlfn.CHOOSECOLS(_xlfn.CHOOSEROWS(_xlfn.ANCHORARRAY(Roster!$AE$6),P$15),4,5,6,7,8,9,3),_xlpm.s,IF(_xlpm.ph="Fighting",0,INDEX(UNITVS(_xlpm.fac,$B26,"Shooting",_xlpm.tg,Roster!$AX$5,_xlfn.ANCHORARRAY(Roster!$AX$7)),2)),_xlpm.f,IF(_xlpm.ph="Shooting",0,INDEX(UNITVS(_xlpm.fac,$B26,"Fighting",_xlpm.tg,Roster!$AX$6,_xlfn.ANCHORARRAY(Roster!$AX$8)),2)),MIN(P$17,(_xlpm.s+_xlpm.f)*_xlpm.sc)))</f>
        <v/>
      </c>
      <c r="Q26" s="86" t="str" cm="1">
        <f t="array" ref="Q26">IF(OR($B26="",Q$16=""),"",_xlfn.LET(_xlpm.fac,Roster!$C$5,_xlpm.ph,Roster!$C$6,_xlpm.sc,INDEX(_xlfn.ANCHORARRAY(Roster!$AP$6),$A26,4),_xlpm.tg,_xlfn.CHOOSECOLS(_xlfn.CHOOSEROWS(_xlfn.ANCHORARRAY(Roster!$AE$6),Q$15),4,5,6,7,8,9,3),_xlpm.s,IF(_xlpm.ph="Fighting",0,INDEX(UNITVS(_xlpm.fac,$B26,"Shooting",_xlpm.tg,Roster!$AX$5,_xlfn.ANCHORARRAY(Roster!$AX$7)),2)),_xlpm.f,IF(_xlpm.ph="Shooting",0,INDEX(UNITVS(_xlpm.fac,$B26,"Fighting",_xlpm.tg,Roster!$AX$6,_xlfn.ANCHORARRAY(Roster!$AX$8)),2)),MIN(Q$17,(_xlpm.s+_xlpm.f)*_xlpm.sc)))</f>
        <v/>
      </c>
      <c r="R26" s="86" t="str" cm="1">
        <f t="array" ref="R26">IF(OR($B26="",R$16=""),"",_xlfn.LET(_xlpm.fac,Roster!$C$5,_xlpm.ph,Roster!$C$6,_xlpm.sc,INDEX(_xlfn.ANCHORARRAY(Roster!$AP$6),$A26,4),_xlpm.tg,_xlfn.CHOOSECOLS(_xlfn.CHOOSEROWS(_xlfn.ANCHORARRAY(Roster!$AE$6),R$15),4,5,6,7,8,9,3),_xlpm.s,IF(_xlpm.ph="Fighting",0,INDEX(UNITVS(_xlpm.fac,$B26,"Shooting",_xlpm.tg,Roster!$AX$5,_xlfn.ANCHORARRAY(Roster!$AX$7)),2)),_xlpm.f,IF(_xlpm.ph="Shooting",0,INDEX(UNITVS(_xlpm.fac,$B26,"Fighting",_xlpm.tg,Roster!$AX$6,_xlfn.ANCHORARRAY(Roster!$AX$8)),2)),MIN(R$17,(_xlpm.s+_xlpm.f)*_xlpm.sc)))</f>
        <v/>
      </c>
      <c r="S26" s="6"/>
      <c r="T26" s="6"/>
    </row>
    <row r="27" spans="1:20" x14ac:dyDescent="0.25">
      <c r="A27" s="82">
        <v>9</v>
      </c>
      <c r="B27" t="str" cm="1">
        <f t="array" ref="B27">IFERROR(INDEX(_xlfn.ANCHORARRAY(Roster!$AP$6),$A27,1),"")</f>
        <v>Chaos Spawn</v>
      </c>
      <c r="C27" s="6" cm="1">
        <f t="array" ref="C27">IF($B27="","",INDEX(_xlfn.ANCHORARRAY(Roster!$AP$6),$A27,2))</f>
        <v>2</v>
      </c>
      <c r="D27" s="86" cm="1">
        <f t="array" ref="D27">IF(OR($B27="",D$16=""),"",_xlfn.LET(_xlpm.fac,Roster!$C$5,_xlpm.ph,Roster!$C$6,_xlpm.sc,INDEX(_xlfn.ANCHORARRAY(Roster!$AP$6),$A27,4),_xlpm.tg,_xlfn.CHOOSECOLS(_xlfn.CHOOSEROWS(_xlfn.ANCHORARRAY(Roster!$AE$6),D$15),4,5,6,7,8,9,3),_xlpm.s,IF(_xlpm.ph="Fighting",0,INDEX(UNITVS(_xlpm.fac,$B27,"Shooting",_xlpm.tg,Roster!$AX$5,_xlfn.ANCHORARRAY(Roster!$AX$7)),2)),_xlpm.f,IF(_xlpm.ph="Shooting",0,INDEX(UNITVS(_xlpm.fac,$B27,"Fighting",_xlpm.tg,Roster!$AX$6,_xlfn.ANCHORARRAY(Roster!$AX$8)),2)),MIN(D$17,(_xlpm.s+_xlpm.f)*_xlpm.sc)))</f>
        <v>3.0555555555555554</v>
      </c>
      <c r="E27" s="86" cm="1">
        <f t="array" ref="E27">IF(OR($B27="",E$16=""),"",_xlfn.LET(_xlpm.fac,Roster!$C$5,_xlpm.ph,Roster!$C$6,_xlpm.sc,INDEX(_xlfn.ANCHORARRAY(Roster!$AP$6),$A27,4),_xlpm.tg,_xlfn.CHOOSECOLS(_xlfn.CHOOSEROWS(_xlfn.ANCHORARRAY(Roster!$AE$6),E$15),4,5,6,7,8,9,3),_xlpm.s,IF(_xlpm.ph="Fighting",0,INDEX(UNITVS(_xlpm.fac,$B27,"Shooting",_xlpm.tg,Roster!$AX$5,_xlfn.ANCHORARRAY(Roster!$AX$7)),2)),_xlpm.f,IF(_xlpm.ph="Shooting",0,INDEX(UNITVS(_xlpm.fac,$B27,"Fighting",_xlpm.tg,Roster!$AX$6,_xlfn.ANCHORARRAY(Roster!$AX$8)),2)),MIN(E$17,(_xlpm.s+_xlpm.f)*_xlpm.sc)))</f>
        <v>1.8333333333333333</v>
      </c>
      <c r="F27" s="86" cm="1">
        <f t="array" ref="F27">IF(OR($B27="",F$16=""),"",_xlfn.LET(_xlpm.fac,Roster!$C$5,_xlpm.ph,Roster!$C$6,_xlpm.sc,INDEX(_xlfn.ANCHORARRAY(Roster!$AP$6),$A27,4),_xlpm.tg,_xlfn.CHOOSECOLS(_xlfn.CHOOSEROWS(_xlfn.ANCHORARRAY(Roster!$AE$6),F$15),4,5,6,7,8,9,3),_xlpm.s,IF(_xlpm.ph="Fighting",0,INDEX(UNITVS(_xlpm.fac,$B27,"Shooting",_xlpm.tg,Roster!$AX$5,_xlfn.ANCHORARRAY(Roster!$AX$7)),2)),_xlpm.f,IF(_xlpm.ph="Shooting",0,INDEX(UNITVS(_xlpm.fac,$B27,"Fighting",_xlpm.tg,Roster!$AX$6,_xlfn.ANCHORARRAY(Roster!$AX$8)),2)),MIN(F$17,(_xlpm.s+_xlpm.f)*_xlpm.sc)))</f>
        <v>0.45833333333333331</v>
      </c>
      <c r="G27" s="86" cm="1">
        <f t="array" ref="G27">IF(OR($B27="",G$16=""),"",_xlfn.LET(_xlpm.fac,Roster!$C$5,_xlpm.ph,Roster!$C$6,_xlpm.sc,INDEX(_xlfn.ANCHORARRAY(Roster!$AP$6),$A27,4),_xlpm.tg,_xlfn.CHOOSECOLS(_xlfn.CHOOSEROWS(_xlfn.ANCHORARRAY(Roster!$AE$6),G$15),4,5,6,7,8,9,3),_xlpm.s,IF(_xlpm.ph="Fighting",0,INDEX(UNITVS(_xlpm.fac,$B27,"Shooting",_xlpm.tg,Roster!$AX$5,_xlfn.ANCHORARRAY(Roster!$AX$7)),2)),_xlpm.f,IF(_xlpm.ph="Shooting",0,INDEX(UNITVS(_xlpm.fac,$B27,"Fighting",_xlpm.tg,Roster!$AX$6,_xlfn.ANCHORARRAY(Roster!$AX$8)),2)),MIN(G$17,(_xlpm.s+_xlpm.f)*_xlpm.sc)))</f>
        <v>0.45833333333333331</v>
      </c>
      <c r="H27" s="86" cm="1">
        <f t="array" ref="H27">IF(OR($B27="",H$16=""),"",_xlfn.LET(_xlpm.fac,Roster!$C$5,_xlpm.ph,Roster!$C$6,_xlpm.sc,INDEX(_xlfn.ANCHORARRAY(Roster!$AP$6),$A27,4),_xlpm.tg,_xlfn.CHOOSECOLS(_xlfn.CHOOSEROWS(_xlfn.ANCHORARRAY(Roster!$AE$6),H$15),4,5,6,7,8,9,3),_xlpm.s,IF(_xlpm.ph="Fighting",0,INDEX(UNITVS(_xlpm.fac,$B27,"Shooting",_xlpm.tg,Roster!$AX$5,_xlfn.ANCHORARRAY(Roster!$AX$7)),2)),_xlpm.f,IF(_xlpm.ph="Shooting",0,INDEX(UNITVS(_xlpm.fac,$B27,"Fighting",_xlpm.tg,Roster!$AX$6,_xlfn.ANCHORARRAY(Roster!$AX$8)),2)),MIN(H$17,(_xlpm.s+_xlpm.f)*_xlpm.sc)))</f>
        <v>0.61111111111111105</v>
      </c>
      <c r="I27" s="86" cm="1">
        <f t="array" ref="I27">IF(OR($B27="",I$16=""),"",_xlfn.LET(_xlpm.fac,Roster!$C$5,_xlpm.ph,Roster!$C$6,_xlpm.sc,INDEX(_xlfn.ANCHORARRAY(Roster!$AP$6),$A27,4),_xlpm.tg,_xlfn.CHOOSECOLS(_xlfn.CHOOSEROWS(_xlfn.ANCHORARRAY(Roster!$AE$6),I$15),4,5,6,7,8,9,3),_xlpm.s,IF(_xlpm.ph="Fighting",0,INDEX(UNITVS(_xlpm.fac,$B27,"Shooting",_xlpm.tg,Roster!$AX$5,_xlfn.ANCHORARRAY(Roster!$AX$7)),2)),_xlpm.f,IF(_xlpm.ph="Shooting",0,INDEX(UNITVS(_xlpm.fac,$B27,"Fighting",_xlpm.tg,Roster!$AX$6,_xlfn.ANCHORARRAY(Roster!$AX$8)),2)),MIN(I$17,(_xlpm.s+_xlpm.f)*_xlpm.sc)))</f>
        <v>0.18333333333333332</v>
      </c>
      <c r="J27" s="86" cm="1">
        <f t="array" ref="J27">IF(OR($B27="",J$16=""),"",_xlfn.LET(_xlpm.fac,Roster!$C$5,_xlpm.ph,Roster!$C$6,_xlpm.sc,INDEX(_xlfn.ANCHORARRAY(Roster!$AP$6),$A27,4),_xlpm.tg,_xlfn.CHOOSECOLS(_xlfn.CHOOSEROWS(_xlfn.ANCHORARRAY(Roster!$AE$6),J$15),4,5,6,7,8,9,3),_xlpm.s,IF(_xlpm.ph="Fighting",0,INDEX(UNITVS(_xlpm.fac,$B27,"Shooting",_xlpm.tg,Roster!$AX$5,_xlfn.ANCHORARRAY(Roster!$AX$7)),2)),_xlpm.f,IF(_xlpm.ph="Shooting",0,INDEX(UNITVS(_xlpm.fac,$B27,"Fighting",_xlpm.tg,Roster!$AX$6,_xlfn.ANCHORARRAY(Roster!$AX$8)),2)),MIN(J$17,(_xlpm.s+_xlpm.f)*_xlpm.sc)))</f>
        <v>7.6388888888888881E-2</v>
      </c>
      <c r="K27" s="86" cm="1">
        <f t="array" ref="K27">IF(OR($B27="",K$16=""),"",_xlfn.LET(_xlpm.fac,Roster!$C$5,_xlpm.ph,Roster!$C$6,_xlpm.sc,INDEX(_xlfn.ANCHORARRAY(Roster!$AP$6),$A27,4),_xlpm.tg,_xlfn.CHOOSECOLS(_xlfn.CHOOSEROWS(_xlfn.ANCHORARRAY(Roster!$AE$6),K$15),4,5,6,7,8,9,3),_xlpm.s,IF(_xlpm.ph="Fighting",0,INDEX(UNITVS(_xlpm.fac,$B27,"Shooting",_xlpm.tg,Roster!$AX$5,_xlfn.ANCHORARRAY(Roster!$AX$7)),2)),_xlpm.f,IF(_xlpm.ph="Shooting",0,INDEX(UNITVS(_xlpm.fac,$B27,"Fighting",_xlpm.tg,Roster!$AX$6,_xlfn.ANCHORARRAY(Roster!$AX$8)),2)),MIN(K$17,(_xlpm.s+_xlpm.f)*_xlpm.sc)))</f>
        <v>6.5476190476190479E-2</v>
      </c>
      <c r="L27" s="86" cm="1">
        <f t="array" ref="L27">IF(OR($B27="",L$16=""),"",_xlfn.LET(_xlpm.fac,Roster!$C$5,_xlpm.ph,Roster!$C$6,_xlpm.sc,INDEX(_xlfn.ANCHORARRAY(Roster!$AP$6),$A27,4),_xlpm.tg,_xlfn.CHOOSECOLS(_xlfn.CHOOSEROWS(_xlfn.ANCHORARRAY(Roster!$AE$6),L$15),4,5,6,7,8,9,3),_xlpm.s,IF(_xlpm.ph="Fighting",0,INDEX(UNITVS(_xlpm.fac,$B27,"Shooting",_xlpm.tg,Roster!$AX$5,_xlfn.ANCHORARRAY(Roster!$AX$7)),2)),_xlpm.f,IF(_xlpm.ph="Shooting",0,INDEX(UNITVS(_xlpm.fac,$B27,"Fighting",_xlpm.tg,Roster!$AX$6,_xlfn.ANCHORARRAY(Roster!$AX$8)),2)),MIN(L$17,(_xlpm.s+_xlpm.f)*_xlpm.sc)))</f>
        <v>3.8194444444444441E-2</v>
      </c>
      <c r="M27" s="86" cm="1">
        <f t="array" ref="M27">IF(OR($B27="",M$16=""),"",_xlfn.LET(_xlpm.fac,Roster!$C$5,_xlpm.ph,Roster!$C$6,_xlpm.sc,INDEX(_xlfn.ANCHORARRAY(Roster!$AP$6),$A27,4),_xlpm.tg,_xlfn.CHOOSECOLS(_xlfn.CHOOSEROWS(_xlfn.ANCHORARRAY(Roster!$AE$6),M$15),4,5,6,7,8,9,3),_xlpm.s,IF(_xlpm.ph="Fighting",0,INDEX(UNITVS(_xlpm.fac,$B27,"Shooting",_xlpm.tg,Roster!$AX$5,_xlfn.ANCHORARRAY(Roster!$AX$7)),2)),_xlpm.f,IF(_xlpm.ph="Shooting",0,INDEX(UNITVS(_xlpm.fac,$B27,"Fighting",_xlpm.tg,Roster!$AX$6,_xlfn.ANCHORARRAY(Roster!$AX$8)),2)),MIN(M$17,(_xlpm.s+_xlpm.f)*_xlpm.sc)))</f>
        <v>4.1666666666666664E-2</v>
      </c>
      <c r="N27" s="86" t="str" cm="1">
        <f t="array" ref="N27">IF(OR($B27="",N$16=""),"",_xlfn.LET(_xlpm.fac,Roster!$C$5,_xlpm.ph,Roster!$C$6,_xlpm.sc,INDEX(_xlfn.ANCHORARRAY(Roster!$AP$6),$A27,4),_xlpm.tg,_xlfn.CHOOSECOLS(_xlfn.CHOOSEROWS(_xlfn.ANCHORARRAY(Roster!$AE$6),N$15),4,5,6,7,8,9,3),_xlpm.s,IF(_xlpm.ph="Fighting",0,INDEX(UNITVS(_xlpm.fac,$B27,"Shooting",_xlpm.tg,Roster!$AX$5,_xlfn.ANCHORARRAY(Roster!$AX$7)),2)),_xlpm.f,IF(_xlpm.ph="Shooting",0,INDEX(UNITVS(_xlpm.fac,$B27,"Fighting",_xlpm.tg,Roster!$AX$6,_xlfn.ANCHORARRAY(Roster!$AX$8)),2)),MIN(N$17,(_xlpm.s+_xlpm.f)*_xlpm.sc)))</f>
        <v/>
      </c>
      <c r="O27" s="86" t="str" cm="1">
        <f t="array" ref="O27">IF(OR($B27="",O$16=""),"",_xlfn.LET(_xlpm.fac,Roster!$C$5,_xlpm.ph,Roster!$C$6,_xlpm.sc,INDEX(_xlfn.ANCHORARRAY(Roster!$AP$6),$A27,4),_xlpm.tg,_xlfn.CHOOSECOLS(_xlfn.CHOOSEROWS(_xlfn.ANCHORARRAY(Roster!$AE$6),O$15),4,5,6,7,8,9,3),_xlpm.s,IF(_xlpm.ph="Fighting",0,INDEX(UNITVS(_xlpm.fac,$B27,"Shooting",_xlpm.tg,Roster!$AX$5,_xlfn.ANCHORARRAY(Roster!$AX$7)),2)),_xlpm.f,IF(_xlpm.ph="Shooting",0,INDEX(UNITVS(_xlpm.fac,$B27,"Fighting",_xlpm.tg,Roster!$AX$6,_xlfn.ANCHORARRAY(Roster!$AX$8)),2)),MIN(O$17,(_xlpm.s+_xlpm.f)*_xlpm.sc)))</f>
        <v/>
      </c>
      <c r="P27" s="86" t="str" cm="1">
        <f t="array" ref="P27">IF(OR($B27="",P$16=""),"",_xlfn.LET(_xlpm.fac,Roster!$C$5,_xlpm.ph,Roster!$C$6,_xlpm.sc,INDEX(_xlfn.ANCHORARRAY(Roster!$AP$6),$A27,4),_xlpm.tg,_xlfn.CHOOSECOLS(_xlfn.CHOOSEROWS(_xlfn.ANCHORARRAY(Roster!$AE$6),P$15),4,5,6,7,8,9,3),_xlpm.s,IF(_xlpm.ph="Fighting",0,INDEX(UNITVS(_xlpm.fac,$B27,"Shooting",_xlpm.tg,Roster!$AX$5,_xlfn.ANCHORARRAY(Roster!$AX$7)),2)),_xlpm.f,IF(_xlpm.ph="Shooting",0,INDEX(UNITVS(_xlpm.fac,$B27,"Fighting",_xlpm.tg,Roster!$AX$6,_xlfn.ANCHORARRAY(Roster!$AX$8)),2)),MIN(P$17,(_xlpm.s+_xlpm.f)*_xlpm.sc)))</f>
        <v/>
      </c>
      <c r="Q27" s="86" t="str" cm="1">
        <f t="array" ref="Q27">IF(OR($B27="",Q$16=""),"",_xlfn.LET(_xlpm.fac,Roster!$C$5,_xlpm.ph,Roster!$C$6,_xlpm.sc,INDEX(_xlfn.ANCHORARRAY(Roster!$AP$6),$A27,4),_xlpm.tg,_xlfn.CHOOSECOLS(_xlfn.CHOOSEROWS(_xlfn.ANCHORARRAY(Roster!$AE$6),Q$15),4,5,6,7,8,9,3),_xlpm.s,IF(_xlpm.ph="Fighting",0,INDEX(UNITVS(_xlpm.fac,$B27,"Shooting",_xlpm.tg,Roster!$AX$5,_xlfn.ANCHORARRAY(Roster!$AX$7)),2)),_xlpm.f,IF(_xlpm.ph="Shooting",0,INDEX(UNITVS(_xlpm.fac,$B27,"Fighting",_xlpm.tg,Roster!$AX$6,_xlfn.ANCHORARRAY(Roster!$AX$8)),2)),MIN(Q$17,(_xlpm.s+_xlpm.f)*_xlpm.sc)))</f>
        <v/>
      </c>
      <c r="R27" s="86" t="str" cm="1">
        <f t="array" ref="R27">IF(OR($B27="",R$16=""),"",_xlfn.LET(_xlpm.fac,Roster!$C$5,_xlpm.ph,Roster!$C$6,_xlpm.sc,INDEX(_xlfn.ANCHORARRAY(Roster!$AP$6),$A27,4),_xlpm.tg,_xlfn.CHOOSECOLS(_xlfn.CHOOSEROWS(_xlfn.ANCHORARRAY(Roster!$AE$6),R$15),4,5,6,7,8,9,3),_xlpm.s,IF(_xlpm.ph="Fighting",0,INDEX(UNITVS(_xlpm.fac,$B27,"Shooting",_xlpm.tg,Roster!$AX$5,_xlfn.ANCHORARRAY(Roster!$AX$7)),2)),_xlpm.f,IF(_xlpm.ph="Shooting",0,INDEX(UNITVS(_xlpm.fac,$B27,"Fighting",_xlpm.tg,Roster!$AX$6,_xlfn.ANCHORARRAY(Roster!$AX$8)),2)),MIN(R$17,(_xlpm.s+_xlpm.f)*_xlpm.sc)))</f>
        <v/>
      </c>
      <c r="S27" s="6"/>
      <c r="T27" s="6"/>
    </row>
    <row r="28" spans="1:20" x14ac:dyDescent="0.25">
      <c r="A28" s="82">
        <v>10</v>
      </c>
      <c r="B28" t="str" cm="1">
        <f t="array" ref="B28">IFERROR(INDEX(_xlfn.ANCHORARRAY(Roster!$AP$6),$A28,1),"")</f>
        <v/>
      </c>
      <c r="C28" s="6" t="str" cm="1">
        <f t="array" ref="C28">IF($B28="","",INDEX(_xlfn.ANCHORARRAY(Roster!$AP$6),$A28,2))</f>
        <v/>
      </c>
      <c r="D28" s="86" t="str" cm="1">
        <f t="array" ref="D28">IF(OR($B28="",D$16=""),"",_xlfn.LET(_xlpm.fac,Roster!$C$5,_xlpm.ph,Roster!$C$6,_xlpm.sc,INDEX(_xlfn.ANCHORARRAY(Roster!$AP$6),$A28,4),_xlpm.tg,_xlfn.CHOOSECOLS(_xlfn.CHOOSEROWS(_xlfn.ANCHORARRAY(Roster!$AE$6),D$15),4,5,6,7,8,9,3),_xlpm.s,IF(_xlpm.ph="Fighting",0,INDEX(UNITVS(_xlpm.fac,$B28,"Shooting",_xlpm.tg,Roster!$AX$5,_xlfn.ANCHORARRAY(Roster!$AX$7)),2)),_xlpm.f,IF(_xlpm.ph="Shooting",0,INDEX(UNITVS(_xlpm.fac,$B28,"Fighting",_xlpm.tg,Roster!$AX$6,_xlfn.ANCHORARRAY(Roster!$AX$8)),2)),MIN(D$17,(_xlpm.s+_xlpm.f)*_xlpm.sc)))</f>
        <v/>
      </c>
      <c r="E28" s="86" t="str" cm="1">
        <f t="array" ref="E28">IF(OR($B28="",E$16=""),"",_xlfn.LET(_xlpm.fac,Roster!$C$5,_xlpm.ph,Roster!$C$6,_xlpm.sc,INDEX(_xlfn.ANCHORARRAY(Roster!$AP$6),$A28,4),_xlpm.tg,_xlfn.CHOOSECOLS(_xlfn.CHOOSEROWS(_xlfn.ANCHORARRAY(Roster!$AE$6),E$15),4,5,6,7,8,9,3),_xlpm.s,IF(_xlpm.ph="Fighting",0,INDEX(UNITVS(_xlpm.fac,$B28,"Shooting",_xlpm.tg,Roster!$AX$5,_xlfn.ANCHORARRAY(Roster!$AX$7)),2)),_xlpm.f,IF(_xlpm.ph="Shooting",0,INDEX(UNITVS(_xlpm.fac,$B28,"Fighting",_xlpm.tg,Roster!$AX$6,_xlfn.ANCHORARRAY(Roster!$AX$8)),2)),MIN(E$17,(_xlpm.s+_xlpm.f)*_xlpm.sc)))</f>
        <v/>
      </c>
      <c r="F28" s="86" t="str" cm="1">
        <f t="array" ref="F28">IF(OR($B28="",F$16=""),"",_xlfn.LET(_xlpm.fac,Roster!$C$5,_xlpm.ph,Roster!$C$6,_xlpm.sc,INDEX(_xlfn.ANCHORARRAY(Roster!$AP$6),$A28,4),_xlpm.tg,_xlfn.CHOOSECOLS(_xlfn.CHOOSEROWS(_xlfn.ANCHORARRAY(Roster!$AE$6),F$15),4,5,6,7,8,9,3),_xlpm.s,IF(_xlpm.ph="Fighting",0,INDEX(UNITVS(_xlpm.fac,$B28,"Shooting",_xlpm.tg,Roster!$AX$5,_xlfn.ANCHORARRAY(Roster!$AX$7)),2)),_xlpm.f,IF(_xlpm.ph="Shooting",0,INDEX(UNITVS(_xlpm.fac,$B28,"Fighting",_xlpm.tg,Roster!$AX$6,_xlfn.ANCHORARRAY(Roster!$AX$8)),2)),MIN(F$17,(_xlpm.s+_xlpm.f)*_xlpm.sc)))</f>
        <v/>
      </c>
      <c r="G28" s="86" t="str" cm="1">
        <f t="array" ref="G28">IF(OR($B28="",G$16=""),"",_xlfn.LET(_xlpm.fac,Roster!$C$5,_xlpm.ph,Roster!$C$6,_xlpm.sc,INDEX(_xlfn.ANCHORARRAY(Roster!$AP$6),$A28,4),_xlpm.tg,_xlfn.CHOOSECOLS(_xlfn.CHOOSEROWS(_xlfn.ANCHORARRAY(Roster!$AE$6),G$15),4,5,6,7,8,9,3),_xlpm.s,IF(_xlpm.ph="Fighting",0,INDEX(UNITVS(_xlpm.fac,$B28,"Shooting",_xlpm.tg,Roster!$AX$5,_xlfn.ANCHORARRAY(Roster!$AX$7)),2)),_xlpm.f,IF(_xlpm.ph="Shooting",0,INDEX(UNITVS(_xlpm.fac,$B28,"Fighting",_xlpm.tg,Roster!$AX$6,_xlfn.ANCHORARRAY(Roster!$AX$8)),2)),MIN(G$17,(_xlpm.s+_xlpm.f)*_xlpm.sc)))</f>
        <v/>
      </c>
      <c r="H28" s="86" t="str" cm="1">
        <f t="array" ref="H28">IF(OR($B28="",H$16=""),"",_xlfn.LET(_xlpm.fac,Roster!$C$5,_xlpm.ph,Roster!$C$6,_xlpm.sc,INDEX(_xlfn.ANCHORARRAY(Roster!$AP$6),$A28,4),_xlpm.tg,_xlfn.CHOOSECOLS(_xlfn.CHOOSEROWS(_xlfn.ANCHORARRAY(Roster!$AE$6),H$15),4,5,6,7,8,9,3),_xlpm.s,IF(_xlpm.ph="Fighting",0,INDEX(UNITVS(_xlpm.fac,$B28,"Shooting",_xlpm.tg,Roster!$AX$5,_xlfn.ANCHORARRAY(Roster!$AX$7)),2)),_xlpm.f,IF(_xlpm.ph="Shooting",0,INDEX(UNITVS(_xlpm.fac,$B28,"Fighting",_xlpm.tg,Roster!$AX$6,_xlfn.ANCHORARRAY(Roster!$AX$8)),2)),MIN(H$17,(_xlpm.s+_xlpm.f)*_xlpm.sc)))</f>
        <v/>
      </c>
      <c r="I28" s="86" t="str" cm="1">
        <f t="array" ref="I28">IF(OR($B28="",I$16=""),"",_xlfn.LET(_xlpm.fac,Roster!$C$5,_xlpm.ph,Roster!$C$6,_xlpm.sc,INDEX(_xlfn.ANCHORARRAY(Roster!$AP$6),$A28,4),_xlpm.tg,_xlfn.CHOOSECOLS(_xlfn.CHOOSEROWS(_xlfn.ANCHORARRAY(Roster!$AE$6),I$15),4,5,6,7,8,9,3),_xlpm.s,IF(_xlpm.ph="Fighting",0,INDEX(UNITVS(_xlpm.fac,$B28,"Shooting",_xlpm.tg,Roster!$AX$5,_xlfn.ANCHORARRAY(Roster!$AX$7)),2)),_xlpm.f,IF(_xlpm.ph="Shooting",0,INDEX(UNITVS(_xlpm.fac,$B28,"Fighting",_xlpm.tg,Roster!$AX$6,_xlfn.ANCHORARRAY(Roster!$AX$8)),2)),MIN(I$17,(_xlpm.s+_xlpm.f)*_xlpm.sc)))</f>
        <v/>
      </c>
      <c r="J28" s="86" t="str" cm="1">
        <f t="array" ref="J28">IF(OR($B28="",J$16=""),"",_xlfn.LET(_xlpm.fac,Roster!$C$5,_xlpm.ph,Roster!$C$6,_xlpm.sc,INDEX(_xlfn.ANCHORARRAY(Roster!$AP$6),$A28,4),_xlpm.tg,_xlfn.CHOOSECOLS(_xlfn.CHOOSEROWS(_xlfn.ANCHORARRAY(Roster!$AE$6),J$15),4,5,6,7,8,9,3),_xlpm.s,IF(_xlpm.ph="Fighting",0,INDEX(UNITVS(_xlpm.fac,$B28,"Shooting",_xlpm.tg,Roster!$AX$5,_xlfn.ANCHORARRAY(Roster!$AX$7)),2)),_xlpm.f,IF(_xlpm.ph="Shooting",0,INDEX(UNITVS(_xlpm.fac,$B28,"Fighting",_xlpm.tg,Roster!$AX$6,_xlfn.ANCHORARRAY(Roster!$AX$8)),2)),MIN(J$17,(_xlpm.s+_xlpm.f)*_xlpm.sc)))</f>
        <v/>
      </c>
      <c r="K28" s="86" t="str" cm="1">
        <f t="array" ref="K28">IF(OR($B28="",K$16=""),"",_xlfn.LET(_xlpm.fac,Roster!$C$5,_xlpm.ph,Roster!$C$6,_xlpm.sc,INDEX(_xlfn.ANCHORARRAY(Roster!$AP$6),$A28,4),_xlpm.tg,_xlfn.CHOOSECOLS(_xlfn.CHOOSEROWS(_xlfn.ANCHORARRAY(Roster!$AE$6),K$15),4,5,6,7,8,9,3),_xlpm.s,IF(_xlpm.ph="Fighting",0,INDEX(UNITVS(_xlpm.fac,$B28,"Shooting",_xlpm.tg,Roster!$AX$5,_xlfn.ANCHORARRAY(Roster!$AX$7)),2)),_xlpm.f,IF(_xlpm.ph="Shooting",0,INDEX(UNITVS(_xlpm.fac,$B28,"Fighting",_xlpm.tg,Roster!$AX$6,_xlfn.ANCHORARRAY(Roster!$AX$8)),2)),MIN(K$17,(_xlpm.s+_xlpm.f)*_xlpm.sc)))</f>
        <v/>
      </c>
      <c r="L28" s="86" t="str" cm="1">
        <f t="array" ref="L28">IF(OR($B28="",L$16=""),"",_xlfn.LET(_xlpm.fac,Roster!$C$5,_xlpm.ph,Roster!$C$6,_xlpm.sc,INDEX(_xlfn.ANCHORARRAY(Roster!$AP$6),$A28,4),_xlpm.tg,_xlfn.CHOOSECOLS(_xlfn.CHOOSEROWS(_xlfn.ANCHORARRAY(Roster!$AE$6),L$15),4,5,6,7,8,9,3),_xlpm.s,IF(_xlpm.ph="Fighting",0,INDEX(UNITVS(_xlpm.fac,$B28,"Shooting",_xlpm.tg,Roster!$AX$5,_xlfn.ANCHORARRAY(Roster!$AX$7)),2)),_xlpm.f,IF(_xlpm.ph="Shooting",0,INDEX(UNITVS(_xlpm.fac,$B28,"Fighting",_xlpm.tg,Roster!$AX$6,_xlfn.ANCHORARRAY(Roster!$AX$8)),2)),MIN(L$17,(_xlpm.s+_xlpm.f)*_xlpm.sc)))</f>
        <v/>
      </c>
      <c r="M28" s="86" t="str" cm="1">
        <f t="array" ref="M28">IF(OR($B28="",M$16=""),"",_xlfn.LET(_xlpm.fac,Roster!$C$5,_xlpm.ph,Roster!$C$6,_xlpm.sc,INDEX(_xlfn.ANCHORARRAY(Roster!$AP$6),$A28,4),_xlpm.tg,_xlfn.CHOOSECOLS(_xlfn.CHOOSEROWS(_xlfn.ANCHORARRAY(Roster!$AE$6),M$15),4,5,6,7,8,9,3),_xlpm.s,IF(_xlpm.ph="Fighting",0,INDEX(UNITVS(_xlpm.fac,$B28,"Shooting",_xlpm.tg,Roster!$AX$5,_xlfn.ANCHORARRAY(Roster!$AX$7)),2)),_xlpm.f,IF(_xlpm.ph="Shooting",0,INDEX(UNITVS(_xlpm.fac,$B28,"Fighting",_xlpm.tg,Roster!$AX$6,_xlfn.ANCHORARRAY(Roster!$AX$8)),2)),MIN(M$17,(_xlpm.s+_xlpm.f)*_xlpm.sc)))</f>
        <v/>
      </c>
      <c r="N28" s="86" t="str" cm="1">
        <f t="array" ref="N28">IF(OR($B28="",N$16=""),"",_xlfn.LET(_xlpm.fac,Roster!$C$5,_xlpm.ph,Roster!$C$6,_xlpm.sc,INDEX(_xlfn.ANCHORARRAY(Roster!$AP$6),$A28,4),_xlpm.tg,_xlfn.CHOOSECOLS(_xlfn.CHOOSEROWS(_xlfn.ANCHORARRAY(Roster!$AE$6),N$15),4,5,6,7,8,9,3),_xlpm.s,IF(_xlpm.ph="Fighting",0,INDEX(UNITVS(_xlpm.fac,$B28,"Shooting",_xlpm.tg,Roster!$AX$5,_xlfn.ANCHORARRAY(Roster!$AX$7)),2)),_xlpm.f,IF(_xlpm.ph="Shooting",0,INDEX(UNITVS(_xlpm.fac,$B28,"Fighting",_xlpm.tg,Roster!$AX$6,_xlfn.ANCHORARRAY(Roster!$AX$8)),2)),MIN(N$17,(_xlpm.s+_xlpm.f)*_xlpm.sc)))</f>
        <v/>
      </c>
      <c r="O28" s="86" t="str" cm="1">
        <f t="array" ref="O28">IF(OR($B28="",O$16=""),"",_xlfn.LET(_xlpm.fac,Roster!$C$5,_xlpm.ph,Roster!$C$6,_xlpm.sc,INDEX(_xlfn.ANCHORARRAY(Roster!$AP$6),$A28,4),_xlpm.tg,_xlfn.CHOOSECOLS(_xlfn.CHOOSEROWS(_xlfn.ANCHORARRAY(Roster!$AE$6),O$15),4,5,6,7,8,9,3),_xlpm.s,IF(_xlpm.ph="Fighting",0,INDEX(UNITVS(_xlpm.fac,$B28,"Shooting",_xlpm.tg,Roster!$AX$5,_xlfn.ANCHORARRAY(Roster!$AX$7)),2)),_xlpm.f,IF(_xlpm.ph="Shooting",0,INDEX(UNITVS(_xlpm.fac,$B28,"Fighting",_xlpm.tg,Roster!$AX$6,_xlfn.ANCHORARRAY(Roster!$AX$8)),2)),MIN(O$17,(_xlpm.s+_xlpm.f)*_xlpm.sc)))</f>
        <v/>
      </c>
      <c r="P28" s="86" t="str" cm="1">
        <f t="array" ref="P28">IF(OR($B28="",P$16=""),"",_xlfn.LET(_xlpm.fac,Roster!$C$5,_xlpm.ph,Roster!$C$6,_xlpm.sc,INDEX(_xlfn.ANCHORARRAY(Roster!$AP$6),$A28,4),_xlpm.tg,_xlfn.CHOOSECOLS(_xlfn.CHOOSEROWS(_xlfn.ANCHORARRAY(Roster!$AE$6),P$15),4,5,6,7,8,9,3),_xlpm.s,IF(_xlpm.ph="Fighting",0,INDEX(UNITVS(_xlpm.fac,$B28,"Shooting",_xlpm.tg,Roster!$AX$5,_xlfn.ANCHORARRAY(Roster!$AX$7)),2)),_xlpm.f,IF(_xlpm.ph="Shooting",0,INDEX(UNITVS(_xlpm.fac,$B28,"Fighting",_xlpm.tg,Roster!$AX$6,_xlfn.ANCHORARRAY(Roster!$AX$8)),2)),MIN(P$17,(_xlpm.s+_xlpm.f)*_xlpm.sc)))</f>
        <v/>
      </c>
      <c r="Q28" s="86" t="str" cm="1">
        <f t="array" ref="Q28">IF(OR($B28="",Q$16=""),"",_xlfn.LET(_xlpm.fac,Roster!$C$5,_xlpm.ph,Roster!$C$6,_xlpm.sc,INDEX(_xlfn.ANCHORARRAY(Roster!$AP$6),$A28,4),_xlpm.tg,_xlfn.CHOOSECOLS(_xlfn.CHOOSEROWS(_xlfn.ANCHORARRAY(Roster!$AE$6),Q$15),4,5,6,7,8,9,3),_xlpm.s,IF(_xlpm.ph="Fighting",0,INDEX(UNITVS(_xlpm.fac,$B28,"Shooting",_xlpm.tg,Roster!$AX$5,_xlfn.ANCHORARRAY(Roster!$AX$7)),2)),_xlpm.f,IF(_xlpm.ph="Shooting",0,INDEX(UNITVS(_xlpm.fac,$B28,"Fighting",_xlpm.tg,Roster!$AX$6,_xlfn.ANCHORARRAY(Roster!$AX$8)),2)),MIN(Q$17,(_xlpm.s+_xlpm.f)*_xlpm.sc)))</f>
        <v/>
      </c>
      <c r="R28" s="86" t="str" cm="1">
        <f t="array" ref="R28">IF(OR($B28="",R$16=""),"",_xlfn.LET(_xlpm.fac,Roster!$C$5,_xlpm.ph,Roster!$C$6,_xlpm.sc,INDEX(_xlfn.ANCHORARRAY(Roster!$AP$6),$A28,4),_xlpm.tg,_xlfn.CHOOSECOLS(_xlfn.CHOOSEROWS(_xlfn.ANCHORARRAY(Roster!$AE$6),R$15),4,5,6,7,8,9,3),_xlpm.s,IF(_xlpm.ph="Fighting",0,INDEX(UNITVS(_xlpm.fac,$B28,"Shooting",_xlpm.tg,Roster!$AX$5,_xlfn.ANCHORARRAY(Roster!$AX$7)),2)),_xlpm.f,IF(_xlpm.ph="Shooting",0,INDEX(UNITVS(_xlpm.fac,$B28,"Fighting",_xlpm.tg,Roster!$AX$6,_xlfn.ANCHORARRAY(Roster!$AX$8)),2)),MIN(R$17,(_xlpm.s+_xlpm.f)*_xlpm.sc)))</f>
        <v/>
      </c>
      <c r="S28" s="6"/>
      <c r="T28" s="6"/>
    </row>
    <row r="29" spans="1:20" x14ac:dyDescent="0.25">
      <c r="A29" s="82">
        <v>11</v>
      </c>
      <c r="B29" t="str" cm="1">
        <f t="array" ref="B29">IFERROR(INDEX(_xlfn.ANCHORARRAY(Roster!$AP$6),$A29,1),"")</f>
        <v/>
      </c>
      <c r="C29" s="6" t="str" cm="1">
        <f t="array" ref="C29">IF($B29="","",INDEX(_xlfn.ANCHORARRAY(Roster!$AP$6),$A29,2))</f>
        <v/>
      </c>
      <c r="D29" s="86" t="str" cm="1">
        <f t="array" ref="D29">IF(OR($B29="",D$16=""),"",_xlfn.LET(_xlpm.fac,Roster!$C$5,_xlpm.ph,Roster!$C$6,_xlpm.sc,INDEX(_xlfn.ANCHORARRAY(Roster!$AP$6),$A29,4),_xlpm.tg,_xlfn.CHOOSECOLS(_xlfn.CHOOSEROWS(_xlfn.ANCHORARRAY(Roster!$AE$6),D$15),4,5,6,7,8,9,3),_xlpm.s,IF(_xlpm.ph="Fighting",0,INDEX(UNITVS(_xlpm.fac,$B29,"Shooting",_xlpm.tg,Roster!$AX$5,_xlfn.ANCHORARRAY(Roster!$AX$7)),2)),_xlpm.f,IF(_xlpm.ph="Shooting",0,INDEX(UNITVS(_xlpm.fac,$B29,"Fighting",_xlpm.tg,Roster!$AX$6,_xlfn.ANCHORARRAY(Roster!$AX$8)),2)),MIN(D$17,(_xlpm.s+_xlpm.f)*_xlpm.sc)))</f>
        <v/>
      </c>
      <c r="E29" s="86" t="str" cm="1">
        <f t="array" ref="E29">IF(OR($B29="",E$16=""),"",_xlfn.LET(_xlpm.fac,Roster!$C$5,_xlpm.ph,Roster!$C$6,_xlpm.sc,INDEX(_xlfn.ANCHORARRAY(Roster!$AP$6),$A29,4),_xlpm.tg,_xlfn.CHOOSECOLS(_xlfn.CHOOSEROWS(_xlfn.ANCHORARRAY(Roster!$AE$6),E$15),4,5,6,7,8,9,3),_xlpm.s,IF(_xlpm.ph="Fighting",0,INDEX(UNITVS(_xlpm.fac,$B29,"Shooting",_xlpm.tg,Roster!$AX$5,_xlfn.ANCHORARRAY(Roster!$AX$7)),2)),_xlpm.f,IF(_xlpm.ph="Shooting",0,INDEX(UNITVS(_xlpm.fac,$B29,"Fighting",_xlpm.tg,Roster!$AX$6,_xlfn.ANCHORARRAY(Roster!$AX$8)),2)),MIN(E$17,(_xlpm.s+_xlpm.f)*_xlpm.sc)))</f>
        <v/>
      </c>
      <c r="F29" s="86" t="str" cm="1">
        <f t="array" ref="F29">IF(OR($B29="",F$16=""),"",_xlfn.LET(_xlpm.fac,Roster!$C$5,_xlpm.ph,Roster!$C$6,_xlpm.sc,INDEX(_xlfn.ANCHORARRAY(Roster!$AP$6),$A29,4),_xlpm.tg,_xlfn.CHOOSECOLS(_xlfn.CHOOSEROWS(_xlfn.ANCHORARRAY(Roster!$AE$6),F$15),4,5,6,7,8,9,3),_xlpm.s,IF(_xlpm.ph="Fighting",0,INDEX(UNITVS(_xlpm.fac,$B29,"Shooting",_xlpm.tg,Roster!$AX$5,_xlfn.ANCHORARRAY(Roster!$AX$7)),2)),_xlpm.f,IF(_xlpm.ph="Shooting",0,INDEX(UNITVS(_xlpm.fac,$B29,"Fighting",_xlpm.tg,Roster!$AX$6,_xlfn.ANCHORARRAY(Roster!$AX$8)),2)),MIN(F$17,(_xlpm.s+_xlpm.f)*_xlpm.sc)))</f>
        <v/>
      </c>
      <c r="G29" s="86" t="str" cm="1">
        <f t="array" ref="G29">IF(OR($B29="",G$16=""),"",_xlfn.LET(_xlpm.fac,Roster!$C$5,_xlpm.ph,Roster!$C$6,_xlpm.sc,INDEX(_xlfn.ANCHORARRAY(Roster!$AP$6),$A29,4),_xlpm.tg,_xlfn.CHOOSECOLS(_xlfn.CHOOSEROWS(_xlfn.ANCHORARRAY(Roster!$AE$6),G$15),4,5,6,7,8,9,3),_xlpm.s,IF(_xlpm.ph="Fighting",0,INDEX(UNITVS(_xlpm.fac,$B29,"Shooting",_xlpm.tg,Roster!$AX$5,_xlfn.ANCHORARRAY(Roster!$AX$7)),2)),_xlpm.f,IF(_xlpm.ph="Shooting",0,INDEX(UNITVS(_xlpm.fac,$B29,"Fighting",_xlpm.tg,Roster!$AX$6,_xlfn.ANCHORARRAY(Roster!$AX$8)),2)),MIN(G$17,(_xlpm.s+_xlpm.f)*_xlpm.sc)))</f>
        <v/>
      </c>
      <c r="H29" s="86" t="str" cm="1">
        <f t="array" ref="H29">IF(OR($B29="",H$16=""),"",_xlfn.LET(_xlpm.fac,Roster!$C$5,_xlpm.ph,Roster!$C$6,_xlpm.sc,INDEX(_xlfn.ANCHORARRAY(Roster!$AP$6),$A29,4),_xlpm.tg,_xlfn.CHOOSECOLS(_xlfn.CHOOSEROWS(_xlfn.ANCHORARRAY(Roster!$AE$6),H$15),4,5,6,7,8,9,3),_xlpm.s,IF(_xlpm.ph="Fighting",0,INDEX(UNITVS(_xlpm.fac,$B29,"Shooting",_xlpm.tg,Roster!$AX$5,_xlfn.ANCHORARRAY(Roster!$AX$7)),2)),_xlpm.f,IF(_xlpm.ph="Shooting",0,INDEX(UNITVS(_xlpm.fac,$B29,"Fighting",_xlpm.tg,Roster!$AX$6,_xlfn.ANCHORARRAY(Roster!$AX$8)),2)),MIN(H$17,(_xlpm.s+_xlpm.f)*_xlpm.sc)))</f>
        <v/>
      </c>
      <c r="I29" s="86" t="str" cm="1">
        <f t="array" ref="I29">IF(OR($B29="",I$16=""),"",_xlfn.LET(_xlpm.fac,Roster!$C$5,_xlpm.ph,Roster!$C$6,_xlpm.sc,INDEX(_xlfn.ANCHORARRAY(Roster!$AP$6),$A29,4),_xlpm.tg,_xlfn.CHOOSECOLS(_xlfn.CHOOSEROWS(_xlfn.ANCHORARRAY(Roster!$AE$6),I$15),4,5,6,7,8,9,3),_xlpm.s,IF(_xlpm.ph="Fighting",0,INDEX(UNITVS(_xlpm.fac,$B29,"Shooting",_xlpm.tg,Roster!$AX$5,_xlfn.ANCHORARRAY(Roster!$AX$7)),2)),_xlpm.f,IF(_xlpm.ph="Shooting",0,INDEX(UNITVS(_xlpm.fac,$B29,"Fighting",_xlpm.tg,Roster!$AX$6,_xlfn.ANCHORARRAY(Roster!$AX$8)),2)),MIN(I$17,(_xlpm.s+_xlpm.f)*_xlpm.sc)))</f>
        <v/>
      </c>
      <c r="J29" s="86" t="str" cm="1">
        <f t="array" ref="J29">IF(OR($B29="",J$16=""),"",_xlfn.LET(_xlpm.fac,Roster!$C$5,_xlpm.ph,Roster!$C$6,_xlpm.sc,INDEX(_xlfn.ANCHORARRAY(Roster!$AP$6),$A29,4),_xlpm.tg,_xlfn.CHOOSECOLS(_xlfn.CHOOSEROWS(_xlfn.ANCHORARRAY(Roster!$AE$6),J$15),4,5,6,7,8,9,3),_xlpm.s,IF(_xlpm.ph="Fighting",0,INDEX(UNITVS(_xlpm.fac,$B29,"Shooting",_xlpm.tg,Roster!$AX$5,_xlfn.ANCHORARRAY(Roster!$AX$7)),2)),_xlpm.f,IF(_xlpm.ph="Shooting",0,INDEX(UNITVS(_xlpm.fac,$B29,"Fighting",_xlpm.tg,Roster!$AX$6,_xlfn.ANCHORARRAY(Roster!$AX$8)),2)),MIN(J$17,(_xlpm.s+_xlpm.f)*_xlpm.sc)))</f>
        <v/>
      </c>
      <c r="K29" s="86" t="str" cm="1">
        <f t="array" ref="K29">IF(OR($B29="",K$16=""),"",_xlfn.LET(_xlpm.fac,Roster!$C$5,_xlpm.ph,Roster!$C$6,_xlpm.sc,INDEX(_xlfn.ANCHORARRAY(Roster!$AP$6),$A29,4),_xlpm.tg,_xlfn.CHOOSECOLS(_xlfn.CHOOSEROWS(_xlfn.ANCHORARRAY(Roster!$AE$6),K$15),4,5,6,7,8,9,3),_xlpm.s,IF(_xlpm.ph="Fighting",0,INDEX(UNITVS(_xlpm.fac,$B29,"Shooting",_xlpm.tg,Roster!$AX$5,_xlfn.ANCHORARRAY(Roster!$AX$7)),2)),_xlpm.f,IF(_xlpm.ph="Shooting",0,INDEX(UNITVS(_xlpm.fac,$B29,"Fighting",_xlpm.tg,Roster!$AX$6,_xlfn.ANCHORARRAY(Roster!$AX$8)),2)),MIN(K$17,(_xlpm.s+_xlpm.f)*_xlpm.sc)))</f>
        <v/>
      </c>
      <c r="L29" s="86" t="str" cm="1">
        <f t="array" ref="L29">IF(OR($B29="",L$16=""),"",_xlfn.LET(_xlpm.fac,Roster!$C$5,_xlpm.ph,Roster!$C$6,_xlpm.sc,INDEX(_xlfn.ANCHORARRAY(Roster!$AP$6),$A29,4),_xlpm.tg,_xlfn.CHOOSECOLS(_xlfn.CHOOSEROWS(_xlfn.ANCHORARRAY(Roster!$AE$6),L$15),4,5,6,7,8,9,3),_xlpm.s,IF(_xlpm.ph="Fighting",0,INDEX(UNITVS(_xlpm.fac,$B29,"Shooting",_xlpm.tg,Roster!$AX$5,_xlfn.ANCHORARRAY(Roster!$AX$7)),2)),_xlpm.f,IF(_xlpm.ph="Shooting",0,INDEX(UNITVS(_xlpm.fac,$B29,"Fighting",_xlpm.tg,Roster!$AX$6,_xlfn.ANCHORARRAY(Roster!$AX$8)),2)),MIN(L$17,(_xlpm.s+_xlpm.f)*_xlpm.sc)))</f>
        <v/>
      </c>
      <c r="M29" s="86" t="str" cm="1">
        <f t="array" ref="M29">IF(OR($B29="",M$16=""),"",_xlfn.LET(_xlpm.fac,Roster!$C$5,_xlpm.ph,Roster!$C$6,_xlpm.sc,INDEX(_xlfn.ANCHORARRAY(Roster!$AP$6),$A29,4),_xlpm.tg,_xlfn.CHOOSECOLS(_xlfn.CHOOSEROWS(_xlfn.ANCHORARRAY(Roster!$AE$6),M$15),4,5,6,7,8,9,3),_xlpm.s,IF(_xlpm.ph="Fighting",0,INDEX(UNITVS(_xlpm.fac,$B29,"Shooting",_xlpm.tg,Roster!$AX$5,_xlfn.ANCHORARRAY(Roster!$AX$7)),2)),_xlpm.f,IF(_xlpm.ph="Shooting",0,INDEX(UNITVS(_xlpm.fac,$B29,"Fighting",_xlpm.tg,Roster!$AX$6,_xlfn.ANCHORARRAY(Roster!$AX$8)),2)),MIN(M$17,(_xlpm.s+_xlpm.f)*_xlpm.sc)))</f>
        <v/>
      </c>
      <c r="N29" s="86" t="str" cm="1">
        <f t="array" ref="N29">IF(OR($B29="",N$16=""),"",_xlfn.LET(_xlpm.fac,Roster!$C$5,_xlpm.ph,Roster!$C$6,_xlpm.sc,INDEX(_xlfn.ANCHORARRAY(Roster!$AP$6),$A29,4),_xlpm.tg,_xlfn.CHOOSECOLS(_xlfn.CHOOSEROWS(_xlfn.ANCHORARRAY(Roster!$AE$6),N$15),4,5,6,7,8,9,3),_xlpm.s,IF(_xlpm.ph="Fighting",0,INDEX(UNITVS(_xlpm.fac,$B29,"Shooting",_xlpm.tg,Roster!$AX$5,_xlfn.ANCHORARRAY(Roster!$AX$7)),2)),_xlpm.f,IF(_xlpm.ph="Shooting",0,INDEX(UNITVS(_xlpm.fac,$B29,"Fighting",_xlpm.tg,Roster!$AX$6,_xlfn.ANCHORARRAY(Roster!$AX$8)),2)),MIN(N$17,(_xlpm.s+_xlpm.f)*_xlpm.sc)))</f>
        <v/>
      </c>
      <c r="O29" s="86" t="str" cm="1">
        <f t="array" ref="O29">IF(OR($B29="",O$16=""),"",_xlfn.LET(_xlpm.fac,Roster!$C$5,_xlpm.ph,Roster!$C$6,_xlpm.sc,INDEX(_xlfn.ANCHORARRAY(Roster!$AP$6),$A29,4),_xlpm.tg,_xlfn.CHOOSECOLS(_xlfn.CHOOSEROWS(_xlfn.ANCHORARRAY(Roster!$AE$6),O$15),4,5,6,7,8,9,3),_xlpm.s,IF(_xlpm.ph="Fighting",0,INDEX(UNITVS(_xlpm.fac,$B29,"Shooting",_xlpm.tg,Roster!$AX$5,_xlfn.ANCHORARRAY(Roster!$AX$7)),2)),_xlpm.f,IF(_xlpm.ph="Shooting",0,INDEX(UNITVS(_xlpm.fac,$B29,"Fighting",_xlpm.tg,Roster!$AX$6,_xlfn.ANCHORARRAY(Roster!$AX$8)),2)),MIN(O$17,(_xlpm.s+_xlpm.f)*_xlpm.sc)))</f>
        <v/>
      </c>
      <c r="P29" s="86" t="str" cm="1">
        <f t="array" ref="P29">IF(OR($B29="",P$16=""),"",_xlfn.LET(_xlpm.fac,Roster!$C$5,_xlpm.ph,Roster!$C$6,_xlpm.sc,INDEX(_xlfn.ANCHORARRAY(Roster!$AP$6),$A29,4),_xlpm.tg,_xlfn.CHOOSECOLS(_xlfn.CHOOSEROWS(_xlfn.ANCHORARRAY(Roster!$AE$6),P$15),4,5,6,7,8,9,3),_xlpm.s,IF(_xlpm.ph="Fighting",0,INDEX(UNITVS(_xlpm.fac,$B29,"Shooting",_xlpm.tg,Roster!$AX$5,_xlfn.ANCHORARRAY(Roster!$AX$7)),2)),_xlpm.f,IF(_xlpm.ph="Shooting",0,INDEX(UNITVS(_xlpm.fac,$B29,"Fighting",_xlpm.tg,Roster!$AX$6,_xlfn.ANCHORARRAY(Roster!$AX$8)),2)),MIN(P$17,(_xlpm.s+_xlpm.f)*_xlpm.sc)))</f>
        <v/>
      </c>
      <c r="Q29" s="86" t="str" cm="1">
        <f t="array" ref="Q29">IF(OR($B29="",Q$16=""),"",_xlfn.LET(_xlpm.fac,Roster!$C$5,_xlpm.ph,Roster!$C$6,_xlpm.sc,INDEX(_xlfn.ANCHORARRAY(Roster!$AP$6),$A29,4),_xlpm.tg,_xlfn.CHOOSECOLS(_xlfn.CHOOSEROWS(_xlfn.ANCHORARRAY(Roster!$AE$6),Q$15),4,5,6,7,8,9,3),_xlpm.s,IF(_xlpm.ph="Fighting",0,INDEX(UNITVS(_xlpm.fac,$B29,"Shooting",_xlpm.tg,Roster!$AX$5,_xlfn.ANCHORARRAY(Roster!$AX$7)),2)),_xlpm.f,IF(_xlpm.ph="Shooting",0,INDEX(UNITVS(_xlpm.fac,$B29,"Fighting",_xlpm.tg,Roster!$AX$6,_xlfn.ANCHORARRAY(Roster!$AX$8)),2)),MIN(Q$17,(_xlpm.s+_xlpm.f)*_xlpm.sc)))</f>
        <v/>
      </c>
      <c r="R29" s="86" t="str" cm="1">
        <f t="array" ref="R29">IF(OR($B29="",R$16=""),"",_xlfn.LET(_xlpm.fac,Roster!$C$5,_xlpm.ph,Roster!$C$6,_xlpm.sc,INDEX(_xlfn.ANCHORARRAY(Roster!$AP$6),$A29,4),_xlpm.tg,_xlfn.CHOOSECOLS(_xlfn.CHOOSEROWS(_xlfn.ANCHORARRAY(Roster!$AE$6),R$15),4,5,6,7,8,9,3),_xlpm.s,IF(_xlpm.ph="Fighting",0,INDEX(UNITVS(_xlpm.fac,$B29,"Shooting",_xlpm.tg,Roster!$AX$5,_xlfn.ANCHORARRAY(Roster!$AX$7)),2)),_xlpm.f,IF(_xlpm.ph="Shooting",0,INDEX(UNITVS(_xlpm.fac,$B29,"Fighting",_xlpm.tg,Roster!$AX$6,_xlfn.ANCHORARRAY(Roster!$AX$8)),2)),MIN(R$17,(_xlpm.s+_xlpm.f)*_xlpm.sc)))</f>
        <v/>
      </c>
      <c r="S29" s="6"/>
      <c r="T29" s="6"/>
    </row>
    <row r="30" spans="1:20" x14ac:dyDescent="0.25">
      <c r="A30" s="82">
        <v>12</v>
      </c>
      <c r="B30" t="str" cm="1">
        <f t="array" ref="B30">IFERROR(INDEX(_xlfn.ANCHORARRAY(Roster!$AP$6),$A30,1),"")</f>
        <v/>
      </c>
      <c r="C30" s="6" t="str" cm="1">
        <f t="array" ref="C30">IF($B30="","",INDEX(_xlfn.ANCHORARRAY(Roster!$AP$6),$A30,2))</f>
        <v/>
      </c>
      <c r="D30" s="86" t="str" cm="1">
        <f t="array" ref="D30">IF(OR($B30="",D$16=""),"",_xlfn.LET(_xlpm.fac,Roster!$C$5,_xlpm.ph,Roster!$C$6,_xlpm.sc,INDEX(_xlfn.ANCHORARRAY(Roster!$AP$6),$A30,4),_xlpm.tg,_xlfn.CHOOSECOLS(_xlfn.CHOOSEROWS(_xlfn.ANCHORARRAY(Roster!$AE$6),D$15),4,5,6,7,8,9,3),_xlpm.s,IF(_xlpm.ph="Fighting",0,INDEX(UNITVS(_xlpm.fac,$B30,"Shooting",_xlpm.tg,Roster!$AX$5,_xlfn.ANCHORARRAY(Roster!$AX$7)),2)),_xlpm.f,IF(_xlpm.ph="Shooting",0,INDEX(UNITVS(_xlpm.fac,$B30,"Fighting",_xlpm.tg,Roster!$AX$6,_xlfn.ANCHORARRAY(Roster!$AX$8)),2)),MIN(D$17,(_xlpm.s+_xlpm.f)*_xlpm.sc)))</f>
        <v/>
      </c>
      <c r="E30" s="86" t="str" cm="1">
        <f t="array" ref="E30">IF(OR($B30="",E$16=""),"",_xlfn.LET(_xlpm.fac,Roster!$C$5,_xlpm.ph,Roster!$C$6,_xlpm.sc,INDEX(_xlfn.ANCHORARRAY(Roster!$AP$6),$A30,4),_xlpm.tg,_xlfn.CHOOSECOLS(_xlfn.CHOOSEROWS(_xlfn.ANCHORARRAY(Roster!$AE$6),E$15),4,5,6,7,8,9,3),_xlpm.s,IF(_xlpm.ph="Fighting",0,INDEX(UNITVS(_xlpm.fac,$B30,"Shooting",_xlpm.tg,Roster!$AX$5,_xlfn.ANCHORARRAY(Roster!$AX$7)),2)),_xlpm.f,IF(_xlpm.ph="Shooting",0,INDEX(UNITVS(_xlpm.fac,$B30,"Fighting",_xlpm.tg,Roster!$AX$6,_xlfn.ANCHORARRAY(Roster!$AX$8)),2)),MIN(E$17,(_xlpm.s+_xlpm.f)*_xlpm.sc)))</f>
        <v/>
      </c>
      <c r="F30" s="86" t="str" cm="1">
        <f t="array" ref="F30">IF(OR($B30="",F$16=""),"",_xlfn.LET(_xlpm.fac,Roster!$C$5,_xlpm.ph,Roster!$C$6,_xlpm.sc,INDEX(_xlfn.ANCHORARRAY(Roster!$AP$6),$A30,4),_xlpm.tg,_xlfn.CHOOSECOLS(_xlfn.CHOOSEROWS(_xlfn.ANCHORARRAY(Roster!$AE$6),F$15),4,5,6,7,8,9,3),_xlpm.s,IF(_xlpm.ph="Fighting",0,INDEX(UNITVS(_xlpm.fac,$B30,"Shooting",_xlpm.tg,Roster!$AX$5,_xlfn.ANCHORARRAY(Roster!$AX$7)),2)),_xlpm.f,IF(_xlpm.ph="Shooting",0,INDEX(UNITVS(_xlpm.fac,$B30,"Fighting",_xlpm.tg,Roster!$AX$6,_xlfn.ANCHORARRAY(Roster!$AX$8)),2)),MIN(F$17,(_xlpm.s+_xlpm.f)*_xlpm.sc)))</f>
        <v/>
      </c>
      <c r="G30" s="86" t="str" cm="1">
        <f t="array" ref="G30">IF(OR($B30="",G$16=""),"",_xlfn.LET(_xlpm.fac,Roster!$C$5,_xlpm.ph,Roster!$C$6,_xlpm.sc,INDEX(_xlfn.ANCHORARRAY(Roster!$AP$6),$A30,4),_xlpm.tg,_xlfn.CHOOSECOLS(_xlfn.CHOOSEROWS(_xlfn.ANCHORARRAY(Roster!$AE$6),G$15),4,5,6,7,8,9,3),_xlpm.s,IF(_xlpm.ph="Fighting",0,INDEX(UNITVS(_xlpm.fac,$B30,"Shooting",_xlpm.tg,Roster!$AX$5,_xlfn.ANCHORARRAY(Roster!$AX$7)),2)),_xlpm.f,IF(_xlpm.ph="Shooting",0,INDEX(UNITVS(_xlpm.fac,$B30,"Fighting",_xlpm.tg,Roster!$AX$6,_xlfn.ANCHORARRAY(Roster!$AX$8)),2)),MIN(G$17,(_xlpm.s+_xlpm.f)*_xlpm.sc)))</f>
        <v/>
      </c>
      <c r="H30" s="86" t="str" cm="1">
        <f t="array" ref="H30">IF(OR($B30="",H$16=""),"",_xlfn.LET(_xlpm.fac,Roster!$C$5,_xlpm.ph,Roster!$C$6,_xlpm.sc,INDEX(_xlfn.ANCHORARRAY(Roster!$AP$6),$A30,4),_xlpm.tg,_xlfn.CHOOSECOLS(_xlfn.CHOOSEROWS(_xlfn.ANCHORARRAY(Roster!$AE$6),H$15),4,5,6,7,8,9,3),_xlpm.s,IF(_xlpm.ph="Fighting",0,INDEX(UNITVS(_xlpm.fac,$B30,"Shooting",_xlpm.tg,Roster!$AX$5,_xlfn.ANCHORARRAY(Roster!$AX$7)),2)),_xlpm.f,IF(_xlpm.ph="Shooting",0,INDEX(UNITVS(_xlpm.fac,$B30,"Fighting",_xlpm.tg,Roster!$AX$6,_xlfn.ANCHORARRAY(Roster!$AX$8)),2)),MIN(H$17,(_xlpm.s+_xlpm.f)*_xlpm.sc)))</f>
        <v/>
      </c>
      <c r="I30" s="86" t="str" cm="1">
        <f t="array" ref="I30">IF(OR($B30="",I$16=""),"",_xlfn.LET(_xlpm.fac,Roster!$C$5,_xlpm.ph,Roster!$C$6,_xlpm.sc,INDEX(_xlfn.ANCHORARRAY(Roster!$AP$6),$A30,4),_xlpm.tg,_xlfn.CHOOSECOLS(_xlfn.CHOOSEROWS(_xlfn.ANCHORARRAY(Roster!$AE$6),I$15),4,5,6,7,8,9,3),_xlpm.s,IF(_xlpm.ph="Fighting",0,INDEX(UNITVS(_xlpm.fac,$B30,"Shooting",_xlpm.tg,Roster!$AX$5,_xlfn.ANCHORARRAY(Roster!$AX$7)),2)),_xlpm.f,IF(_xlpm.ph="Shooting",0,INDEX(UNITVS(_xlpm.fac,$B30,"Fighting",_xlpm.tg,Roster!$AX$6,_xlfn.ANCHORARRAY(Roster!$AX$8)),2)),MIN(I$17,(_xlpm.s+_xlpm.f)*_xlpm.sc)))</f>
        <v/>
      </c>
      <c r="J30" s="86" t="str" cm="1">
        <f t="array" ref="J30">IF(OR($B30="",J$16=""),"",_xlfn.LET(_xlpm.fac,Roster!$C$5,_xlpm.ph,Roster!$C$6,_xlpm.sc,INDEX(_xlfn.ANCHORARRAY(Roster!$AP$6),$A30,4),_xlpm.tg,_xlfn.CHOOSECOLS(_xlfn.CHOOSEROWS(_xlfn.ANCHORARRAY(Roster!$AE$6),J$15),4,5,6,7,8,9,3),_xlpm.s,IF(_xlpm.ph="Fighting",0,INDEX(UNITVS(_xlpm.fac,$B30,"Shooting",_xlpm.tg,Roster!$AX$5,_xlfn.ANCHORARRAY(Roster!$AX$7)),2)),_xlpm.f,IF(_xlpm.ph="Shooting",0,INDEX(UNITVS(_xlpm.fac,$B30,"Fighting",_xlpm.tg,Roster!$AX$6,_xlfn.ANCHORARRAY(Roster!$AX$8)),2)),MIN(J$17,(_xlpm.s+_xlpm.f)*_xlpm.sc)))</f>
        <v/>
      </c>
      <c r="K30" s="86" t="str" cm="1">
        <f t="array" ref="K30">IF(OR($B30="",K$16=""),"",_xlfn.LET(_xlpm.fac,Roster!$C$5,_xlpm.ph,Roster!$C$6,_xlpm.sc,INDEX(_xlfn.ANCHORARRAY(Roster!$AP$6),$A30,4),_xlpm.tg,_xlfn.CHOOSECOLS(_xlfn.CHOOSEROWS(_xlfn.ANCHORARRAY(Roster!$AE$6),K$15),4,5,6,7,8,9,3),_xlpm.s,IF(_xlpm.ph="Fighting",0,INDEX(UNITVS(_xlpm.fac,$B30,"Shooting",_xlpm.tg,Roster!$AX$5,_xlfn.ANCHORARRAY(Roster!$AX$7)),2)),_xlpm.f,IF(_xlpm.ph="Shooting",0,INDEX(UNITVS(_xlpm.fac,$B30,"Fighting",_xlpm.tg,Roster!$AX$6,_xlfn.ANCHORARRAY(Roster!$AX$8)),2)),MIN(K$17,(_xlpm.s+_xlpm.f)*_xlpm.sc)))</f>
        <v/>
      </c>
      <c r="L30" s="86" t="str" cm="1">
        <f t="array" ref="L30">IF(OR($B30="",L$16=""),"",_xlfn.LET(_xlpm.fac,Roster!$C$5,_xlpm.ph,Roster!$C$6,_xlpm.sc,INDEX(_xlfn.ANCHORARRAY(Roster!$AP$6),$A30,4),_xlpm.tg,_xlfn.CHOOSECOLS(_xlfn.CHOOSEROWS(_xlfn.ANCHORARRAY(Roster!$AE$6),L$15),4,5,6,7,8,9,3),_xlpm.s,IF(_xlpm.ph="Fighting",0,INDEX(UNITVS(_xlpm.fac,$B30,"Shooting",_xlpm.tg,Roster!$AX$5,_xlfn.ANCHORARRAY(Roster!$AX$7)),2)),_xlpm.f,IF(_xlpm.ph="Shooting",0,INDEX(UNITVS(_xlpm.fac,$B30,"Fighting",_xlpm.tg,Roster!$AX$6,_xlfn.ANCHORARRAY(Roster!$AX$8)),2)),MIN(L$17,(_xlpm.s+_xlpm.f)*_xlpm.sc)))</f>
        <v/>
      </c>
      <c r="M30" s="86" t="str" cm="1">
        <f t="array" ref="M30">IF(OR($B30="",M$16=""),"",_xlfn.LET(_xlpm.fac,Roster!$C$5,_xlpm.ph,Roster!$C$6,_xlpm.sc,INDEX(_xlfn.ANCHORARRAY(Roster!$AP$6),$A30,4),_xlpm.tg,_xlfn.CHOOSECOLS(_xlfn.CHOOSEROWS(_xlfn.ANCHORARRAY(Roster!$AE$6),M$15),4,5,6,7,8,9,3),_xlpm.s,IF(_xlpm.ph="Fighting",0,INDEX(UNITVS(_xlpm.fac,$B30,"Shooting",_xlpm.tg,Roster!$AX$5,_xlfn.ANCHORARRAY(Roster!$AX$7)),2)),_xlpm.f,IF(_xlpm.ph="Shooting",0,INDEX(UNITVS(_xlpm.fac,$B30,"Fighting",_xlpm.tg,Roster!$AX$6,_xlfn.ANCHORARRAY(Roster!$AX$8)),2)),MIN(M$17,(_xlpm.s+_xlpm.f)*_xlpm.sc)))</f>
        <v/>
      </c>
      <c r="N30" s="86" t="str" cm="1">
        <f t="array" ref="N30">IF(OR($B30="",N$16=""),"",_xlfn.LET(_xlpm.fac,Roster!$C$5,_xlpm.ph,Roster!$C$6,_xlpm.sc,INDEX(_xlfn.ANCHORARRAY(Roster!$AP$6),$A30,4),_xlpm.tg,_xlfn.CHOOSECOLS(_xlfn.CHOOSEROWS(_xlfn.ANCHORARRAY(Roster!$AE$6),N$15),4,5,6,7,8,9,3),_xlpm.s,IF(_xlpm.ph="Fighting",0,INDEX(UNITVS(_xlpm.fac,$B30,"Shooting",_xlpm.tg,Roster!$AX$5,_xlfn.ANCHORARRAY(Roster!$AX$7)),2)),_xlpm.f,IF(_xlpm.ph="Shooting",0,INDEX(UNITVS(_xlpm.fac,$B30,"Fighting",_xlpm.tg,Roster!$AX$6,_xlfn.ANCHORARRAY(Roster!$AX$8)),2)),MIN(N$17,(_xlpm.s+_xlpm.f)*_xlpm.sc)))</f>
        <v/>
      </c>
      <c r="O30" s="86" t="str" cm="1">
        <f t="array" ref="O30">IF(OR($B30="",O$16=""),"",_xlfn.LET(_xlpm.fac,Roster!$C$5,_xlpm.ph,Roster!$C$6,_xlpm.sc,INDEX(_xlfn.ANCHORARRAY(Roster!$AP$6),$A30,4),_xlpm.tg,_xlfn.CHOOSECOLS(_xlfn.CHOOSEROWS(_xlfn.ANCHORARRAY(Roster!$AE$6),O$15),4,5,6,7,8,9,3),_xlpm.s,IF(_xlpm.ph="Fighting",0,INDEX(UNITVS(_xlpm.fac,$B30,"Shooting",_xlpm.tg,Roster!$AX$5,_xlfn.ANCHORARRAY(Roster!$AX$7)),2)),_xlpm.f,IF(_xlpm.ph="Shooting",0,INDEX(UNITVS(_xlpm.fac,$B30,"Fighting",_xlpm.tg,Roster!$AX$6,_xlfn.ANCHORARRAY(Roster!$AX$8)),2)),MIN(O$17,(_xlpm.s+_xlpm.f)*_xlpm.sc)))</f>
        <v/>
      </c>
      <c r="P30" s="86" t="str" cm="1">
        <f t="array" ref="P30">IF(OR($B30="",P$16=""),"",_xlfn.LET(_xlpm.fac,Roster!$C$5,_xlpm.ph,Roster!$C$6,_xlpm.sc,INDEX(_xlfn.ANCHORARRAY(Roster!$AP$6),$A30,4),_xlpm.tg,_xlfn.CHOOSECOLS(_xlfn.CHOOSEROWS(_xlfn.ANCHORARRAY(Roster!$AE$6),P$15),4,5,6,7,8,9,3),_xlpm.s,IF(_xlpm.ph="Fighting",0,INDEX(UNITVS(_xlpm.fac,$B30,"Shooting",_xlpm.tg,Roster!$AX$5,_xlfn.ANCHORARRAY(Roster!$AX$7)),2)),_xlpm.f,IF(_xlpm.ph="Shooting",0,INDEX(UNITVS(_xlpm.fac,$B30,"Fighting",_xlpm.tg,Roster!$AX$6,_xlfn.ANCHORARRAY(Roster!$AX$8)),2)),MIN(P$17,(_xlpm.s+_xlpm.f)*_xlpm.sc)))</f>
        <v/>
      </c>
      <c r="Q30" s="86" t="str" cm="1">
        <f t="array" ref="Q30">IF(OR($B30="",Q$16=""),"",_xlfn.LET(_xlpm.fac,Roster!$C$5,_xlpm.ph,Roster!$C$6,_xlpm.sc,INDEX(_xlfn.ANCHORARRAY(Roster!$AP$6),$A30,4),_xlpm.tg,_xlfn.CHOOSECOLS(_xlfn.CHOOSEROWS(_xlfn.ANCHORARRAY(Roster!$AE$6),Q$15),4,5,6,7,8,9,3),_xlpm.s,IF(_xlpm.ph="Fighting",0,INDEX(UNITVS(_xlpm.fac,$B30,"Shooting",_xlpm.tg,Roster!$AX$5,_xlfn.ANCHORARRAY(Roster!$AX$7)),2)),_xlpm.f,IF(_xlpm.ph="Shooting",0,INDEX(UNITVS(_xlpm.fac,$B30,"Fighting",_xlpm.tg,Roster!$AX$6,_xlfn.ANCHORARRAY(Roster!$AX$8)),2)),MIN(Q$17,(_xlpm.s+_xlpm.f)*_xlpm.sc)))</f>
        <v/>
      </c>
      <c r="R30" s="86" t="str" cm="1">
        <f t="array" ref="R30">IF(OR($B30="",R$16=""),"",_xlfn.LET(_xlpm.fac,Roster!$C$5,_xlpm.ph,Roster!$C$6,_xlpm.sc,INDEX(_xlfn.ANCHORARRAY(Roster!$AP$6),$A30,4),_xlpm.tg,_xlfn.CHOOSECOLS(_xlfn.CHOOSEROWS(_xlfn.ANCHORARRAY(Roster!$AE$6),R$15),4,5,6,7,8,9,3),_xlpm.s,IF(_xlpm.ph="Fighting",0,INDEX(UNITVS(_xlpm.fac,$B30,"Shooting",_xlpm.tg,Roster!$AX$5,_xlfn.ANCHORARRAY(Roster!$AX$7)),2)),_xlpm.f,IF(_xlpm.ph="Shooting",0,INDEX(UNITVS(_xlpm.fac,$B30,"Fighting",_xlpm.tg,Roster!$AX$6,_xlfn.ANCHORARRAY(Roster!$AX$8)),2)),MIN(R$17,(_xlpm.s+_xlpm.f)*_xlpm.sc)))</f>
        <v/>
      </c>
      <c r="S30" s="6"/>
      <c r="T30" s="6"/>
    </row>
    <row r="31" spans="1:20" x14ac:dyDescent="0.25">
      <c r="A31" s="82">
        <v>13</v>
      </c>
      <c r="B31" t="str" cm="1">
        <f t="array" ref="B31">IFERROR(INDEX(_xlfn.ANCHORARRAY(Roster!$AP$6),$A31,1),"")</f>
        <v/>
      </c>
      <c r="C31" s="6" t="str" cm="1">
        <f t="array" ref="C31">IF($B31="","",INDEX(_xlfn.ANCHORARRAY(Roster!$AP$6),$A31,2))</f>
        <v/>
      </c>
      <c r="D31" s="86" t="str" cm="1">
        <f t="array" ref="D31">IF(OR($B31="",D$16=""),"",_xlfn.LET(_xlpm.fac,Roster!$C$5,_xlpm.ph,Roster!$C$6,_xlpm.sc,INDEX(_xlfn.ANCHORARRAY(Roster!$AP$6),$A31,4),_xlpm.tg,_xlfn.CHOOSECOLS(_xlfn.CHOOSEROWS(_xlfn.ANCHORARRAY(Roster!$AE$6),D$15),4,5,6,7,8,9,3),_xlpm.s,IF(_xlpm.ph="Fighting",0,INDEX(UNITVS(_xlpm.fac,$B31,"Shooting",_xlpm.tg,Roster!$AX$5,_xlfn.ANCHORARRAY(Roster!$AX$7)),2)),_xlpm.f,IF(_xlpm.ph="Shooting",0,INDEX(UNITVS(_xlpm.fac,$B31,"Fighting",_xlpm.tg,Roster!$AX$6,_xlfn.ANCHORARRAY(Roster!$AX$8)),2)),MIN(D$17,(_xlpm.s+_xlpm.f)*_xlpm.sc)))</f>
        <v/>
      </c>
      <c r="E31" s="86" t="str" cm="1">
        <f t="array" ref="E31">IF(OR($B31="",E$16=""),"",_xlfn.LET(_xlpm.fac,Roster!$C$5,_xlpm.ph,Roster!$C$6,_xlpm.sc,INDEX(_xlfn.ANCHORARRAY(Roster!$AP$6),$A31,4),_xlpm.tg,_xlfn.CHOOSECOLS(_xlfn.CHOOSEROWS(_xlfn.ANCHORARRAY(Roster!$AE$6),E$15),4,5,6,7,8,9,3),_xlpm.s,IF(_xlpm.ph="Fighting",0,INDEX(UNITVS(_xlpm.fac,$B31,"Shooting",_xlpm.tg,Roster!$AX$5,_xlfn.ANCHORARRAY(Roster!$AX$7)),2)),_xlpm.f,IF(_xlpm.ph="Shooting",0,INDEX(UNITVS(_xlpm.fac,$B31,"Fighting",_xlpm.tg,Roster!$AX$6,_xlfn.ANCHORARRAY(Roster!$AX$8)),2)),MIN(E$17,(_xlpm.s+_xlpm.f)*_xlpm.sc)))</f>
        <v/>
      </c>
      <c r="F31" s="86" t="str" cm="1">
        <f t="array" ref="F31">IF(OR($B31="",F$16=""),"",_xlfn.LET(_xlpm.fac,Roster!$C$5,_xlpm.ph,Roster!$C$6,_xlpm.sc,INDEX(_xlfn.ANCHORARRAY(Roster!$AP$6),$A31,4),_xlpm.tg,_xlfn.CHOOSECOLS(_xlfn.CHOOSEROWS(_xlfn.ANCHORARRAY(Roster!$AE$6),F$15),4,5,6,7,8,9,3),_xlpm.s,IF(_xlpm.ph="Fighting",0,INDEX(UNITVS(_xlpm.fac,$B31,"Shooting",_xlpm.tg,Roster!$AX$5,_xlfn.ANCHORARRAY(Roster!$AX$7)),2)),_xlpm.f,IF(_xlpm.ph="Shooting",0,INDEX(UNITVS(_xlpm.fac,$B31,"Fighting",_xlpm.tg,Roster!$AX$6,_xlfn.ANCHORARRAY(Roster!$AX$8)),2)),MIN(F$17,(_xlpm.s+_xlpm.f)*_xlpm.sc)))</f>
        <v/>
      </c>
      <c r="G31" s="86" t="str" cm="1">
        <f t="array" ref="G31">IF(OR($B31="",G$16=""),"",_xlfn.LET(_xlpm.fac,Roster!$C$5,_xlpm.ph,Roster!$C$6,_xlpm.sc,INDEX(_xlfn.ANCHORARRAY(Roster!$AP$6),$A31,4),_xlpm.tg,_xlfn.CHOOSECOLS(_xlfn.CHOOSEROWS(_xlfn.ANCHORARRAY(Roster!$AE$6),G$15),4,5,6,7,8,9,3),_xlpm.s,IF(_xlpm.ph="Fighting",0,INDEX(UNITVS(_xlpm.fac,$B31,"Shooting",_xlpm.tg,Roster!$AX$5,_xlfn.ANCHORARRAY(Roster!$AX$7)),2)),_xlpm.f,IF(_xlpm.ph="Shooting",0,INDEX(UNITVS(_xlpm.fac,$B31,"Fighting",_xlpm.tg,Roster!$AX$6,_xlfn.ANCHORARRAY(Roster!$AX$8)),2)),MIN(G$17,(_xlpm.s+_xlpm.f)*_xlpm.sc)))</f>
        <v/>
      </c>
      <c r="H31" s="86" t="str" cm="1">
        <f t="array" ref="H31">IF(OR($B31="",H$16=""),"",_xlfn.LET(_xlpm.fac,Roster!$C$5,_xlpm.ph,Roster!$C$6,_xlpm.sc,INDEX(_xlfn.ANCHORARRAY(Roster!$AP$6),$A31,4),_xlpm.tg,_xlfn.CHOOSECOLS(_xlfn.CHOOSEROWS(_xlfn.ANCHORARRAY(Roster!$AE$6),H$15),4,5,6,7,8,9,3),_xlpm.s,IF(_xlpm.ph="Fighting",0,INDEX(UNITVS(_xlpm.fac,$B31,"Shooting",_xlpm.tg,Roster!$AX$5,_xlfn.ANCHORARRAY(Roster!$AX$7)),2)),_xlpm.f,IF(_xlpm.ph="Shooting",0,INDEX(UNITVS(_xlpm.fac,$B31,"Fighting",_xlpm.tg,Roster!$AX$6,_xlfn.ANCHORARRAY(Roster!$AX$8)),2)),MIN(H$17,(_xlpm.s+_xlpm.f)*_xlpm.sc)))</f>
        <v/>
      </c>
      <c r="I31" s="86" t="str" cm="1">
        <f t="array" ref="I31">IF(OR($B31="",I$16=""),"",_xlfn.LET(_xlpm.fac,Roster!$C$5,_xlpm.ph,Roster!$C$6,_xlpm.sc,INDEX(_xlfn.ANCHORARRAY(Roster!$AP$6),$A31,4),_xlpm.tg,_xlfn.CHOOSECOLS(_xlfn.CHOOSEROWS(_xlfn.ANCHORARRAY(Roster!$AE$6),I$15),4,5,6,7,8,9,3),_xlpm.s,IF(_xlpm.ph="Fighting",0,INDEX(UNITVS(_xlpm.fac,$B31,"Shooting",_xlpm.tg,Roster!$AX$5,_xlfn.ANCHORARRAY(Roster!$AX$7)),2)),_xlpm.f,IF(_xlpm.ph="Shooting",0,INDEX(UNITVS(_xlpm.fac,$B31,"Fighting",_xlpm.tg,Roster!$AX$6,_xlfn.ANCHORARRAY(Roster!$AX$8)),2)),MIN(I$17,(_xlpm.s+_xlpm.f)*_xlpm.sc)))</f>
        <v/>
      </c>
      <c r="J31" s="86" t="str" cm="1">
        <f t="array" ref="J31">IF(OR($B31="",J$16=""),"",_xlfn.LET(_xlpm.fac,Roster!$C$5,_xlpm.ph,Roster!$C$6,_xlpm.sc,INDEX(_xlfn.ANCHORARRAY(Roster!$AP$6),$A31,4),_xlpm.tg,_xlfn.CHOOSECOLS(_xlfn.CHOOSEROWS(_xlfn.ANCHORARRAY(Roster!$AE$6),J$15),4,5,6,7,8,9,3),_xlpm.s,IF(_xlpm.ph="Fighting",0,INDEX(UNITVS(_xlpm.fac,$B31,"Shooting",_xlpm.tg,Roster!$AX$5,_xlfn.ANCHORARRAY(Roster!$AX$7)),2)),_xlpm.f,IF(_xlpm.ph="Shooting",0,INDEX(UNITVS(_xlpm.fac,$B31,"Fighting",_xlpm.tg,Roster!$AX$6,_xlfn.ANCHORARRAY(Roster!$AX$8)),2)),MIN(J$17,(_xlpm.s+_xlpm.f)*_xlpm.sc)))</f>
        <v/>
      </c>
      <c r="K31" s="86" t="str" cm="1">
        <f t="array" ref="K31">IF(OR($B31="",K$16=""),"",_xlfn.LET(_xlpm.fac,Roster!$C$5,_xlpm.ph,Roster!$C$6,_xlpm.sc,INDEX(_xlfn.ANCHORARRAY(Roster!$AP$6),$A31,4),_xlpm.tg,_xlfn.CHOOSECOLS(_xlfn.CHOOSEROWS(_xlfn.ANCHORARRAY(Roster!$AE$6),K$15),4,5,6,7,8,9,3),_xlpm.s,IF(_xlpm.ph="Fighting",0,INDEX(UNITVS(_xlpm.fac,$B31,"Shooting",_xlpm.tg,Roster!$AX$5,_xlfn.ANCHORARRAY(Roster!$AX$7)),2)),_xlpm.f,IF(_xlpm.ph="Shooting",0,INDEX(UNITVS(_xlpm.fac,$B31,"Fighting",_xlpm.tg,Roster!$AX$6,_xlfn.ANCHORARRAY(Roster!$AX$8)),2)),MIN(K$17,(_xlpm.s+_xlpm.f)*_xlpm.sc)))</f>
        <v/>
      </c>
      <c r="L31" s="86" t="str" cm="1">
        <f t="array" ref="L31">IF(OR($B31="",L$16=""),"",_xlfn.LET(_xlpm.fac,Roster!$C$5,_xlpm.ph,Roster!$C$6,_xlpm.sc,INDEX(_xlfn.ANCHORARRAY(Roster!$AP$6),$A31,4),_xlpm.tg,_xlfn.CHOOSECOLS(_xlfn.CHOOSEROWS(_xlfn.ANCHORARRAY(Roster!$AE$6),L$15),4,5,6,7,8,9,3),_xlpm.s,IF(_xlpm.ph="Fighting",0,INDEX(UNITVS(_xlpm.fac,$B31,"Shooting",_xlpm.tg,Roster!$AX$5,_xlfn.ANCHORARRAY(Roster!$AX$7)),2)),_xlpm.f,IF(_xlpm.ph="Shooting",0,INDEX(UNITVS(_xlpm.fac,$B31,"Fighting",_xlpm.tg,Roster!$AX$6,_xlfn.ANCHORARRAY(Roster!$AX$8)),2)),MIN(L$17,(_xlpm.s+_xlpm.f)*_xlpm.sc)))</f>
        <v/>
      </c>
      <c r="M31" s="86" t="str" cm="1">
        <f t="array" ref="M31">IF(OR($B31="",M$16=""),"",_xlfn.LET(_xlpm.fac,Roster!$C$5,_xlpm.ph,Roster!$C$6,_xlpm.sc,INDEX(_xlfn.ANCHORARRAY(Roster!$AP$6),$A31,4),_xlpm.tg,_xlfn.CHOOSECOLS(_xlfn.CHOOSEROWS(_xlfn.ANCHORARRAY(Roster!$AE$6),M$15),4,5,6,7,8,9,3),_xlpm.s,IF(_xlpm.ph="Fighting",0,INDEX(UNITVS(_xlpm.fac,$B31,"Shooting",_xlpm.tg,Roster!$AX$5,_xlfn.ANCHORARRAY(Roster!$AX$7)),2)),_xlpm.f,IF(_xlpm.ph="Shooting",0,INDEX(UNITVS(_xlpm.fac,$B31,"Fighting",_xlpm.tg,Roster!$AX$6,_xlfn.ANCHORARRAY(Roster!$AX$8)),2)),MIN(M$17,(_xlpm.s+_xlpm.f)*_xlpm.sc)))</f>
        <v/>
      </c>
      <c r="N31" s="86" t="str" cm="1">
        <f t="array" ref="N31">IF(OR($B31="",N$16=""),"",_xlfn.LET(_xlpm.fac,Roster!$C$5,_xlpm.ph,Roster!$C$6,_xlpm.sc,INDEX(_xlfn.ANCHORARRAY(Roster!$AP$6),$A31,4),_xlpm.tg,_xlfn.CHOOSECOLS(_xlfn.CHOOSEROWS(_xlfn.ANCHORARRAY(Roster!$AE$6),N$15),4,5,6,7,8,9,3),_xlpm.s,IF(_xlpm.ph="Fighting",0,INDEX(UNITVS(_xlpm.fac,$B31,"Shooting",_xlpm.tg,Roster!$AX$5,_xlfn.ANCHORARRAY(Roster!$AX$7)),2)),_xlpm.f,IF(_xlpm.ph="Shooting",0,INDEX(UNITVS(_xlpm.fac,$B31,"Fighting",_xlpm.tg,Roster!$AX$6,_xlfn.ANCHORARRAY(Roster!$AX$8)),2)),MIN(N$17,(_xlpm.s+_xlpm.f)*_xlpm.sc)))</f>
        <v/>
      </c>
      <c r="O31" s="86" t="str" cm="1">
        <f t="array" ref="O31">IF(OR($B31="",O$16=""),"",_xlfn.LET(_xlpm.fac,Roster!$C$5,_xlpm.ph,Roster!$C$6,_xlpm.sc,INDEX(_xlfn.ANCHORARRAY(Roster!$AP$6),$A31,4),_xlpm.tg,_xlfn.CHOOSECOLS(_xlfn.CHOOSEROWS(_xlfn.ANCHORARRAY(Roster!$AE$6),O$15),4,5,6,7,8,9,3),_xlpm.s,IF(_xlpm.ph="Fighting",0,INDEX(UNITVS(_xlpm.fac,$B31,"Shooting",_xlpm.tg,Roster!$AX$5,_xlfn.ANCHORARRAY(Roster!$AX$7)),2)),_xlpm.f,IF(_xlpm.ph="Shooting",0,INDEX(UNITVS(_xlpm.fac,$B31,"Fighting",_xlpm.tg,Roster!$AX$6,_xlfn.ANCHORARRAY(Roster!$AX$8)),2)),MIN(O$17,(_xlpm.s+_xlpm.f)*_xlpm.sc)))</f>
        <v/>
      </c>
      <c r="P31" s="86" t="str" cm="1">
        <f t="array" ref="P31">IF(OR($B31="",P$16=""),"",_xlfn.LET(_xlpm.fac,Roster!$C$5,_xlpm.ph,Roster!$C$6,_xlpm.sc,INDEX(_xlfn.ANCHORARRAY(Roster!$AP$6),$A31,4),_xlpm.tg,_xlfn.CHOOSECOLS(_xlfn.CHOOSEROWS(_xlfn.ANCHORARRAY(Roster!$AE$6),P$15),4,5,6,7,8,9,3),_xlpm.s,IF(_xlpm.ph="Fighting",0,INDEX(UNITVS(_xlpm.fac,$B31,"Shooting",_xlpm.tg,Roster!$AX$5,_xlfn.ANCHORARRAY(Roster!$AX$7)),2)),_xlpm.f,IF(_xlpm.ph="Shooting",0,INDEX(UNITVS(_xlpm.fac,$B31,"Fighting",_xlpm.tg,Roster!$AX$6,_xlfn.ANCHORARRAY(Roster!$AX$8)),2)),MIN(P$17,(_xlpm.s+_xlpm.f)*_xlpm.sc)))</f>
        <v/>
      </c>
      <c r="Q31" s="86" t="str" cm="1">
        <f t="array" ref="Q31">IF(OR($B31="",Q$16=""),"",_xlfn.LET(_xlpm.fac,Roster!$C$5,_xlpm.ph,Roster!$C$6,_xlpm.sc,INDEX(_xlfn.ANCHORARRAY(Roster!$AP$6),$A31,4),_xlpm.tg,_xlfn.CHOOSECOLS(_xlfn.CHOOSEROWS(_xlfn.ANCHORARRAY(Roster!$AE$6),Q$15),4,5,6,7,8,9,3),_xlpm.s,IF(_xlpm.ph="Fighting",0,INDEX(UNITVS(_xlpm.fac,$B31,"Shooting",_xlpm.tg,Roster!$AX$5,_xlfn.ANCHORARRAY(Roster!$AX$7)),2)),_xlpm.f,IF(_xlpm.ph="Shooting",0,INDEX(UNITVS(_xlpm.fac,$B31,"Fighting",_xlpm.tg,Roster!$AX$6,_xlfn.ANCHORARRAY(Roster!$AX$8)),2)),MIN(Q$17,(_xlpm.s+_xlpm.f)*_xlpm.sc)))</f>
        <v/>
      </c>
      <c r="R31" s="86" t="str" cm="1">
        <f t="array" ref="R31">IF(OR($B31="",R$16=""),"",_xlfn.LET(_xlpm.fac,Roster!$C$5,_xlpm.ph,Roster!$C$6,_xlpm.sc,INDEX(_xlfn.ANCHORARRAY(Roster!$AP$6),$A31,4),_xlpm.tg,_xlfn.CHOOSECOLS(_xlfn.CHOOSEROWS(_xlfn.ANCHORARRAY(Roster!$AE$6),R$15),4,5,6,7,8,9,3),_xlpm.s,IF(_xlpm.ph="Fighting",0,INDEX(UNITVS(_xlpm.fac,$B31,"Shooting",_xlpm.tg,Roster!$AX$5,_xlfn.ANCHORARRAY(Roster!$AX$7)),2)),_xlpm.f,IF(_xlpm.ph="Shooting",0,INDEX(UNITVS(_xlpm.fac,$B31,"Fighting",_xlpm.tg,Roster!$AX$6,_xlfn.ANCHORARRAY(Roster!$AX$8)),2)),MIN(R$17,(_xlpm.s+_xlpm.f)*_xlpm.sc)))</f>
        <v/>
      </c>
      <c r="S31" s="6"/>
      <c r="T31" s="6"/>
    </row>
    <row r="32" spans="1:20" x14ac:dyDescent="0.25">
      <c r="A32" s="82">
        <v>14</v>
      </c>
      <c r="B32" t="str" cm="1">
        <f t="array" ref="B32">IFERROR(INDEX(_xlfn.ANCHORARRAY(Roster!$AP$6),$A32,1),"")</f>
        <v/>
      </c>
      <c r="C32" s="6" t="str" cm="1">
        <f t="array" ref="C32">IF($B32="","",INDEX(_xlfn.ANCHORARRAY(Roster!$AP$6),$A32,2))</f>
        <v/>
      </c>
      <c r="D32" s="86" t="str" cm="1">
        <f t="array" ref="D32">IF(OR($B32="",D$16=""),"",_xlfn.LET(_xlpm.fac,Roster!$C$5,_xlpm.ph,Roster!$C$6,_xlpm.sc,INDEX(_xlfn.ANCHORARRAY(Roster!$AP$6),$A32,4),_xlpm.tg,_xlfn.CHOOSECOLS(_xlfn.CHOOSEROWS(_xlfn.ANCHORARRAY(Roster!$AE$6),D$15),4,5,6,7,8,9,3),_xlpm.s,IF(_xlpm.ph="Fighting",0,INDEX(UNITVS(_xlpm.fac,$B32,"Shooting",_xlpm.tg,Roster!$AX$5,_xlfn.ANCHORARRAY(Roster!$AX$7)),2)),_xlpm.f,IF(_xlpm.ph="Shooting",0,INDEX(UNITVS(_xlpm.fac,$B32,"Fighting",_xlpm.tg,Roster!$AX$6,_xlfn.ANCHORARRAY(Roster!$AX$8)),2)),MIN(D$17,(_xlpm.s+_xlpm.f)*_xlpm.sc)))</f>
        <v/>
      </c>
      <c r="E32" s="86" t="str" cm="1">
        <f t="array" ref="E32">IF(OR($B32="",E$16=""),"",_xlfn.LET(_xlpm.fac,Roster!$C$5,_xlpm.ph,Roster!$C$6,_xlpm.sc,INDEX(_xlfn.ANCHORARRAY(Roster!$AP$6),$A32,4),_xlpm.tg,_xlfn.CHOOSECOLS(_xlfn.CHOOSEROWS(_xlfn.ANCHORARRAY(Roster!$AE$6),E$15),4,5,6,7,8,9,3),_xlpm.s,IF(_xlpm.ph="Fighting",0,INDEX(UNITVS(_xlpm.fac,$B32,"Shooting",_xlpm.tg,Roster!$AX$5,_xlfn.ANCHORARRAY(Roster!$AX$7)),2)),_xlpm.f,IF(_xlpm.ph="Shooting",0,INDEX(UNITVS(_xlpm.fac,$B32,"Fighting",_xlpm.tg,Roster!$AX$6,_xlfn.ANCHORARRAY(Roster!$AX$8)),2)),MIN(E$17,(_xlpm.s+_xlpm.f)*_xlpm.sc)))</f>
        <v/>
      </c>
      <c r="F32" s="86" t="str" cm="1">
        <f t="array" ref="F32">IF(OR($B32="",F$16=""),"",_xlfn.LET(_xlpm.fac,Roster!$C$5,_xlpm.ph,Roster!$C$6,_xlpm.sc,INDEX(_xlfn.ANCHORARRAY(Roster!$AP$6),$A32,4),_xlpm.tg,_xlfn.CHOOSECOLS(_xlfn.CHOOSEROWS(_xlfn.ANCHORARRAY(Roster!$AE$6),F$15),4,5,6,7,8,9,3),_xlpm.s,IF(_xlpm.ph="Fighting",0,INDEX(UNITVS(_xlpm.fac,$B32,"Shooting",_xlpm.tg,Roster!$AX$5,_xlfn.ANCHORARRAY(Roster!$AX$7)),2)),_xlpm.f,IF(_xlpm.ph="Shooting",0,INDEX(UNITVS(_xlpm.fac,$B32,"Fighting",_xlpm.tg,Roster!$AX$6,_xlfn.ANCHORARRAY(Roster!$AX$8)),2)),MIN(F$17,(_xlpm.s+_xlpm.f)*_xlpm.sc)))</f>
        <v/>
      </c>
      <c r="G32" s="86" t="str" cm="1">
        <f t="array" ref="G32">IF(OR($B32="",G$16=""),"",_xlfn.LET(_xlpm.fac,Roster!$C$5,_xlpm.ph,Roster!$C$6,_xlpm.sc,INDEX(_xlfn.ANCHORARRAY(Roster!$AP$6),$A32,4),_xlpm.tg,_xlfn.CHOOSECOLS(_xlfn.CHOOSEROWS(_xlfn.ANCHORARRAY(Roster!$AE$6),G$15),4,5,6,7,8,9,3),_xlpm.s,IF(_xlpm.ph="Fighting",0,INDEX(UNITVS(_xlpm.fac,$B32,"Shooting",_xlpm.tg,Roster!$AX$5,_xlfn.ANCHORARRAY(Roster!$AX$7)),2)),_xlpm.f,IF(_xlpm.ph="Shooting",0,INDEX(UNITVS(_xlpm.fac,$B32,"Fighting",_xlpm.tg,Roster!$AX$6,_xlfn.ANCHORARRAY(Roster!$AX$8)),2)),MIN(G$17,(_xlpm.s+_xlpm.f)*_xlpm.sc)))</f>
        <v/>
      </c>
      <c r="H32" s="86" t="str" cm="1">
        <f t="array" ref="H32">IF(OR($B32="",H$16=""),"",_xlfn.LET(_xlpm.fac,Roster!$C$5,_xlpm.ph,Roster!$C$6,_xlpm.sc,INDEX(_xlfn.ANCHORARRAY(Roster!$AP$6),$A32,4),_xlpm.tg,_xlfn.CHOOSECOLS(_xlfn.CHOOSEROWS(_xlfn.ANCHORARRAY(Roster!$AE$6),H$15),4,5,6,7,8,9,3),_xlpm.s,IF(_xlpm.ph="Fighting",0,INDEX(UNITVS(_xlpm.fac,$B32,"Shooting",_xlpm.tg,Roster!$AX$5,_xlfn.ANCHORARRAY(Roster!$AX$7)),2)),_xlpm.f,IF(_xlpm.ph="Shooting",0,INDEX(UNITVS(_xlpm.fac,$B32,"Fighting",_xlpm.tg,Roster!$AX$6,_xlfn.ANCHORARRAY(Roster!$AX$8)),2)),MIN(H$17,(_xlpm.s+_xlpm.f)*_xlpm.sc)))</f>
        <v/>
      </c>
      <c r="I32" s="86" t="str" cm="1">
        <f t="array" ref="I32">IF(OR($B32="",I$16=""),"",_xlfn.LET(_xlpm.fac,Roster!$C$5,_xlpm.ph,Roster!$C$6,_xlpm.sc,INDEX(_xlfn.ANCHORARRAY(Roster!$AP$6),$A32,4),_xlpm.tg,_xlfn.CHOOSECOLS(_xlfn.CHOOSEROWS(_xlfn.ANCHORARRAY(Roster!$AE$6),I$15),4,5,6,7,8,9,3),_xlpm.s,IF(_xlpm.ph="Fighting",0,INDEX(UNITVS(_xlpm.fac,$B32,"Shooting",_xlpm.tg,Roster!$AX$5,_xlfn.ANCHORARRAY(Roster!$AX$7)),2)),_xlpm.f,IF(_xlpm.ph="Shooting",0,INDEX(UNITVS(_xlpm.fac,$B32,"Fighting",_xlpm.tg,Roster!$AX$6,_xlfn.ANCHORARRAY(Roster!$AX$8)),2)),MIN(I$17,(_xlpm.s+_xlpm.f)*_xlpm.sc)))</f>
        <v/>
      </c>
      <c r="J32" s="86" t="str" cm="1">
        <f t="array" ref="J32">IF(OR($B32="",J$16=""),"",_xlfn.LET(_xlpm.fac,Roster!$C$5,_xlpm.ph,Roster!$C$6,_xlpm.sc,INDEX(_xlfn.ANCHORARRAY(Roster!$AP$6),$A32,4),_xlpm.tg,_xlfn.CHOOSECOLS(_xlfn.CHOOSEROWS(_xlfn.ANCHORARRAY(Roster!$AE$6),J$15),4,5,6,7,8,9,3),_xlpm.s,IF(_xlpm.ph="Fighting",0,INDEX(UNITVS(_xlpm.fac,$B32,"Shooting",_xlpm.tg,Roster!$AX$5,_xlfn.ANCHORARRAY(Roster!$AX$7)),2)),_xlpm.f,IF(_xlpm.ph="Shooting",0,INDEX(UNITVS(_xlpm.fac,$B32,"Fighting",_xlpm.tg,Roster!$AX$6,_xlfn.ANCHORARRAY(Roster!$AX$8)),2)),MIN(J$17,(_xlpm.s+_xlpm.f)*_xlpm.sc)))</f>
        <v/>
      </c>
      <c r="K32" s="86" t="str" cm="1">
        <f t="array" ref="K32">IF(OR($B32="",K$16=""),"",_xlfn.LET(_xlpm.fac,Roster!$C$5,_xlpm.ph,Roster!$C$6,_xlpm.sc,INDEX(_xlfn.ANCHORARRAY(Roster!$AP$6),$A32,4),_xlpm.tg,_xlfn.CHOOSECOLS(_xlfn.CHOOSEROWS(_xlfn.ANCHORARRAY(Roster!$AE$6),K$15),4,5,6,7,8,9,3),_xlpm.s,IF(_xlpm.ph="Fighting",0,INDEX(UNITVS(_xlpm.fac,$B32,"Shooting",_xlpm.tg,Roster!$AX$5,_xlfn.ANCHORARRAY(Roster!$AX$7)),2)),_xlpm.f,IF(_xlpm.ph="Shooting",0,INDEX(UNITVS(_xlpm.fac,$B32,"Fighting",_xlpm.tg,Roster!$AX$6,_xlfn.ANCHORARRAY(Roster!$AX$8)),2)),MIN(K$17,(_xlpm.s+_xlpm.f)*_xlpm.sc)))</f>
        <v/>
      </c>
      <c r="L32" s="86" t="str" cm="1">
        <f t="array" ref="L32">IF(OR($B32="",L$16=""),"",_xlfn.LET(_xlpm.fac,Roster!$C$5,_xlpm.ph,Roster!$C$6,_xlpm.sc,INDEX(_xlfn.ANCHORARRAY(Roster!$AP$6),$A32,4),_xlpm.tg,_xlfn.CHOOSECOLS(_xlfn.CHOOSEROWS(_xlfn.ANCHORARRAY(Roster!$AE$6),L$15),4,5,6,7,8,9,3),_xlpm.s,IF(_xlpm.ph="Fighting",0,INDEX(UNITVS(_xlpm.fac,$B32,"Shooting",_xlpm.tg,Roster!$AX$5,_xlfn.ANCHORARRAY(Roster!$AX$7)),2)),_xlpm.f,IF(_xlpm.ph="Shooting",0,INDEX(UNITVS(_xlpm.fac,$B32,"Fighting",_xlpm.tg,Roster!$AX$6,_xlfn.ANCHORARRAY(Roster!$AX$8)),2)),MIN(L$17,(_xlpm.s+_xlpm.f)*_xlpm.sc)))</f>
        <v/>
      </c>
      <c r="M32" s="86" t="str" cm="1">
        <f t="array" ref="M32">IF(OR($B32="",M$16=""),"",_xlfn.LET(_xlpm.fac,Roster!$C$5,_xlpm.ph,Roster!$C$6,_xlpm.sc,INDEX(_xlfn.ANCHORARRAY(Roster!$AP$6),$A32,4),_xlpm.tg,_xlfn.CHOOSECOLS(_xlfn.CHOOSEROWS(_xlfn.ANCHORARRAY(Roster!$AE$6),M$15),4,5,6,7,8,9,3),_xlpm.s,IF(_xlpm.ph="Fighting",0,INDEX(UNITVS(_xlpm.fac,$B32,"Shooting",_xlpm.tg,Roster!$AX$5,_xlfn.ANCHORARRAY(Roster!$AX$7)),2)),_xlpm.f,IF(_xlpm.ph="Shooting",0,INDEX(UNITVS(_xlpm.fac,$B32,"Fighting",_xlpm.tg,Roster!$AX$6,_xlfn.ANCHORARRAY(Roster!$AX$8)),2)),MIN(M$17,(_xlpm.s+_xlpm.f)*_xlpm.sc)))</f>
        <v/>
      </c>
      <c r="N32" s="86" t="str" cm="1">
        <f t="array" ref="N32">IF(OR($B32="",N$16=""),"",_xlfn.LET(_xlpm.fac,Roster!$C$5,_xlpm.ph,Roster!$C$6,_xlpm.sc,INDEX(_xlfn.ANCHORARRAY(Roster!$AP$6),$A32,4),_xlpm.tg,_xlfn.CHOOSECOLS(_xlfn.CHOOSEROWS(_xlfn.ANCHORARRAY(Roster!$AE$6),N$15),4,5,6,7,8,9,3),_xlpm.s,IF(_xlpm.ph="Fighting",0,INDEX(UNITVS(_xlpm.fac,$B32,"Shooting",_xlpm.tg,Roster!$AX$5,_xlfn.ANCHORARRAY(Roster!$AX$7)),2)),_xlpm.f,IF(_xlpm.ph="Shooting",0,INDEX(UNITVS(_xlpm.fac,$B32,"Fighting",_xlpm.tg,Roster!$AX$6,_xlfn.ANCHORARRAY(Roster!$AX$8)),2)),MIN(N$17,(_xlpm.s+_xlpm.f)*_xlpm.sc)))</f>
        <v/>
      </c>
      <c r="O32" s="86" t="str" cm="1">
        <f t="array" ref="O32">IF(OR($B32="",O$16=""),"",_xlfn.LET(_xlpm.fac,Roster!$C$5,_xlpm.ph,Roster!$C$6,_xlpm.sc,INDEX(_xlfn.ANCHORARRAY(Roster!$AP$6),$A32,4),_xlpm.tg,_xlfn.CHOOSECOLS(_xlfn.CHOOSEROWS(_xlfn.ANCHORARRAY(Roster!$AE$6),O$15),4,5,6,7,8,9,3),_xlpm.s,IF(_xlpm.ph="Fighting",0,INDEX(UNITVS(_xlpm.fac,$B32,"Shooting",_xlpm.tg,Roster!$AX$5,_xlfn.ANCHORARRAY(Roster!$AX$7)),2)),_xlpm.f,IF(_xlpm.ph="Shooting",0,INDEX(UNITVS(_xlpm.fac,$B32,"Fighting",_xlpm.tg,Roster!$AX$6,_xlfn.ANCHORARRAY(Roster!$AX$8)),2)),MIN(O$17,(_xlpm.s+_xlpm.f)*_xlpm.sc)))</f>
        <v/>
      </c>
      <c r="P32" s="86" t="str" cm="1">
        <f t="array" ref="P32">IF(OR($B32="",P$16=""),"",_xlfn.LET(_xlpm.fac,Roster!$C$5,_xlpm.ph,Roster!$C$6,_xlpm.sc,INDEX(_xlfn.ANCHORARRAY(Roster!$AP$6),$A32,4),_xlpm.tg,_xlfn.CHOOSECOLS(_xlfn.CHOOSEROWS(_xlfn.ANCHORARRAY(Roster!$AE$6),P$15),4,5,6,7,8,9,3),_xlpm.s,IF(_xlpm.ph="Fighting",0,INDEX(UNITVS(_xlpm.fac,$B32,"Shooting",_xlpm.tg,Roster!$AX$5,_xlfn.ANCHORARRAY(Roster!$AX$7)),2)),_xlpm.f,IF(_xlpm.ph="Shooting",0,INDEX(UNITVS(_xlpm.fac,$B32,"Fighting",_xlpm.tg,Roster!$AX$6,_xlfn.ANCHORARRAY(Roster!$AX$8)),2)),MIN(P$17,(_xlpm.s+_xlpm.f)*_xlpm.sc)))</f>
        <v/>
      </c>
      <c r="Q32" s="86" t="str" cm="1">
        <f t="array" ref="Q32">IF(OR($B32="",Q$16=""),"",_xlfn.LET(_xlpm.fac,Roster!$C$5,_xlpm.ph,Roster!$C$6,_xlpm.sc,INDEX(_xlfn.ANCHORARRAY(Roster!$AP$6),$A32,4),_xlpm.tg,_xlfn.CHOOSECOLS(_xlfn.CHOOSEROWS(_xlfn.ANCHORARRAY(Roster!$AE$6),Q$15),4,5,6,7,8,9,3),_xlpm.s,IF(_xlpm.ph="Fighting",0,INDEX(UNITVS(_xlpm.fac,$B32,"Shooting",_xlpm.tg,Roster!$AX$5,_xlfn.ANCHORARRAY(Roster!$AX$7)),2)),_xlpm.f,IF(_xlpm.ph="Shooting",0,INDEX(UNITVS(_xlpm.fac,$B32,"Fighting",_xlpm.tg,Roster!$AX$6,_xlfn.ANCHORARRAY(Roster!$AX$8)),2)),MIN(Q$17,(_xlpm.s+_xlpm.f)*_xlpm.sc)))</f>
        <v/>
      </c>
      <c r="R32" s="86" t="str" cm="1">
        <f t="array" ref="R32">IF(OR($B32="",R$16=""),"",_xlfn.LET(_xlpm.fac,Roster!$C$5,_xlpm.ph,Roster!$C$6,_xlpm.sc,INDEX(_xlfn.ANCHORARRAY(Roster!$AP$6),$A32,4),_xlpm.tg,_xlfn.CHOOSECOLS(_xlfn.CHOOSEROWS(_xlfn.ANCHORARRAY(Roster!$AE$6),R$15),4,5,6,7,8,9,3),_xlpm.s,IF(_xlpm.ph="Fighting",0,INDEX(UNITVS(_xlpm.fac,$B32,"Shooting",_xlpm.tg,Roster!$AX$5,_xlfn.ANCHORARRAY(Roster!$AX$7)),2)),_xlpm.f,IF(_xlpm.ph="Shooting",0,INDEX(UNITVS(_xlpm.fac,$B32,"Fighting",_xlpm.tg,Roster!$AX$6,_xlfn.ANCHORARRAY(Roster!$AX$8)),2)),MIN(R$17,(_xlpm.s+_xlpm.f)*_xlpm.sc)))</f>
        <v/>
      </c>
      <c r="S32" s="6"/>
      <c r="T32" s="6"/>
    </row>
    <row r="33" spans="1:20" x14ac:dyDescent="0.25">
      <c r="A33" s="82">
        <v>15</v>
      </c>
      <c r="B33" t="str" cm="1">
        <f t="array" ref="B33">IFERROR(INDEX(_xlfn.ANCHORARRAY(Roster!$AP$6),$A33,1),"")</f>
        <v/>
      </c>
      <c r="C33" s="6" t="str" cm="1">
        <f t="array" ref="C33">IF($B33="","",INDEX(_xlfn.ANCHORARRAY(Roster!$AP$6),$A33,2))</f>
        <v/>
      </c>
      <c r="D33" s="86" t="str" cm="1">
        <f t="array" ref="D33">IF(OR($B33="",D$16=""),"",_xlfn.LET(_xlpm.fac,Roster!$C$5,_xlpm.ph,Roster!$C$6,_xlpm.sc,INDEX(_xlfn.ANCHORARRAY(Roster!$AP$6),$A33,4),_xlpm.tg,_xlfn.CHOOSECOLS(_xlfn.CHOOSEROWS(_xlfn.ANCHORARRAY(Roster!$AE$6),D$15),4,5,6,7,8,9,3),_xlpm.s,IF(_xlpm.ph="Fighting",0,INDEX(UNITVS(_xlpm.fac,$B33,"Shooting",_xlpm.tg,Roster!$AX$5,_xlfn.ANCHORARRAY(Roster!$AX$7)),2)),_xlpm.f,IF(_xlpm.ph="Shooting",0,INDEX(UNITVS(_xlpm.fac,$B33,"Fighting",_xlpm.tg,Roster!$AX$6,_xlfn.ANCHORARRAY(Roster!$AX$8)),2)),MIN(D$17,(_xlpm.s+_xlpm.f)*_xlpm.sc)))</f>
        <v/>
      </c>
      <c r="E33" s="86" t="str" cm="1">
        <f t="array" ref="E33">IF(OR($B33="",E$16=""),"",_xlfn.LET(_xlpm.fac,Roster!$C$5,_xlpm.ph,Roster!$C$6,_xlpm.sc,INDEX(_xlfn.ANCHORARRAY(Roster!$AP$6),$A33,4),_xlpm.tg,_xlfn.CHOOSECOLS(_xlfn.CHOOSEROWS(_xlfn.ANCHORARRAY(Roster!$AE$6),E$15),4,5,6,7,8,9,3),_xlpm.s,IF(_xlpm.ph="Fighting",0,INDEX(UNITVS(_xlpm.fac,$B33,"Shooting",_xlpm.tg,Roster!$AX$5,_xlfn.ANCHORARRAY(Roster!$AX$7)),2)),_xlpm.f,IF(_xlpm.ph="Shooting",0,INDEX(UNITVS(_xlpm.fac,$B33,"Fighting",_xlpm.tg,Roster!$AX$6,_xlfn.ANCHORARRAY(Roster!$AX$8)),2)),MIN(E$17,(_xlpm.s+_xlpm.f)*_xlpm.sc)))</f>
        <v/>
      </c>
      <c r="F33" s="86" t="str" cm="1">
        <f t="array" ref="F33">IF(OR($B33="",F$16=""),"",_xlfn.LET(_xlpm.fac,Roster!$C$5,_xlpm.ph,Roster!$C$6,_xlpm.sc,INDEX(_xlfn.ANCHORARRAY(Roster!$AP$6),$A33,4),_xlpm.tg,_xlfn.CHOOSECOLS(_xlfn.CHOOSEROWS(_xlfn.ANCHORARRAY(Roster!$AE$6),F$15),4,5,6,7,8,9,3),_xlpm.s,IF(_xlpm.ph="Fighting",0,INDEX(UNITVS(_xlpm.fac,$B33,"Shooting",_xlpm.tg,Roster!$AX$5,_xlfn.ANCHORARRAY(Roster!$AX$7)),2)),_xlpm.f,IF(_xlpm.ph="Shooting",0,INDEX(UNITVS(_xlpm.fac,$B33,"Fighting",_xlpm.tg,Roster!$AX$6,_xlfn.ANCHORARRAY(Roster!$AX$8)),2)),MIN(F$17,(_xlpm.s+_xlpm.f)*_xlpm.sc)))</f>
        <v/>
      </c>
      <c r="G33" s="86" t="str" cm="1">
        <f t="array" ref="G33">IF(OR($B33="",G$16=""),"",_xlfn.LET(_xlpm.fac,Roster!$C$5,_xlpm.ph,Roster!$C$6,_xlpm.sc,INDEX(_xlfn.ANCHORARRAY(Roster!$AP$6),$A33,4),_xlpm.tg,_xlfn.CHOOSECOLS(_xlfn.CHOOSEROWS(_xlfn.ANCHORARRAY(Roster!$AE$6),G$15),4,5,6,7,8,9,3),_xlpm.s,IF(_xlpm.ph="Fighting",0,INDEX(UNITVS(_xlpm.fac,$B33,"Shooting",_xlpm.tg,Roster!$AX$5,_xlfn.ANCHORARRAY(Roster!$AX$7)),2)),_xlpm.f,IF(_xlpm.ph="Shooting",0,INDEX(UNITVS(_xlpm.fac,$B33,"Fighting",_xlpm.tg,Roster!$AX$6,_xlfn.ANCHORARRAY(Roster!$AX$8)),2)),MIN(G$17,(_xlpm.s+_xlpm.f)*_xlpm.sc)))</f>
        <v/>
      </c>
      <c r="H33" s="86" t="str" cm="1">
        <f t="array" ref="H33">IF(OR($B33="",H$16=""),"",_xlfn.LET(_xlpm.fac,Roster!$C$5,_xlpm.ph,Roster!$C$6,_xlpm.sc,INDEX(_xlfn.ANCHORARRAY(Roster!$AP$6),$A33,4),_xlpm.tg,_xlfn.CHOOSECOLS(_xlfn.CHOOSEROWS(_xlfn.ANCHORARRAY(Roster!$AE$6),H$15),4,5,6,7,8,9,3),_xlpm.s,IF(_xlpm.ph="Fighting",0,INDEX(UNITVS(_xlpm.fac,$B33,"Shooting",_xlpm.tg,Roster!$AX$5,_xlfn.ANCHORARRAY(Roster!$AX$7)),2)),_xlpm.f,IF(_xlpm.ph="Shooting",0,INDEX(UNITVS(_xlpm.fac,$B33,"Fighting",_xlpm.tg,Roster!$AX$6,_xlfn.ANCHORARRAY(Roster!$AX$8)),2)),MIN(H$17,(_xlpm.s+_xlpm.f)*_xlpm.sc)))</f>
        <v/>
      </c>
      <c r="I33" s="86" t="str" cm="1">
        <f t="array" ref="I33">IF(OR($B33="",I$16=""),"",_xlfn.LET(_xlpm.fac,Roster!$C$5,_xlpm.ph,Roster!$C$6,_xlpm.sc,INDEX(_xlfn.ANCHORARRAY(Roster!$AP$6),$A33,4),_xlpm.tg,_xlfn.CHOOSECOLS(_xlfn.CHOOSEROWS(_xlfn.ANCHORARRAY(Roster!$AE$6),I$15),4,5,6,7,8,9,3),_xlpm.s,IF(_xlpm.ph="Fighting",0,INDEX(UNITVS(_xlpm.fac,$B33,"Shooting",_xlpm.tg,Roster!$AX$5,_xlfn.ANCHORARRAY(Roster!$AX$7)),2)),_xlpm.f,IF(_xlpm.ph="Shooting",0,INDEX(UNITVS(_xlpm.fac,$B33,"Fighting",_xlpm.tg,Roster!$AX$6,_xlfn.ANCHORARRAY(Roster!$AX$8)),2)),MIN(I$17,(_xlpm.s+_xlpm.f)*_xlpm.sc)))</f>
        <v/>
      </c>
      <c r="J33" s="86" t="str" cm="1">
        <f t="array" ref="J33">IF(OR($B33="",J$16=""),"",_xlfn.LET(_xlpm.fac,Roster!$C$5,_xlpm.ph,Roster!$C$6,_xlpm.sc,INDEX(_xlfn.ANCHORARRAY(Roster!$AP$6),$A33,4),_xlpm.tg,_xlfn.CHOOSECOLS(_xlfn.CHOOSEROWS(_xlfn.ANCHORARRAY(Roster!$AE$6),J$15),4,5,6,7,8,9,3),_xlpm.s,IF(_xlpm.ph="Fighting",0,INDEX(UNITVS(_xlpm.fac,$B33,"Shooting",_xlpm.tg,Roster!$AX$5,_xlfn.ANCHORARRAY(Roster!$AX$7)),2)),_xlpm.f,IF(_xlpm.ph="Shooting",0,INDEX(UNITVS(_xlpm.fac,$B33,"Fighting",_xlpm.tg,Roster!$AX$6,_xlfn.ANCHORARRAY(Roster!$AX$8)),2)),MIN(J$17,(_xlpm.s+_xlpm.f)*_xlpm.sc)))</f>
        <v/>
      </c>
      <c r="K33" s="86" t="str" cm="1">
        <f t="array" ref="K33">IF(OR($B33="",K$16=""),"",_xlfn.LET(_xlpm.fac,Roster!$C$5,_xlpm.ph,Roster!$C$6,_xlpm.sc,INDEX(_xlfn.ANCHORARRAY(Roster!$AP$6),$A33,4),_xlpm.tg,_xlfn.CHOOSECOLS(_xlfn.CHOOSEROWS(_xlfn.ANCHORARRAY(Roster!$AE$6),K$15),4,5,6,7,8,9,3),_xlpm.s,IF(_xlpm.ph="Fighting",0,INDEX(UNITVS(_xlpm.fac,$B33,"Shooting",_xlpm.tg,Roster!$AX$5,_xlfn.ANCHORARRAY(Roster!$AX$7)),2)),_xlpm.f,IF(_xlpm.ph="Shooting",0,INDEX(UNITVS(_xlpm.fac,$B33,"Fighting",_xlpm.tg,Roster!$AX$6,_xlfn.ANCHORARRAY(Roster!$AX$8)),2)),MIN(K$17,(_xlpm.s+_xlpm.f)*_xlpm.sc)))</f>
        <v/>
      </c>
      <c r="L33" s="86" t="str" cm="1">
        <f t="array" ref="L33">IF(OR($B33="",L$16=""),"",_xlfn.LET(_xlpm.fac,Roster!$C$5,_xlpm.ph,Roster!$C$6,_xlpm.sc,INDEX(_xlfn.ANCHORARRAY(Roster!$AP$6),$A33,4),_xlpm.tg,_xlfn.CHOOSECOLS(_xlfn.CHOOSEROWS(_xlfn.ANCHORARRAY(Roster!$AE$6),L$15),4,5,6,7,8,9,3),_xlpm.s,IF(_xlpm.ph="Fighting",0,INDEX(UNITVS(_xlpm.fac,$B33,"Shooting",_xlpm.tg,Roster!$AX$5,_xlfn.ANCHORARRAY(Roster!$AX$7)),2)),_xlpm.f,IF(_xlpm.ph="Shooting",0,INDEX(UNITVS(_xlpm.fac,$B33,"Fighting",_xlpm.tg,Roster!$AX$6,_xlfn.ANCHORARRAY(Roster!$AX$8)),2)),MIN(L$17,(_xlpm.s+_xlpm.f)*_xlpm.sc)))</f>
        <v/>
      </c>
      <c r="M33" s="86" t="str" cm="1">
        <f t="array" ref="M33">IF(OR($B33="",M$16=""),"",_xlfn.LET(_xlpm.fac,Roster!$C$5,_xlpm.ph,Roster!$C$6,_xlpm.sc,INDEX(_xlfn.ANCHORARRAY(Roster!$AP$6),$A33,4),_xlpm.tg,_xlfn.CHOOSECOLS(_xlfn.CHOOSEROWS(_xlfn.ANCHORARRAY(Roster!$AE$6),M$15),4,5,6,7,8,9,3),_xlpm.s,IF(_xlpm.ph="Fighting",0,INDEX(UNITVS(_xlpm.fac,$B33,"Shooting",_xlpm.tg,Roster!$AX$5,_xlfn.ANCHORARRAY(Roster!$AX$7)),2)),_xlpm.f,IF(_xlpm.ph="Shooting",0,INDEX(UNITVS(_xlpm.fac,$B33,"Fighting",_xlpm.tg,Roster!$AX$6,_xlfn.ANCHORARRAY(Roster!$AX$8)),2)),MIN(M$17,(_xlpm.s+_xlpm.f)*_xlpm.sc)))</f>
        <v/>
      </c>
      <c r="N33" s="86" t="str" cm="1">
        <f t="array" ref="N33">IF(OR($B33="",N$16=""),"",_xlfn.LET(_xlpm.fac,Roster!$C$5,_xlpm.ph,Roster!$C$6,_xlpm.sc,INDEX(_xlfn.ANCHORARRAY(Roster!$AP$6),$A33,4),_xlpm.tg,_xlfn.CHOOSECOLS(_xlfn.CHOOSEROWS(_xlfn.ANCHORARRAY(Roster!$AE$6),N$15),4,5,6,7,8,9,3),_xlpm.s,IF(_xlpm.ph="Fighting",0,INDEX(UNITVS(_xlpm.fac,$B33,"Shooting",_xlpm.tg,Roster!$AX$5,_xlfn.ANCHORARRAY(Roster!$AX$7)),2)),_xlpm.f,IF(_xlpm.ph="Shooting",0,INDEX(UNITVS(_xlpm.fac,$B33,"Fighting",_xlpm.tg,Roster!$AX$6,_xlfn.ANCHORARRAY(Roster!$AX$8)),2)),MIN(N$17,(_xlpm.s+_xlpm.f)*_xlpm.sc)))</f>
        <v/>
      </c>
      <c r="O33" s="86" t="str" cm="1">
        <f t="array" ref="O33">IF(OR($B33="",O$16=""),"",_xlfn.LET(_xlpm.fac,Roster!$C$5,_xlpm.ph,Roster!$C$6,_xlpm.sc,INDEX(_xlfn.ANCHORARRAY(Roster!$AP$6),$A33,4),_xlpm.tg,_xlfn.CHOOSECOLS(_xlfn.CHOOSEROWS(_xlfn.ANCHORARRAY(Roster!$AE$6),O$15),4,5,6,7,8,9,3),_xlpm.s,IF(_xlpm.ph="Fighting",0,INDEX(UNITVS(_xlpm.fac,$B33,"Shooting",_xlpm.tg,Roster!$AX$5,_xlfn.ANCHORARRAY(Roster!$AX$7)),2)),_xlpm.f,IF(_xlpm.ph="Shooting",0,INDEX(UNITVS(_xlpm.fac,$B33,"Fighting",_xlpm.tg,Roster!$AX$6,_xlfn.ANCHORARRAY(Roster!$AX$8)),2)),MIN(O$17,(_xlpm.s+_xlpm.f)*_xlpm.sc)))</f>
        <v/>
      </c>
      <c r="P33" s="86" t="str" cm="1">
        <f t="array" ref="P33">IF(OR($B33="",P$16=""),"",_xlfn.LET(_xlpm.fac,Roster!$C$5,_xlpm.ph,Roster!$C$6,_xlpm.sc,INDEX(_xlfn.ANCHORARRAY(Roster!$AP$6),$A33,4),_xlpm.tg,_xlfn.CHOOSECOLS(_xlfn.CHOOSEROWS(_xlfn.ANCHORARRAY(Roster!$AE$6),P$15),4,5,6,7,8,9,3),_xlpm.s,IF(_xlpm.ph="Fighting",0,INDEX(UNITVS(_xlpm.fac,$B33,"Shooting",_xlpm.tg,Roster!$AX$5,_xlfn.ANCHORARRAY(Roster!$AX$7)),2)),_xlpm.f,IF(_xlpm.ph="Shooting",0,INDEX(UNITVS(_xlpm.fac,$B33,"Fighting",_xlpm.tg,Roster!$AX$6,_xlfn.ANCHORARRAY(Roster!$AX$8)),2)),MIN(P$17,(_xlpm.s+_xlpm.f)*_xlpm.sc)))</f>
        <v/>
      </c>
      <c r="Q33" s="86" t="str" cm="1">
        <f t="array" ref="Q33">IF(OR($B33="",Q$16=""),"",_xlfn.LET(_xlpm.fac,Roster!$C$5,_xlpm.ph,Roster!$C$6,_xlpm.sc,INDEX(_xlfn.ANCHORARRAY(Roster!$AP$6),$A33,4),_xlpm.tg,_xlfn.CHOOSECOLS(_xlfn.CHOOSEROWS(_xlfn.ANCHORARRAY(Roster!$AE$6),Q$15),4,5,6,7,8,9,3),_xlpm.s,IF(_xlpm.ph="Fighting",0,INDEX(UNITVS(_xlpm.fac,$B33,"Shooting",_xlpm.tg,Roster!$AX$5,_xlfn.ANCHORARRAY(Roster!$AX$7)),2)),_xlpm.f,IF(_xlpm.ph="Shooting",0,INDEX(UNITVS(_xlpm.fac,$B33,"Fighting",_xlpm.tg,Roster!$AX$6,_xlfn.ANCHORARRAY(Roster!$AX$8)),2)),MIN(Q$17,(_xlpm.s+_xlpm.f)*_xlpm.sc)))</f>
        <v/>
      </c>
      <c r="R33" s="86" t="str" cm="1">
        <f t="array" ref="R33">IF(OR($B33="",R$16=""),"",_xlfn.LET(_xlpm.fac,Roster!$C$5,_xlpm.ph,Roster!$C$6,_xlpm.sc,INDEX(_xlfn.ANCHORARRAY(Roster!$AP$6),$A33,4),_xlpm.tg,_xlfn.CHOOSECOLS(_xlfn.CHOOSEROWS(_xlfn.ANCHORARRAY(Roster!$AE$6),R$15),4,5,6,7,8,9,3),_xlpm.s,IF(_xlpm.ph="Fighting",0,INDEX(UNITVS(_xlpm.fac,$B33,"Shooting",_xlpm.tg,Roster!$AX$5,_xlfn.ANCHORARRAY(Roster!$AX$7)),2)),_xlpm.f,IF(_xlpm.ph="Shooting",0,INDEX(UNITVS(_xlpm.fac,$B33,"Fighting",_xlpm.tg,Roster!$AX$6,_xlfn.ANCHORARRAY(Roster!$AX$8)),2)),MIN(R$17,(_xlpm.s+_xlpm.f)*_xlpm.sc)))</f>
        <v/>
      </c>
      <c r="S33" s="6"/>
      <c r="T33" s="6"/>
    </row>
    <row r="34" spans="1:20" x14ac:dyDescent="0.25">
      <c r="B34" s="83" t="s">
        <v>585</v>
      </c>
      <c r="C34" s="6"/>
      <c r="D34" s="86">
        <f>IF(D$16="","",SUM(D19:D33))</f>
        <v>56.74074074074074</v>
      </c>
      <c r="E34" s="86">
        <f t="shared" ref="E34:R34" si="0">IF(E$16="","",SUM(E19:E33))</f>
        <v>27.763888888888889</v>
      </c>
      <c r="F34" s="86">
        <f t="shared" si="0"/>
        <v>12.393518518518519</v>
      </c>
      <c r="G34" s="86">
        <f t="shared" si="0"/>
        <v>14.427469135802472</v>
      </c>
      <c r="H34" s="86">
        <f t="shared" si="0"/>
        <v>6.5777777777777775</v>
      </c>
      <c r="I34" s="86">
        <f t="shared" si="0"/>
        <v>4.1148148148148147</v>
      </c>
      <c r="J34" s="86">
        <f t="shared" si="0"/>
        <v>3.1446759259259256</v>
      </c>
      <c r="K34" s="86">
        <f t="shared" si="0"/>
        <v>2.7456857956857954</v>
      </c>
      <c r="L34" s="86">
        <f t="shared" si="0"/>
        <v>1.6695601851851849</v>
      </c>
      <c r="M34" s="86">
        <f>IF(M$16="","",SUM(M19:M33))</f>
        <v>1.6597222222222221</v>
      </c>
      <c r="N34" s="86" t="str">
        <f t="shared" si="0"/>
        <v/>
      </c>
      <c r="O34" s="86" t="str">
        <f t="shared" si="0"/>
        <v/>
      </c>
      <c r="P34" s="86" t="str">
        <f t="shared" si="0"/>
        <v/>
      </c>
      <c r="Q34" s="86" t="str">
        <f t="shared" si="0"/>
        <v/>
      </c>
      <c r="R34" s="86" t="str">
        <f t="shared" si="0"/>
        <v/>
      </c>
      <c r="S34" s="6"/>
      <c r="T34" s="6"/>
    </row>
    <row r="35" spans="1:20" x14ac:dyDescent="0.25">
      <c r="B35" s="83" t="s">
        <v>586</v>
      </c>
      <c r="C35" s="6"/>
      <c r="D35" s="87">
        <f>IF(D$16="","",MIN(1,D34/MAX(1,D$17)))</f>
        <v>1</v>
      </c>
      <c r="E35" s="87">
        <f t="shared" ref="E35:R35" si="1">IF(E$16="","",MIN(1,E34/MAX(1,E$17)))</f>
        <v>1</v>
      </c>
      <c r="F35" s="87">
        <f t="shared" si="1"/>
        <v>1</v>
      </c>
      <c r="G35" s="87">
        <f t="shared" si="1"/>
        <v>1</v>
      </c>
      <c r="H35" s="87">
        <f t="shared" si="1"/>
        <v>1</v>
      </c>
      <c r="I35" s="87">
        <f t="shared" si="1"/>
        <v>1</v>
      </c>
      <c r="J35" s="87">
        <f t="shared" si="1"/>
        <v>1</v>
      </c>
      <c r="K35" s="87">
        <f t="shared" si="1"/>
        <v>1</v>
      </c>
      <c r="L35" s="87">
        <f t="shared" si="1"/>
        <v>1</v>
      </c>
      <c r="M35" s="87">
        <f t="shared" si="1"/>
        <v>1</v>
      </c>
      <c r="N35" s="87" t="str">
        <f t="shared" si="1"/>
        <v/>
      </c>
      <c r="O35" s="87" t="str">
        <f t="shared" si="1"/>
        <v/>
      </c>
      <c r="P35" s="87" t="str">
        <f t="shared" si="1"/>
        <v/>
      </c>
      <c r="Q35" s="87" t="str">
        <f t="shared" si="1"/>
        <v/>
      </c>
      <c r="R35" s="87" t="str">
        <f t="shared" si="1"/>
        <v/>
      </c>
      <c r="S35" s="6"/>
      <c r="T35" s="6"/>
    </row>
    <row r="36" spans="1:20" x14ac:dyDescent="0.25">
      <c r="B36" s="83" t="s">
        <v>587</v>
      </c>
      <c r="C36" s="6"/>
      <c r="D36" s="6" t="str">
        <f>IF(D$16="","",IF(D34&gt;=D$17,"Yes","No"))</f>
        <v>Yes</v>
      </c>
      <c r="E36" s="6" t="str">
        <f t="shared" ref="E36:R36" si="2">IF(E$16="","",IF(E34&gt;=E$17,"Yes","No"))</f>
        <v>Yes</v>
      </c>
      <c r="F36" s="6" t="str">
        <f t="shared" si="2"/>
        <v>Yes</v>
      </c>
      <c r="G36" s="6" t="str">
        <f t="shared" si="2"/>
        <v>Yes</v>
      </c>
      <c r="H36" s="6" t="str">
        <f t="shared" si="2"/>
        <v>Yes</v>
      </c>
      <c r="I36" s="6" t="str">
        <f t="shared" si="2"/>
        <v>Yes</v>
      </c>
      <c r="J36" s="6" t="str">
        <f t="shared" si="2"/>
        <v>Yes</v>
      </c>
      <c r="K36" s="6" t="str">
        <f t="shared" si="2"/>
        <v>Yes</v>
      </c>
      <c r="L36" s="6" t="str">
        <f t="shared" si="2"/>
        <v>Yes</v>
      </c>
      <c r="M36" s="6" t="str">
        <f t="shared" si="2"/>
        <v>Yes</v>
      </c>
      <c r="N36" s="6" t="str">
        <f t="shared" si="2"/>
        <v/>
      </c>
      <c r="O36" s="6" t="str">
        <f t="shared" si="2"/>
        <v/>
      </c>
      <c r="P36" s="6" t="str">
        <f t="shared" si="2"/>
        <v/>
      </c>
      <c r="Q36" s="6" t="str">
        <f t="shared" si="2"/>
        <v/>
      </c>
      <c r="R36" s="6" t="str">
        <f t="shared" si="2"/>
        <v/>
      </c>
      <c r="S36" s="6"/>
      <c r="T36" s="6"/>
    </row>
    <row r="37" spans="1:20" x14ac:dyDescent="0.25">
      <c r="B37" s="83" t="s">
        <v>588</v>
      </c>
      <c r="C37" s="6"/>
      <c r="D37" s="6" t="str" cm="1">
        <f t="array" ref="D37">IF(D$16="","",IF(MAX(D19:D33)=0,"–",INDEX($B$19:$B$33,_xlfn.XMATCH(MAX(D19:D33),D19:D33))))</f>
        <v>Plague Marines (Ranged)</v>
      </c>
      <c r="E37" s="6" t="str" cm="1">
        <f t="array" ref="E37">IF(E$16="","",IF(MAX(E19:E33)=0,"–",INDEX($B$19:$B$33,_xlfn.XMATCH(MAX(E19:E33),E19:E33))))</f>
        <v>Plague Marines (Meele)</v>
      </c>
      <c r="F37" s="6" t="str" cm="1">
        <f t="array" ref="F37">IF(F$16="","",IF(MAX(F19:F33)=0,"–",INDEX($B$19:$B$33,_xlfn.XMATCH(MAX(F19:F33),F19:F33))))</f>
        <v>Deathshroud Terminators</v>
      </c>
      <c r="G37" s="6" t="str" cm="1">
        <f t="array" ref="G37">IF(G$16="","",IF(MAX(G19:G33)=0,"–",INDEX($B$19:$B$33,_xlfn.XMATCH(MAX(G19:G33),G19:G33))))</f>
        <v>Plague Marines (Meele)</v>
      </c>
      <c r="H37" s="6" t="str" cm="1">
        <f t="array" ref="H37">IF(H$16="","",IF(MAX(H19:H33)=0,"–",INDEX($B$19:$B$33,_xlfn.XMATCH(MAX(H19:H33),H19:H33))))</f>
        <v>Plague Marines (Ranged)</v>
      </c>
      <c r="I37" s="6" t="str" cm="1">
        <f t="array" ref="I37">IF(I$16="","",IF(MAX(I19:I33)=0,"–",INDEX($B$19:$B$33,_xlfn.XMATCH(MAX(I19:I33),I19:I33))))</f>
        <v>Plague Marines (Meele)</v>
      </c>
      <c r="J37" s="6" t="str" cm="1">
        <f t="array" ref="J37">IF(J$16="","",IF(MAX(J19:J33)=0,"–",INDEX($B$19:$B$33,_xlfn.XMATCH(MAX(J19:J33),J19:J33))))</f>
        <v>Deathshroud Terminators</v>
      </c>
      <c r="K37" s="6" t="str" cm="1">
        <f t="array" ref="K37">IF(K$16="","",IF(MAX(K19:K33)=0,"–",INDEX($B$19:$B$33,_xlfn.XMATCH(MAX(K19:K33),K19:K33))))</f>
        <v>Deathshroud Terminators</v>
      </c>
      <c r="L37" s="6" t="str" cm="1">
        <f t="array" ref="L37">IF(L$16="","",IF(MAX(L19:L33)=0,"–",INDEX($B$19:$B$33,_xlfn.XMATCH(MAX(L19:L33),L19:L33))))</f>
        <v>Deathshroud Terminators</v>
      </c>
      <c r="M37" s="6" t="str" cm="1">
        <f t="array" ref="M37">IF(M$16="","",IF(MAX(M19:M33)=0,"–",INDEX($B$19:$B$33,_xlfn.XMATCH(MAX(M19:M33),M19:M33))))</f>
        <v>Deathshroud Terminators</v>
      </c>
      <c r="N37" s="6" t="str" cm="1">
        <f t="array" ref="N37">IF(N$16="","",IF(MAX(N19:N33)=0,"–",INDEX($B$19:$B$33,_xlfn.XMATCH(MAX(N19:N33),N19:N33))))</f>
        <v/>
      </c>
      <c r="O37" s="6" t="str" cm="1">
        <f t="array" ref="O37">IF(O$16="","",IF(MAX(O19:O33)=0,"–",INDEX($B$19:$B$33,_xlfn.XMATCH(MAX(O19:O33),O19:O33))))</f>
        <v/>
      </c>
      <c r="P37" s="6" t="str" cm="1">
        <f t="array" ref="P37">IF(P$16="","",IF(MAX(P19:P33)=0,"–",INDEX($B$19:$B$33,_xlfn.XMATCH(MAX(P19:P33),P19:P33))))</f>
        <v/>
      </c>
      <c r="Q37" s="6" t="str" cm="1">
        <f t="array" ref="Q37">IF(Q$16="","",IF(MAX(Q19:Q33)=0,"–",INDEX($B$19:$B$33,_xlfn.XMATCH(MAX(Q19:Q33),Q19:Q33))))</f>
        <v/>
      </c>
      <c r="R37" s="6" t="str" cm="1">
        <f t="array" ref="R37">IF(R$16="","",IF(MAX(R19:R33)=0,"–",INDEX($B$19:$B$33,_xlfn.XMATCH(MAX(R19:R33),R19:R33))))</f>
        <v/>
      </c>
      <c r="S37" s="6"/>
      <c r="T37" s="6"/>
    </row>
    <row r="38" spans="1:20" x14ac:dyDescent="0.25">
      <c r="C38" s="6"/>
      <c r="D38" s="6"/>
      <c r="E38" s="6"/>
      <c r="F38" s="6"/>
      <c r="G38" s="6"/>
      <c r="H38" s="6"/>
      <c r="I38" s="6"/>
      <c r="J38" s="6"/>
      <c r="K38" s="6"/>
      <c r="L38" s="6"/>
      <c r="M38" s="6"/>
      <c r="N38" s="6"/>
      <c r="O38" s="6"/>
      <c r="P38" s="6"/>
      <c r="Q38" s="6"/>
      <c r="R38" s="6"/>
      <c r="S38" s="6"/>
      <c r="T38" s="6"/>
    </row>
    <row r="39" spans="1:20" x14ac:dyDescent="0.25">
      <c r="C39" s="6"/>
      <c r="D39" s="6"/>
      <c r="E39" s="6"/>
      <c r="F39" s="6"/>
      <c r="G39" s="6"/>
      <c r="H39" s="6"/>
      <c r="I39" s="6"/>
      <c r="J39" s="6"/>
      <c r="K39" s="6"/>
      <c r="L39" s="6"/>
      <c r="M39" s="6"/>
      <c r="N39" s="6"/>
      <c r="O39" s="6"/>
      <c r="P39" s="6"/>
      <c r="Q39" s="6"/>
      <c r="R39" s="6"/>
      <c r="S39" s="6"/>
      <c r="T39" s="6"/>
    </row>
    <row r="40" spans="1:20" x14ac:dyDescent="0.25">
      <c r="B40" s="68" t="s">
        <v>589</v>
      </c>
      <c r="C40" s="84"/>
      <c r="D40" s="84"/>
      <c r="E40" s="84"/>
      <c r="F40" s="84"/>
      <c r="G40" s="84"/>
      <c r="H40" s="84"/>
      <c r="I40" s="84"/>
      <c r="J40" s="84"/>
      <c r="K40" s="84"/>
      <c r="L40" s="84"/>
      <c r="M40" s="84"/>
      <c r="N40" s="84"/>
      <c r="O40" s="84"/>
      <c r="P40" s="84"/>
      <c r="Q40" s="84"/>
      <c r="R40" s="84"/>
      <c r="S40" s="84"/>
      <c r="T40" s="84"/>
    </row>
    <row r="41" spans="1:20" ht="45" customHeight="1" x14ac:dyDescent="0.25">
      <c r="B41" s="69" t="s">
        <v>590</v>
      </c>
      <c r="C41" s="70" t="s">
        <v>499</v>
      </c>
      <c r="D41" s="70" t="str">
        <f>D16</f>
        <v>Horde Infantry (GEQ)</v>
      </c>
      <c r="E41" s="70" t="str">
        <f t="shared" ref="E41:R41" si="3">E16</f>
        <v>Marine Infantry (MEQ)</v>
      </c>
      <c r="F41" s="70" t="str">
        <f t="shared" si="3"/>
        <v>Terminator (TEQ)</v>
      </c>
      <c r="G41" s="70" t="str">
        <f t="shared" si="3"/>
        <v>Heavy Infantry</v>
      </c>
      <c r="H41" s="70" t="str">
        <f t="shared" si="3"/>
        <v>Character (Infantry)</v>
      </c>
      <c r="I41" s="70" t="str">
        <f t="shared" si="3"/>
        <v>Light Vehicle</v>
      </c>
      <c r="J41" s="70" t="str">
        <f t="shared" si="3"/>
        <v>Monster</v>
      </c>
      <c r="K41" s="70" t="str">
        <f t="shared" si="3"/>
        <v>Battle Tank</v>
      </c>
      <c r="L41" s="70" t="str">
        <f t="shared" si="3"/>
        <v>Heavy Tank</v>
      </c>
      <c r="M41" s="70" t="str">
        <f t="shared" si="3"/>
        <v>Knight / Titanic</v>
      </c>
      <c r="N41" s="70" t="str">
        <f t="shared" si="3"/>
        <v/>
      </c>
      <c r="O41" s="70" t="str">
        <f t="shared" si="3"/>
        <v/>
      </c>
      <c r="P41" s="70" t="str">
        <f t="shared" si="3"/>
        <v/>
      </c>
      <c r="Q41" s="70" t="str">
        <f t="shared" si="3"/>
        <v/>
      </c>
      <c r="R41" s="70" t="str">
        <f t="shared" si="3"/>
        <v/>
      </c>
      <c r="S41" s="70" t="s">
        <v>591</v>
      </c>
      <c r="T41" s="70" t="s">
        <v>592</v>
      </c>
    </row>
    <row r="42" spans="1:20" x14ac:dyDescent="0.25">
      <c r="A42" s="82">
        <v>1</v>
      </c>
      <c r="B42" t="str">
        <f>B19</f>
        <v>Plague Marines (Ranged)</v>
      </c>
      <c r="C42" s="90" cm="1">
        <f t="array" ref="C42">IF($B42="","",INDEX(_xlfn.ANCHORARRAY(Roster!$AP$6),$A42,3))</f>
        <v>175</v>
      </c>
      <c r="D42" s="88">
        <f>IF(OR($B42="",D$41=""),"",MIN(1,D19/MAX(1,D$17)))</f>
        <v>1</v>
      </c>
      <c r="E42" s="88">
        <f t="shared" ref="E42:R42" si="4">IF(OR($B42="",E$41=""),"",MIN(1,E19/MAX(1,E$17)))</f>
        <v>0.90833333333333344</v>
      </c>
      <c r="F42" s="88">
        <f t="shared" si="4"/>
        <v>0.32500000000000001</v>
      </c>
      <c r="G42" s="88">
        <f t="shared" si="4"/>
        <v>0.66666666666666663</v>
      </c>
      <c r="H42" s="88">
        <f t="shared" si="4"/>
        <v>1</v>
      </c>
      <c r="I42" s="88">
        <f t="shared" si="4"/>
        <v>0.58333333333333337</v>
      </c>
      <c r="J42" s="88">
        <f t="shared" si="4"/>
        <v>0.3923611111111111</v>
      </c>
      <c r="K42" s="88">
        <f t="shared" si="4"/>
        <v>0.35485347985347987</v>
      </c>
      <c r="L42" s="88">
        <f t="shared" si="4"/>
        <v>0.203125</v>
      </c>
      <c r="M42" s="88">
        <f t="shared" si="4"/>
        <v>0.21401515151515152</v>
      </c>
      <c r="N42" s="88" t="str">
        <f t="shared" si="4"/>
        <v/>
      </c>
      <c r="O42" s="88" t="str">
        <f t="shared" si="4"/>
        <v/>
      </c>
      <c r="P42" s="88" t="str">
        <f t="shared" si="4"/>
        <v/>
      </c>
      <c r="Q42" s="88" t="str">
        <f t="shared" si="4"/>
        <v/>
      </c>
      <c r="R42" s="88" t="str">
        <f t="shared" si="4"/>
        <v/>
      </c>
      <c r="S42" s="88" cm="1">
        <f t="array" ref="S42">IF($B42="","",_xlfn.LET(_xlpm.p,$D42:$R42,_xlpm.w,$D$18:$R$18,_xlpm.k,ISNUMBER(_xlpm.p)*ISNUMBER(_xlpm.w),IFERROR(SUM(IF(_xlpm.k,_xlpm.p*_xlpm.w,0))/SUM(IF(_xlpm.k,_xlpm.w,0)),0)))</f>
        <v>0.56476880758130754</v>
      </c>
      <c r="T42" s="89">
        <f>IF(OR($B42="",N($C42)&lt;=0),"",S42/$C42*100)</f>
        <v>0.32272503290360433</v>
      </c>
    </row>
    <row r="43" spans="1:20" x14ac:dyDescent="0.25">
      <c r="A43" s="82">
        <v>2</v>
      </c>
      <c r="B43" t="str">
        <f t="shared" ref="B43:B56" si="5">B20</f>
        <v>Plague Marines (Meele)</v>
      </c>
      <c r="C43" s="90" cm="1">
        <f t="array" ref="C43">IF($B43="","",INDEX(_xlfn.ANCHORARRAY(Roster!$AP$6),$A43,3))</f>
        <v>175</v>
      </c>
      <c r="D43" s="88">
        <f t="shared" ref="D43:R43" si="6">IF(OR($B43="",D$41=""),"",MIN(1,D20/MAX(1,D$17)))</f>
        <v>1</v>
      </c>
      <c r="E43" s="88">
        <f t="shared" si="6"/>
        <v>1</v>
      </c>
      <c r="F43" s="88">
        <f t="shared" si="6"/>
        <v>0.53055555555555556</v>
      </c>
      <c r="G43" s="88">
        <f t="shared" si="6"/>
        <v>1</v>
      </c>
      <c r="H43" s="88">
        <f t="shared" si="6"/>
        <v>1</v>
      </c>
      <c r="I43" s="88">
        <f t="shared" si="6"/>
        <v>0.93333333333333313</v>
      </c>
      <c r="J43" s="88">
        <f t="shared" si="6"/>
        <v>0.70370370370370372</v>
      </c>
      <c r="K43" s="88">
        <f t="shared" si="6"/>
        <v>0.61782661782661774</v>
      </c>
      <c r="L43" s="88">
        <f t="shared" si="6"/>
        <v>0.39583333333333337</v>
      </c>
      <c r="M43" s="88">
        <f t="shared" si="6"/>
        <v>0.38383838383838381</v>
      </c>
      <c r="N43" s="88" t="str">
        <f t="shared" si="6"/>
        <v/>
      </c>
      <c r="O43" s="88" t="str">
        <f t="shared" si="6"/>
        <v/>
      </c>
      <c r="P43" s="88" t="str">
        <f t="shared" si="6"/>
        <v/>
      </c>
      <c r="Q43" s="88" t="str">
        <f t="shared" si="6"/>
        <v/>
      </c>
      <c r="R43" s="88" t="str">
        <f t="shared" si="6"/>
        <v/>
      </c>
      <c r="S43" s="88" cm="1">
        <f t="array" ref="S43">IF($B43="","",_xlfn.LET(_xlpm.p,$D43:$R43,_xlpm.w,$D$18:$R$18,_xlpm.k,ISNUMBER(_xlpm.p)*ISNUMBER(_xlpm.w),IFERROR(SUM(IF(_xlpm.k,_xlpm.p*_xlpm.w,0))/SUM(IF(_xlpm.k,_xlpm.w,0)),0)))</f>
        <v>0.75650909275909273</v>
      </c>
      <c r="T43" s="89">
        <f t="shared" ref="T43:T56" si="7">IF(OR($B43="",N($C43)&lt;=0),"",S43/$C43*100)</f>
        <v>0.43229091014805293</v>
      </c>
    </row>
    <row r="44" spans="1:20" x14ac:dyDescent="0.25">
      <c r="A44" s="82">
        <v>3</v>
      </c>
      <c r="B44" t="str">
        <f t="shared" si="5"/>
        <v>Deathshroud Terminators</v>
      </c>
      <c r="C44" s="90" cm="1">
        <f t="array" ref="C44">IF($B44="","",INDEX(_xlfn.ANCHORARRAY(Roster!$AP$6),$A44,3))</f>
        <v>150</v>
      </c>
      <c r="D44" s="88">
        <f t="shared" ref="D44:R44" si="8">IF(OR($B44="",D$41=""),"",MIN(1,D21/MAX(1,D$17)))</f>
        <v>1</v>
      </c>
      <c r="E44" s="88">
        <f t="shared" si="8"/>
        <v>1</v>
      </c>
      <c r="F44" s="88">
        <f t="shared" si="8"/>
        <v>0.54444444444444451</v>
      </c>
      <c r="G44" s="88">
        <f t="shared" si="8"/>
        <v>1</v>
      </c>
      <c r="H44" s="88">
        <f t="shared" si="8"/>
        <v>1</v>
      </c>
      <c r="I44" s="88">
        <f t="shared" si="8"/>
        <v>0.92222222222222205</v>
      </c>
      <c r="J44" s="88">
        <f t="shared" si="8"/>
        <v>0.76851851851851849</v>
      </c>
      <c r="K44" s="88">
        <f t="shared" si="8"/>
        <v>0.67521367521367515</v>
      </c>
      <c r="L44" s="88">
        <f t="shared" si="8"/>
        <v>0.41666666666666663</v>
      </c>
      <c r="M44" s="88">
        <f t="shared" si="8"/>
        <v>0.41919191919191917</v>
      </c>
      <c r="N44" s="88" t="str">
        <f t="shared" si="8"/>
        <v/>
      </c>
      <c r="O44" s="88" t="str">
        <f t="shared" si="8"/>
        <v/>
      </c>
      <c r="P44" s="88" t="str">
        <f t="shared" si="8"/>
        <v/>
      </c>
      <c r="Q44" s="88" t="str">
        <f t="shared" si="8"/>
        <v/>
      </c>
      <c r="R44" s="88" t="str">
        <f t="shared" si="8"/>
        <v/>
      </c>
      <c r="S44" s="88" cm="1">
        <f t="array" ref="S44">IF($B44="","",_xlfn.LET(_xlpm.p,$D44:$R44,_xlpm.w,$D$18:$R$18,_xlpm.k,ISNUMBER(_xlpm.p)*ISNUMBER(_xlpm.w),IFERROR(SUM(IF(_xlpm.k,_xlpm.p*_xlpm.w,0))/SUM(IF(_xlpm.k,_xlpm.w,0)),0)))</f>
        <v>0.77462574462574474</v>
      </c>
      <c r="T44" s="89">
        <f t="shared" si="7"/>
        <v>0.5164171630838299</v>
      </c>
    </row>
    <row r="45" spans="1:20" x14ac:dyDescent="0.25">
      <c r="A45" s="82">
        <v>4</v>
      </c>
      <c r="B45" t="str">
        <f t="shared" si="5"/>
        <v>Lord of Contagion</v>
      </c>
      <c r="C45" s="90" cm="1">
        <f t="array" ref="C45">IF($B45="","",INDEX(_xlfn.ANCHORARRAY(Roster!$AP$6),$A45,3))</f>
        <v>110</v>
      </c>
      <c r="D45" s="88">
        <f t="shared" ref="D45:R45" si="9">IF(OR($B45="",D$41=""),"",MIN(1,D22/MAX(1,D$17)))</f>
        <v>0.62222222222222234</v>
      </c>
      <c r="E45" s="88">
        <f t="shared" si="9"/>
        <v>0.55185185185185193</v>
      </c>
      <c r="F45" s="88">
        <f t="shared" si="9"/>
        <v>0.18148148148148149</v>
      </c>
      <c r="G45" s="88">
        <f t="shared" si="9"/>
        <v>0.41975308641975312</v>
      </c>
      <c r="H45" s="88">
        <f t="shared" si="9"/>
        <v>0.81481481481481488</v>
      </c>
      <c r="I45" s="88">
        <f t="shared" si="9"/>
        <v>0.30740740740740741</v>
      </c>
      <c r="J45" s="88">
        <f t="shared" si="9"/>
        <v>0.25617283950617281</v>
      </c>
      <c r="K45" s="88">
        <f t="shared" si="9"/>
        <v>0.22507122507122507</v>
      </c>
      <c r="L45" s="88">
        <f t="shared" si="9"/>
        <v>0.1388888888888889</v>
      </c>
      <c r="M45" s="88">
        <f t="shared" si="9"/>
        <v>0.13973063973063973</v>
      </c>
      <c r="N45" s="88" t="str">
        <f t="shared" si="9"/>
        <v/>
      </c>
      <c r="O45" s="88" t="str">
        <f t="shared" si="9"/>
        <v/>
      </c>
      <c r="P45" s="88" t="str">
        <f t="shared" si="9"/>
        <v/>
      </c>
      <c r="Q45" s="88" t="str">
        <f t="shared" si="9"/>
        <v/>
      </c>
      <c r="R45" s="88" t="str">
        <f t="shared" si="9"/>
        <v/>
      </c>
      <c r="S45" s="88" cm="1">
        <f t="array" ref="S45">IF($B45="","",_xlfn.LET(_xlpm.p,$D45:$R45,_xlpm.w,$D$18:$R$18,_xlpm.k,ISNUMBER(_xlpm.p)*ISNUMBER(_xlpm.w),IFERROR(SUM(IF(_xlpm.k,_xlpm.p*_xlpm.w,0))/SUM(IF(_xlpm.k,_xlpm.w,0)),0)))</f>
        <v>0.36573944573944578</v>
      </c>
      <c r="T45" s="89">
        <f t="shared" si="7"/>
        <v>0.33249040521767798</v>
      </c>
    </row>
    <row r="46" spans="1:20" x14ac:dyDescent="0.25">
      <c r="A46" s="82">
        <v>5</v>
      </c>
      <c r="B46" t="str">
        <f t="shared" si="5"/>
        <v>Typhus</v>
      </c>
      <c r="C46" s="90" cm="1">
        <f t="array" ref="C46">IF($B46="","",INDEX(_xlfn.ANCHORARRAY(Roster!$AP$6),$A46,3))</f>
        <v>90</v>
      </c>
      <c r="D46" s="88">
        <f t="shared" ref="D46:R46" si="10">IF(OR($B46="",D$41=""),"",MIN(1,D23/MAX(1,D$17)))</f>
        <v>1</v>
      </c>
      <c r="E46" s="88">
        <f t="shared" si="10"/>
        <v>0.94444444444444442</v>
      </c>
      <c r="F46" s="88">
        <f t="shared" si="10"/>
        <v>0.52962962962962956</v>
      </c>
      <c r="G46" s="88">
        <f t="shared" si="10"/>
        <v>1</v>
      </c>
      <c r="H46" s="88">
        <f t="shared" si="10"/>
        <v>1</v>
      </c>
      <c r="I46" s="88">
        <f t="shared" si="10"/>
        <v>0.73333333333333328</v>
      </c>
      <c r="J46" s="88">
        <f t="shared" si="10"/>
        <v>0.58333333333333326</v>
      </c>
      <c r="K46" s="88">
        <f t="shared" si="10"/>
        <v>0.49059829059829052</v>
      </c>
      <c r="L46" s="88">
        <f t="shared" si="10"/>
        <v>0.26388888888888884</v>
      </c>
      <c r="M46" s="88">
        <f t="shared" si="10"/>
        <v>0.27020202020202017</v>
      </c>
      <c r="N46" s="88" t="str">
        <f t="shared" si="10"/>
        <v/>
      </c>
      <c r="O46" s="88" t="str">
        <f t="shared" si="10"/>
        <v/>
      </c>
      <c r="P46" s="88" t="str">
        <f t="shared" si="10"/>
        <v/>
      </c>
      <c r="Q46" s="88" t="str">
        <f t="shared" si="10"/>
        <v/>
      </c>
      <c r="R46" s="88" t="str">
        <f t="shared" si="10"/>
        <v/>
      </c>
      <c r="S46" s="88" cm="1">
        <f t="array" ref="S46">IF($B46="","",_xlfn.LET(_xlpm.p,$D46:$R46,_xlpm.w,$D$18:$R$18,_xlpm.k,ISNUMBER(_xlpm.p)*ISNUMBER(_xlpm.w),IFERROR(SUM(IF(_xlpm.k,_xlpm.p*_xlpm.w,0))/SUM(IF(_xlpm.k,_xlpm.w,0)),0)))</f>
        <v>0.6815429940429939</v>
      </c>
      <c r="T46" s="89">
        <f t="shared" si="7"/>
        <v>0.75726999338110434</v>
      </c>
    </row>
    <row r="47" spans="1:20" x14ac:dyDescent="0.25">
      <c r="A47" s="82">
        <v>6</v>
      </c>
      <c r="B47" t="str">
        <f t="shared" si="5"/>
        <v>Myphitic Blight Hauler</v>
      </c>
      <c r="C47" s="90" cm="1">
        <f t="array" ref="C47">IF($B47="","",INDEX(_xlfn.ANCHORARRAY(Roster!$AP$6),$A47,3))</f>
        <v>95</v>
      </c>
      <c r="D47" s="88">
        <f t="shared" ref="D47:R47" si="11">IF(OR($B47="",D$41=""),"",MIN(1,D24/MAX(1,D$17)))</f>
        <v>0.19444444444444448</v>
      </c>
      <c r="E47" s="88">
        <f t="shared" si="11"/>
        <v>0.1</v>
      </c>
      <c r="F47" s="88">
        <f t="shared" si="11"/>
        <v>4.4444444444444439E-2</v>
      </c>
      <c r="G47" s="88">
        <f t="shared" si="11"/>
        <v>9.2592592592592601E-2</v>
      </c>
      <c r="H47" s="88">
        <f t="shared" si="11"/>
        <v>0.2</v>
      </c>
      <c r="I47" s="88">
        <f t="shared" si="11"/>
        <v>6.6666666666666666E-2</v>
      </c>
      <c r="J47" s="88">
        <f t="shared" si="11"/>
        <v>5.5555555555555552E-2</v>
      </c>
      <c r="K47" s="88">
        <f t="shared" si="11"/>
        <v>5.128205128205128E-2</v>
      </c>
      <c r="L47" s="88">
        <f t="shared" si="11"/>
        <v>2.0833333333333332E-2</v>
      </c>
      <c r="M47" s="88">
        <f t="shared" si="11"/>
        <v>2.2727272727272728E-2</v>
      </c>
      <c r="N47" s="88" t="str">
        <f t="shared" si="11"/>
        <v/>
      </c>
      <c r="O47" s="88" t="str">
        <f t="shared" si="11"/>
        <v/>
      </c>
      <c r="P47" s="88" t="str">
        <f t="shared" si="11"/>
        <v/>
      </c>
      <c r="Q47" s="88" t="str">
        <f t="shared" si="11"/>
        <v/>
      </c>
      <c r="R47" s="88" t="str">
        <f t="shared" si="11"/>
        <v/>
      </c>
      <c r="S47" s="88" cm="1">
        <f t="array" ref="S47">IF($B47="","",_xlfn.LET(_xlpm.p,$D47:$R47,_xlpm.w,$D$18:$R$18,_xlpm.k,ISNUMBER(_xlpm.p)*ISNUMBER(_xlpm.w),IFERROR(SUM(IF(_xlpm.k,_xlpm.p*_xlpm.w,0))/SUM(IF(_xlpm.k,_xlpm.w,0)),0)))</f>
        <v>8.4854636104636116E-2</v>
      </c>
      <c r="T47" s="89">
        <f t="shared" si="7"/>
        <v>8.9320669583827492E-2</v>
      </c>
    </row>
    <row r="48" spans="1:20" x14ac:dyDescent="0.25">
      <c r="A48" s="82">
        <v>7</v>
      </c>
      <c r="B48" t="str">
        <f t="shared" si="5"/>
        <v>Tallyman</v>
      </c>
      <c r="C48" s="90" cm="1">
        <f t="array" ref="C48">IF($B48="","",INDEX(_xlfn.ANCHORARRAY(Roster!$AP$6),$A48,3))</f>
        <v>60</v>
      </c>
      <c r="D48" s="88">
        <f t="shared" ref="D48:R48" si="12">IF(OR($B48="",D$41=""),"",MIN(1,D25/MAX(1,D$17)))</f>
        <v>0.11851851851851851</v>
      </c>
      <c r="E48" s="88">
        <f t="shared" si="12"/>
        <v>5.9259259259259255E-2</v>
      </c>
      <c r="F48" s="88">
        <f t="shared" si="12"/>
        <v>1.4814814814814814E-2</v>
      </c>
      <c r="G48" s="88">
        <f t="shared" si="12"/>
        <v>3.2921810699588473E-2</v>
      </c>
      <c r="H48" s="88">
        <f t="shared" si="12"/>
        <v>0.11851851851851851</v>
      </c>
      <c r="I48" s="88">
        <f t="shared" si="12"/>
        <v>2.9629629629629627E-2</v>
      </c>
      <c r="J48" s="88">
        <f t="shared" si="12"/>
        <v>1.2345679012345678E-2</v>
      </c>
      <c r="K48" s="88">
        <f t="shared" si="12"/>
        <v>1.1396011396011395E-2</v>
      </c>
      <c r="L48" s="88">
        <f t="shared" si="12"/>
        <v>4.6296296296296294E-3</v>
      </c>
      <c r="M48" s="88">
        <f t="shared" si="12"/>
        <v>6.7340067340067337E-3</v>
      </c>
      <c r="N48" s="88" t="str">
        <f t="shared" si="12"/>
        <v/>
      </c>
      <c r="O48" s="88" t="str">
        <f t="shared" si="12"/>
        <v/>
      </c>
      <c r="P48" s="88" t="str">
        <f t="shared" si="12"/>
        <v/>
      </c>
      <c r="Q48" s="88" t="str">
        <f t="shared" si="12"/>
        <v/>
      </c>
      <c r="R48" s="88" t="str">
        <f t="shared" si="12"/>
        <v/>
      </c>
      <c r="S48" s="88" cm="1">
        <f t="array" ref="S48">IF($B48="","",_xlfn.LET(_xlpm.p,$D48:$R48,_xlpm.w,$D$18:$R$18,_xlpm.k,ISNUMBER(_xlpm.p)*ISNUMBER(_xlpm.w),IFERROR(SUM(IF(_xlpm.k,_xlpm.p*_xlpm.w,0))/SUM(IF(_xlpm.k,_xlpm.w,0)),0)))</f>
        <v>4.0876787821232261E-2</v>
      </c>
      <c r="T48" s="89">
        <f t="shared" si="7"/>
        <v>6.8127979702053768E-2</v>
      </c>
    </row>
    <row r="49" spans="1:20" x14ac:dyDescent="0.25">
      <c r="A49" s="82">
        <v>8</v>
      </c>
      <c r="B49" t="str">
        <f t="shared" si="5"/>
        <v>Lord of Poxes</v>
      </c>
      <c r="C49" s="90" cm="1">
        <f t="array" ref="C49">IF($B49="","",INDEX(_xlfn.ANCHORARRAY(Roster!$AP$6),$A49,3))</f>
        <v>65</v>
      </c>
      <c r="D49" s="88">
        <f t="shared" ref="D49:R49" si="13">IF(OR($B49="",D$41=""),"",MIN(1,D26/MAX(1,D$17)))</f>
        <v>0.4333333333333334</v>
      </c>
      <c r="E49" s="88">
        <f t="shared" si="13"/>
        <v>0.62222222222222234</v>
      </c>
      <c r="F49" s="88">
        <f t="shared" si="13"/>
        <v>0.21666666666666665</v>
      </c>
      <c r="G49" s="88">
        <f t="shared" si="13"/>
        <v>0.44444444444444442</v>
      </c>
      <c r="H49" s="88">
        <f t="shared" si="13"/>
        <v>0.83333333333333348</v>
      </c>
      <c r="I49" s="88">
        <f t="shared" si="13"/>
        <v>0.35555555555555551</v>
      </c>
      <c r="J49" s="88">
        <f t="shared" si="13"/>
        <v>0.29629629629629628</v>
      </c>
      <c r="K49" s="88">
        <f t="shared" si="13"/>
        <v>0.25396825396825395</v>
      </c>
      <c r="L49" s="88">
        <f t="shared" si="13"/>
        <v>0.1875</v>
      </c>
      <c r="M49" s="88">
        <f t="shared" si="13"/>
        <v>0.1616161616161616</v>
      </c>
      <c r="N49" s="88" t="str">
        <f t="shared" si="13"/>
        <v/>
      </c>
      <c r="O49" s="88" t="str">
        <f t="shared" si="13"/>
        <v/>
      </c>
      <c r="P49" s="88" t="str">
        <f t="shared" si="13"/>
        <v/>
      </c>
      <c r="Q49" s="88" t="str">
        <f t="shared" si="13"/>
        <v/>
      </c>
      <c r="R49" s="88" t="str">
        <f t="shared" si="13"/>
        <v/>
      </c>
      <c r="S49" s="88" cm="1">
        <f t="array" ref="S49">IF($B49="","",_xlfn.LET(_xlpm.p,$D49:$R49,_xlpm.w,$D$18:$R$18,_xlpm.k,ISNUMBER(_xlpm.p)*ISNUMBER(_xlpm.w),IFERROR(SUM(IF(_xlpm.k,_xlpm.p*_xlpm.w,0))/SUM(IF(_xlpm.k,_xlpm.w,0)),0)))</f>
        <v>0.3804936267436268</v>
      </c>
      <c r="T49" s="89">
        <f t="shared" si="7"/>
        <v>0.58537481037481043</v>
      </c>
    </row>
    <row r="50" spans="1:20" x14ac:dyDescent="0.25">
      <c r="A50" s="82">
        <v>9</v>
      </c>
      <c r="B50" t="str">
        <f t="shared" si="5"/>
        <v>Chaos Spawn</v>
      </c>
      <c r="C50" s="90" cm="1">
        <f t="array" ref="C50">IF($B50="","",INDEX(_xlfn.ANCHORARRAY(Roster!$AP$6),$A50,3))</f>
        <v>80</v>
      </c>
      <c r="D50" s="88">
        <f t="shared" ref="D50:R50" si="14">IF(OR($B50="",D$41=""),"",MIN(1,D27/MAX(1,D$17)))</f>
        <v>0.30555555555555552</v>
      </c>
      <c r="E50" s="88">
        <f t="shared" si="14"/>
        <v>0.36666666666666664</v>
      </c>
      <c r="F50" s="88">
        <f t="shared" si="14"/>
        <v>9.166666666666666E-2</v>
      </c>
      <c r="G50" s="88">
        <f t="shared" si="14"/>
        <v>0.15277777777777776</v>
      </c>
      <c r="H50" s="88">
        <f t="shared" si="14"/>
        <v>0.61111111111111105</v>
      </c>
      <c r="I50" s="88">
        <f t="shared" si="14"/>
        <v>0.18333333333333332</v>
      </c>
      <c r="J50" s="88">
        <f t="shared" si="14"/>
        <v>7.6388888888888881E-2</v>
      </c>
      <c r="K50" s="88">
        <f t="shared" si="14"/>
        <v>6.5476190476190479E-2</v>
      </c>
      <c r="L50" s="88">
        <f t="shared" si="14"/>
        <v>3.8194444444444441E-2</v>
      </c>
      <c r="M50" s="88">
        <f t="shared" si="14"/>
        <v>4.1666666666666664E-2</v>
      </c>
      <c r="N50" s="88" t="str">
        <f t="shared" si="14"/>
        <v/>
      </c>
      <c r="O50" s="88" t="str">
        <f t="shared" si="14"/>
        <v/>
      </c>
      <c r="P50" s="88" t="str">
        <f t="shared" si="14"/>
        <v/>
      </c>
      <c r="Q50" s="88" t="str">
        <f t="shared" si="14"/>
        <v/>
      </c>
      <c r="R50" s="88" t="str">
        <f t="shared" si="14"/>
        <v/>
      </c>
      <c r="S50" s="88" cm="1">
        <f t="array" ref="S50">IF($B50="","",_xlfn.LET(_xlpm.p,$D50:$R50,_xlpm.w,$D$18:$R$18,_xlpm.k,ISNUMBER(_xlpm.p)*ISNUMBER(_xlpm.w),IFERROR(SUM(IF(_xlpm.k,_xlpm.p*_xlpm.w,0))/SUM(IF(_xlpm.k,_xlpm.w,0)),0)))</f>
        <v>0.19328373015873015</v>
      </c>
      <c r="T50" s="89">
        <f t="shared" si="7"/>
        <v>0.24160466269841269</v>
      </c>
    </row>
    <row r="51" spans="1:20" x14ac:dyDescent="0.25">
      <c r="A51" s="82">
        <v>10</v>
      </c>
      <c r="B51" t="str">
        <f t="shared" si="5"/>
        <v/>
      </c>
      <c r="C51" s="90" t="str" cm="1">
        <f t="array" ref="C51">IF($B51="","",INDEX(_xlfn.ANCHORARRAY(Roster!$AP$6),$A51,3))</f>
        <v/>
      </c>
      <c r="D51" s="88" t="str">
        <f t="shared" ref="D51:R51" si="15">IF(OR($B51="",D$41=""),"",MIN(1,D28/MAX(1,D$17)))</f>
        <v/>
      </c>
      <c r="E51" s="88" t="str">
        <f t="shared" si="15"/>
        <v/>
      </c>
      <c r="F51" s="88" t="str">
        <f t="shared" si="15"/>
        <v/>
      </c>
      <c r="G51" s="88" t="str">
        <f t="shared" si="15"/>
        <v/>
      </c>
      <c r="H51" s="88" t="str">
        <f t="shared" si="15"/>
        <v/>
      </c>
      <c r="I51" s="88" t="str">
        <f t="shared" si="15"/>
        <v/>
      </c>
      <c r="J51" s="88" t="str">
        <f t="shared" si="15"/>
        <v/>
      </c>
      <c r="K51" s="88" t="str">
        <f t="shared" si="15"/>
        <v/>
      </c>
      <c r="L51" s="88" t="str">
        <f t="shared" si="15"/>
        <v/>
      </c>
      <c r="M51" s="88" t="str">
        <f t="shared" si="15"/>
        <v/>
      </c>
      <c r="N51" s="88" t="str">
        <f t="shared" si="15"/>
        <v/>
      </c>
      <c r="O51" s="88" t="str">
        <f t="shared" si="15"/>
        <v/>
      </c>
      <c r="P51" s="88" t="str">
        <f t="shared" si="15"/>
        <v/>
      </c>
      <c r="Q51" s="88" t="str">
        <f t="shared" si="15"/>
        <v/>
      </c>
      <c r="R51" s="88" t="str">
        <f t="shared" si="15"/>
        <v/>
      </c>
      <c r="S51" s="88" t="str" cm="1">
        <f t="array" ref="S51">IF($B51="","",_xlfn.LET(_xlpm.p,$D51:$R51,_xlpm.w,$D$18:$R$18,_xlpm.k,ISNUMBER(_xlpm.p)*ISNUMBER(_xlpm.w),IFERROR(SUM(IF(_xlpm.k,_xlpm.p*_xlpm.w,0))/SUM(IF(_xlpm.k,_xlpm.w,0)),0)))</f>
        <v/>
      </c>
      <c r="T51" s="89" t="str">
        <f t="shared" si="7"/>
        <v/>
      </c>
    </row>
    <row r="52" spans="1:20" x14ac:dyDescent="0.25">
      <c r="A52" s="82">
        <v>11</v>
      </c>
      <c r="B52" t="str">
        <f t="shared" si="5"/>
        <v/>
      </c>
      <c r="C52" s="90" t="str" cm="1">
        <f t="array" ref="C52">IF($B52="","",INDEX(_xlfn.ANCHORARRAY(Roster!$AP$6),$A52,3))</f>
        <v/>
      </c>
      <c r="D52" s="88" t="str">
        <f t="shared" ref="D52:R52" si="16">IF(OR($B52="",D$41=""),"",MIN(1,D29/MAX(1,D$17)))</f>
        <v/>
      </c>
      <c r="E52" s="88" t="str">
        <f t="shared" si="16"/>
        <v/>
      </c>
      <c r="F52" s="88" t="str">
        <f t="shared" si="16"/>
        <v/>
      </c>
      <c r="G52" s="88" t="str">
        <f t="shared" si="16"/>
        <v/>
      </c>
      <c r="H52" s="88" t="str">
        <f t="shared" si="16"/>
        <v/>
      </c>
      <c r="I52" s="88" t="str">
        <f t="shared" si="16"/>
        <v/>
      </c>
      <c r="J52" s="88" t="str">
        <f t="shared" si="16"/>
        <v/>
      </c>
      <c r="K52" s="88" t="str">
        <f t="shared" si="16"/>
        <v/>
      </c>
      <c r="L52" s="88" t="str">
        <f t="shared" si="16"/>
        <v/>
      </c>
      <c r="M52" s="88" t="str">
        <f t="shared" si="16"/>
        <v/>
      </c>
      <c r="N52" s="88" t="str">
        <f t="shared" si="16"/>
        <v/>
      </c>
      <c r="O52" s="88" t="str">
        <f t="shared" si="16"/>
        <v/>
      </c>
      <c r="P52" s="88" t="str">
        <f t="shared" si="16"/>
        <v/>
      </c>
      <c r="Q52" s="88" t="str">
        <f t="shared" si="16"/>
        <v/>
      </c>
      <c r="R52" s="88" t="str">
        <f t="shared" si="16"/>
        <v/>
      </c>
      <c r="S52" s="88" t="str" cm="1">
        <f t="array" ref="S52">IF($B52="","",_xlfn.LET(_xlpm.p,$D52:$R52,_xlpm.w,$D$18:$R$18,_xlpm.k,ISNUMBER(_xlpm.p)*ISNUMBER(_xlpm.w),IFERROR(SUM(IF(_xlpm.k,_xlpm.p*_xlpm.w,0))/SUM(IF(_xlpm.k,_xlpm.w,0)),0)))</f>
        <v/>
      </c>
      <c r="T52" s="89" t="str">
        <f t="shared" si="7"/>
        <v/>
      </c>
    </row>
    <row r="53" spans="1:20" x14ac:dyDescent="0.25">
      <c r="A53" s="82">
        <v>12</v>
      </c>
      <c r="B53" t="str">
        <f t="shared" si="5"/>
        <v/>
      </c>
      <c r="C53" s="90" t="str" cm="1">
        <f t="array" ref="C53">IF($B53="","",INDEX(_xlfn.ANCHORARRAY(Roster!$AP$6),$A53,3))</f>
        <v/>
      </c>
      <c r="D53" s="88" t="str">
        <f t="shared" ref="D53:R53" si="17">IF(OR($B53="",D$41=""),"",MIN(1,D30/MAX(1,D$17)))</f>
        <v/>
      </c>
      <c r="E53" s="88" t="str">
        <f t="shared" si="17"/>
        <v/>
      </c>
      <c r="F53" s="88" t="str">
        <f t="shared" si="17"/>
        <v/>
      </c>
      <c r="G53" s="88" t="str">
        <f t="shared" si="17"/>
        <v/>
      </c>
      <c r="H53" s="88" t="str">
        <f t="shared" si="17"/>
        <v/>
      </c>
      <c r="I53" s="88" t="str">
        <f t="shared" si="17"/>
        <v/>
      </c>
      <c r="J53" s="88" t="str">
        <f t="shared" si="17"/>
        <v/>
      </c>
      <c r="K53" s="88" t="str">
        <f t="shared" si="17"/>
        <v/>
      </c>
      <c r="L53" s="88" t="str">
        <f t="shared" si="17"/>
        <v/>
      </c>
      <c r="M53" s="88" t="str">
        <f t="shared" si="17"/>
        <v/>
      </c>
      <c r="N53" s="88" t="str">
        <f t="shared" si="17"/>
        <v/>
      </c>
      <c r="O53" s="88" t="str">
        <f t="shared" si="17"/>
        <v/>
      </c>
      <c r="P53" s="88" t="str">
        <f t="shared" si="17"/>
        <v/>
      </c>
      <c r="Q53" s="88" t="str">
        <f t="shared" si="17"/>
        <v/>
      </c>
      <c r="R53" s="88" t="str">
        <f t="shared" si="17"/>
        <v/>
      </c>
      <c r="S53" s="88" t="str" cm="1">
        <f t="array" ref="S53">IF($B53="","",_xlfn.LET(_xlpm.p,$D53:$R53,_xlpm.w,$D$18:$R$18,_xlpm.k,ISNUMBER(_xlpm.p)*ISNUMBER(_xlpm.w),IFERROR(SUM(IF(_xlpm.k,_xlpm.p*_xlpm.w,0))/SUM(IF(_xlpm.k,_xlpm.w,0)),0)))</f>
        <v/>
      </c>
      <c r="T53" s="89" t="str">
        <f t="shared" si="7"/>
        <v/>
      </c>
    </row>
    <row r="54" spans="1:20" x14ac:dyDescent="0.25">
      <c r="A54" s="82">
        <v>13</v>
      </c>
      <c r="B54" t="str">
        <f t="shared" si="5"/>
        <v/>
      </c>
      <c r="C54" s="90" t="str" cm="1">
        <f t="array" ref="C54">IF($B54="","",INDEX(_xlfn.ANCHORARRAY(Roster!$AP$6),$A54,3))</f>
        <v/>
      </c>
      <c r="D54" s="88" t="str">
        <f t="shared" ref="D54:R54" si="18">IF(OR($B54="",D$41=""),"",MIN(1,D31/MAX(1,D$17)))</f>
        <v/>
      </c>
      <c r="E54" s="88" t="str">
        <f t="shared" si="18"/>
        <v/>
      </c>
      <c r="F54" s="88" t="str">
        <f t="shared" si="18"/>
        <v/>
      </c>
      <c r="G54" s="88" t="str">
        <f t="shared" si="18"/>
        <v/>
      </c>
      <c r="H54" s="88" t="str">
        <f t="shared" si="18"/>
        <v/>
      </c>
      <c r="I54" s="88" t="str">
        <f t="shared" si="18"/>
        <v/>
      </c>
      <c r="J54" s="88" t="str">
        <f t="shared" si="18"/>
        <v/>
      </c>
      <c r="K54" s="88" t="str">
        <f t="shared" si="18"/>
        <v/>
      </c>
      <c r="L54" s="88" t="str">
        <f t="shared" si="18"/>
        <v/>
      </c>
      <c r="M54" s="88" t="str">
        <f t="shared" si="18"/>
        <v/>
      </c>
      <c r="N54" s="88" t="str">
        <f t="shared" si="18"/>
        <v/>
      </c>
      <c r="O54" s="88" t="str">
        <f t="shared" si="18"/>
        <v/>
      </c>
      <c r="P54" s="88" t="str">
        <f t="shared" si="18"/>
        <v/>
      </c>
      <c r="Q54" s="88" t="str">
        <f t="shared" si="18"/>
        <v/>
      </c>
      <c r="R54" s="88" t="str">
        <f t="shared" si="18"/>
        <v/>
      </c>
      <c r="S54" s="88" t="str" cm="1">
        <f t="array" ref="S54">IF($B54="","",_xlfn.LET(_xlpm.p,$D54:$R54,_xlpm.w,$D$18:$R$18,_xlpm.k,ISNUMBER(_xlpm.p)*ISNUMBER(_xlpm.w),IFERROR(SUM(IF(_xlpm.k,_xlpm.p*_xlpm.w,0))/SUM(IF(_xlpm.k,_xlpm.w,0)),0)))</f>
        <v/>
      </c>
      <c r="T54" s="89" t="str">
        <f t="shared" si="7"/>
        <v/>
      </c>
    </row>
    <row r="55" spans="1:20" x14ac:dyDescent="0.25">
      <c r="A55" s="82">
        <v>14</v>
      </c>
      <c r="B55" t="str">
        <f t="shared" si="5"/>
        <v/>
      </c>
      <c r="C55" s="90" t="str" cm="1">
        <f t="array" ref="C55">IF($B55="","",INDEX(_xlfn.ANCHORARRAY(Roster!$AP$6),$A55,3))</f>
        <v/>
      </c>
      <c r="D55" s="88" t="str">
        <f t="shared" ref="D55:R55" si="19">IF(OR($B55="",D$41=""),"",MIN(1,D32/MAX(1,D$17)))</f>
        <v/>
      </c>
      <c r="E55" s="88" t="str">
        <f t="shared" si="19"/>
        <v/>
      </c>
      <c r="F55" s="88" t="str">
        <f t="shared" si="19"/>
        <v/>
      </c>
      <c r="G55" s="88" t="str">
        <f t="shared" si="19"/>
        <v/>
      </c>
      <c r="H55" s="88" t="str">
        <f t="shared" si="19"/>
        <v/>
      </c>
      <c r="I55" s="88" t="str">
        <f t="shared" si="19"/>
        <v/>
      </c>
      <c r="J55" s="88" t="str">
        <f t="shared" si="19"/>
        <v/>
      </c>
      <c r="K55" s="88" t="str">
        <f t="shared" si="19"/>
        <v/>
      </c>
      <c r="L55" s="88" t="str">
        <f t="shared" si="19"/>
        <v/>
      </c>
      <c r="M55" s="88" t="str">
        <f t="shared" si="19"/>
        <v/>
      </c>
      <c r="N55" s="88" t="str">
        <f t="shared" si="19"/>
        <v/>
      </c>
      <c r="O55" s="88" t="str">
        <f t="shared" si="19"/>
        <v/>
      </c>
      <c r="P55" s="88" t="str">
        <f t="shared" si="19"/>
        <v/>
      </c>
      <c r="Q55" s="88" t="str">
        <f t="shared" si="19"/>
        <v/>
      </c>
      <c r="R55" s="88" t="str">
        <f t="shared" si="19"/>
        <v/>
      </c>
      <c r="S55" s="88" t="str" cm="1">
        <f t="array" ref="S55">IF($B55="","",_xlfn.LET(_xlpm.p,$D55:$R55,_xlpm.w,$D$18:$R$18,_xlpm.k,ISNUMBER(_xlpm.p)*ISNUMBER(_xlpm.w),IFERROR(SUM(IF(_xlpm.k,_xlpm.p*_xlpm.w,0))/SUM(IF(_xlpm.k,_xlpm.w,0)),0)))</f>
        <v/>
      </c>
      <c r="T55" s="89" t="str">
        <f t="shared" si="7"/>
        <v/>
      </c>
    </row>
    <row r="56" spans="1:20" x14ac:dyDescent="0.25">
      <c r="A56" s="82">
        <v>15</v>
      </c>
      <c r="B56" t="str">
        <f t="shared" si="5"/>
        <v/>
      </c>
      <c r="C56" s="90" t="str" cm="1">
        <f t="array" ref="C56">IF($B56="","",INDEX(_xlfn.ANCHORARRAY(Roster!$AP$6),$A56,3))</f>
        <v/>
      </c>
      <c r="D56" s="88" t="str">
        <f t="shared" ref="D56:R56" si="20">IF(OR($B56="",D$41=""),"",MIN(1,D33/MAX(1,D$17)))</f>
        <v/>
      </c>
      <c r="E56" s="88" t="str">
        <f t="shared" si="20"/>
        <v/>
      </c>
      <c r="F56" s="88" t="str">
        <f t="shared" si="20"/>
        <v/>
      </c>
      <c r="G56" s="88" t="str">
        <f t="shared" si="20"/>
        <v/>
      </c>
      <c r="H56" s="88" t="str">
        <f t="shared" si="20"/>
        <v/>
      </c>
      <c r="I56" s="88" t="str">
        <f t="shared" si="20"/>
        <v/>
      </c>
      <c r="J56" s="88" t="str">
        <f t="shared" si="20"/>
        <v/>
      </c>
      <c r="K56" s="88" t="str">
        <f t="shared" si="20"/>
        <v/>
      </c>
      <c r="L56" s="88" t="str">
        <f t="shared" si="20"/>
        <v/>
      </c>
      <c r="M56" s="88" t="str">
        <f t="shared" si="20"/>
        <v/>
      </c>
      <c r="N56" s="88" t="str">
        <f t="shared" si="20"/>
        <v/>
      </c>
      <c r="O56" s="88" t="str">
        <f t="shared" si="20"/>
        <v/>
      </c>
      <c r="P56" s="88" t="str">
        <f t="shared" si="20"/>
        <v/>
      </c>
      <c r="Q56" s="88" t="str">
        <f t="shared" si="20"/>
        <v/>
      </c>
      <c r="R56" s="88" t="str">
        <f t="shared" si="20"/>
        <v/>
      </c>
      <c r="S56" s="88" t="str" cm="1">
        <f t="array" ref="S56">IF($B56="","",_xlfn.LET(_xlpm.p,$D56:$R56,_xlpm.w,$D$18:$R$18,_xlpm.k,ISNUMBER(_xlpm.p)*ISNUMBER(_xlpm.w),IFERROR(SUM(IF(_xlpm.k,_xlpm.p*_xlpm.w,0))/SUM(IF(_xlpm.k,_xlpm.w,0)),0)))</f>
        <v/>
      </c>
      <c r="T56" s="89" t="str">
        <f t="shared" si="7"/>
        <v/>
      </c>
    </row>
    <row r="57" spans="1:20" x14ac:dyDescent="0.25">
      <c r="B57" s="83" t="s">
        <v>593</v>
      </c>
      <c r="C57" s="90">
        <f>SUM(C42:C56)</f>
        <v>1000</v>
      </c>
      <c r="D57" s="88">
        <f>IF(D$41="","",D35)</f>
        <v>1</v>
      </c>
      <c r="E57" s="88">
        <f t="shared" ref="E57:R57" si="21">IF(E$41="","",E35)</f>
        <v>1</v>
      </c>
      <c r="F57" s="88">
        <f t="shared" si="21"/>
        <v>1</v>
      </c>
      <c r="G57" s="88">
        <f t="shared" si="21"/>
        <v>1</v>
      </c>
      <c r="H57" s="88">
        <f t="shared" si="21"/>
        <v>1</v>
      </c>
      <c r="I57" s="88">
        <f t="shared" si="21"/>
        <v>1</v>
      </c>
      <c r="J57" s="88">
        <f t="shared" si="21"/>
        <v>1</v>
      </c>
      <c r="K57" s="88">
        <f t="shared" si="21"/>
        <v>1</v>
      </c>
      <c r="L57" s="88">
        <f t="shared" si="21"/>
        <v>1</v>
      </c>
      <c r="M57" s="88">
        <f t="shared" si="21"/>
        <v>1</v>
      </c>
      <c r="N57" s="88" t="str">
        <f t="shared" si="21"/>
        <v/>
      </c>
      <c r="O57" s="88" t="str">
        <f t="shared" si="21"/>
        <v/>
      </c>
      <c r="P57" s="88" t="str">
        <f t="shared" si="21"/>
        <v/>
      </c>
      <c r="Q57" s="88" t="str">
        <f t="shared" si="21"/>
        <v/>
      </c>
      <c r="R57" s="88" t="str">
        <f t="shared" si="21"/>
        <v/>
      </c>
      <c r="S57" s="88" cm="1">
        <f t="array" ref="S57">_xlfn.LET(_xlpm.p,$D57:$R57,_xlpm.w,$D$18:$R$18,_xlpm.k,ISNUMBER(_xlpm.p)*ISNUMBER(_xlpm.w),IFERROR(SUM(IF(_xlpm.k,_xlpm.p*_xlpm.w,0))/SUM(IF(_xlpm.k,_xlpm.w,0)),0))</f>
        <v>1</v>
      </c>
      <c r="T57" s="89">
        <f>IF(N(C57)&lt;=0,"",S57/C57*100)</f>
        <v>0.1</v>
      </c>
    </row>
    <row r="60" spans="1:20" x14ac:dyDescent="0.25">
      <c r="B60" s="68" t="s">
        <v>594</v>
      </c>
      <c r="C60" s="68"/>
      <c r="D60" s="68"/>
    </row>
    <row r="61" spans="1:20" ht="30" x14ac:dyDescent="0.25">
      <c r="B61" s="69" t="s">
        <v>482</v>
      </c>
      <c r="C61" s="69" t="s">
        <v>595</v>
      </c>
      <c r="D61" s="69" t="s">
        <v>596</v>
      </c>
    </row>
    <row r="62" spans="1:20" x14ac:dyDescent="0.25">
      <c r="B62" t="str" cm="1">
        <f t="array" ref="B62">_xlfn.LET(_xlpm.n,TRANSPOSE($D$16:$R$16),_xlpm.p,TRANSPOSE($D$35:$R$35),_xlpm.b,TRANSPOSE($D$37:$R$37),_xlpm.k,(_xlpm.n&lt;&gt;"")*ISNUMBER(_xlpm.p),_xlpm.g,_xlfn._xlws.FILTER(_xlfn.HSTACK(_xlpm.n,_xlpm.p,_xlpm.b),_xlpm.k*(_xlpm.p&lt;1),""),IF(SUM(_xlpm.k)=0,"No targets selected",IF(INDEX(_xlpm.g,1,1)="","None – every target can be wiped",_xlfn.SORTBY(_xlpm.g,_xlfn.CHOOSECOLS(_xlpm.g,2),1))))</f>
        <v>None – every target can be wiped</v>
      </c>
      <c r="C62" s="91"/>
    </row>
    <row r="63" spans="1:20" x14ac:dyDescent="0.25">
      <c r="C63" s="91"/>
    </row>
    <row r="64" spans="1:20" x14ac:dyDescent="0.25">
      <c r="C64" s="91"/>
    </row>
    <row r="65" spans="2:11" x14ac:dyDescent="0.25">
      <c r="C65" s="91"/>
    </row>
    <row r="66" spans="2:11" x14ac:dyDescent="0.25">
      <c r="C66" s="91"/>
    </row>
    <row r="67" spans="2:11" x14ac:dyDescent="0.25">
      <c r="C67" s="91"/>
    </row>
    <row r="68" spans="2:11" x14ac:dyDescent="0.25">
      <c r="C68" s="91"/>
    </row>
    <row r="69" spans="2:11" x14ac:dyDescent="0.25">
      <c r="C69" s="91"/>
    </row>
    <row r="70" spans="2:11" x14ac:dyDescent="0.25">
      <c r="C70" s="91"/>
    </row>
    <row r="71" spans="2:11" x14ac:dyDescent="0.25">
      <c r="C71" s="91"/>
    </row>
    <row r="72" spans="2:11" x14ac:dyDescent="0.25">
      <c r="C72" s="91"/>
    </row>
    <row r="73" spans="2:11" x14ac:dyDescent="0.25">
      <c r="C73" s="91"/>
    </row>
    <row r="74" spans="2:11" x14ac:dyDescent="0.25">
      <c r="C74" s="91"/>
    </row>
    <row r="75" spans="2:11" x14ac:dyDescent="0.25">
      <c r="C75" s="91"/>
    </row>
    <row r="76" spans="2:11" x14ac:dyDescent="0.25">
      <c r="C76" s="91"/>
    </row>
    <row r="79" spans="2:11" x14ac:dyDescent="0.25">
      <c r="B79" s="68" t="s">
        <v>597</v>
      </c>
      <c r="C79" s="68"/>
      <c r="D79" s="68"/>
      <c r="E79" s="68"/>
      <c r="F79" s="68"/>
      <c r="G79" s="68"/>
      <c r="H79" s="68"/>
      <c r="I79" s="68"/>
      <c r="J79" s="68"/>
      <c r="K79" s="68"/>
    </row>
    <row r="80" spans="2:11" ht="30" x14ac:dyDescent="0.25">
      <c r="B80" s="69" t="s">
        <v>598</v>
      </c>
      <c r="C80" s="70" t="s">
        <v>129</v>
      </c>
      <c r="D80" s="70" t="s">
        <v>130</v>
      </c>
      <c r="E80" s="70" t="s">
        <v>131</v>
      </c>
      <c r="F80" s="70" t="s">
        <v>132</v>
      </c>
      <c r="G80" s="70" t="s">
        <v>133</v>
      </c>
      <c r="H80" s="70" t="s">
        <v>9</v>
      </c>
      <c r="I80" s="70" t="s">
        <v>500</v>
      </c>
      <c r="J80" s="70" t="s">
        <v>606</v>
      </c>
      <c r="K80" s="70" t="s">
        <v>607</v>
      </c>
    </row>
    <row r="81" spans="2:11" x14ac:dyDescent="0.25">
      <c r="B81" t="s">
        <v>599</v>
      </c>
      <c r="C81" s="94">
        <v>3</v>
      </c>
      <c r="D81" s="94">
        <v>1</v>
      </c>
      <c r="E81" s="94">
        <v>5</v>
      </c>
      <c r="F81" s="94" t="s">
        <v>198</v>
      </c>
      <c r="G81" s="94" t="s">
        <v>198</v>
      </c>
      <c r="H81" s="98" t="s">
        <v>546</v>
      </c>
      <c r="I81" s="94">
        <v>10</v>
      </c>
      <c r="J81" s="92" cm="1">
        <f t="array" ref="J81">_xlfn.LET(_xlpm.lst,_xlfn.ANCHORARRAY(Roster!$AP$6),_xlpm.tp,$C81:$I81,IF(INDEX(_xlpm.lst,1,1)="",0,(_xlfn.REDUCE(0,_xlfn.SEQUENCE(ROWS(_xlpm.lst)),_xlfn.LAMBDA(_xlpm.acc,_xlpm.j,_xlpm.acc+INDEX(_xlpm.lst,_xlpm.j,4)*(IF(Roster!$C$6="Fighting",0,INDEX(UNITVS(Roster!$C$5,INDEX(_xlpm.lst,_xlpm.j,1),"Shooting",_xlpm.tp,Roster!$AX$5,_xlfn.ANCHORARRAY(Roster!$AX$7)),2))+IF(Roster!$C$6="Shooting",0,INDEX(UNITVS(Roster!$C$5,INDEX(_xlpm.lst,_xlpm.j,1),"Fighting",_xlpm.tp,Roster!$AX$6,_xlfn.ANCHORARRAY(Roster!$AX$8)),2))))))))</f>
        <v>56.74074074074074</v>
      </c>
      <c r="K81" s="87">
        <f>J81/MAX(1,$I81)</f>
        <v>5.674074074074074</v>
      </c>
    </row>
    <row r="82" spans="2:11" x14ac:dyDescent="0.25">
      <c r="B82" t="s">
        <v>600</v>
      </c>
      <c r="C82" s="94">
        <v>4</v>
      </c>
      <c r="D82" s="94">
        <v>2</v>
      </c>
      <c r="E82" s="94">
        <v>3</v>
      </c>
      <c r="F82" s="94" t="s">
        <v>198</v>
      </c>
      <c r="G82" s="94" t="s">
        <v>198</v>
      </c>
      <c r="H82" s="98" t="s">
        <v>546</v>
      </c>
      <c r="I82" s="94">
        <v>5</v>
      </c>
      <c r="J82" s="92" cm="1">
        <f t="array" ref="J82">_xlfn.LET(_xlpm.lst,_xlfn.ANCHORARRAY(Roster!$AP$6),_xlpm.tp,$C82:$I82,IF(INDEX(_xlpm.lst,1,1)="",0,(_xlfn.REDUCE(0,_xlfn.SEQUENCE(ROWS(_xlpm.lst)),_xlfn.LAMBDA(_xlpm.acc,_xlpm.j,_xlpm.acc+INDEX(_xlpm.lst,_xlpm.j,4)*(IF(Roster!$C$6="Fighting",0,INDEX(UNITVS(Roster!$C$5,INDEX(_xlpm.lst,_xlpm.j,1),"Shooting",_xlpm.tp,Roster!$AX$5,_xlfn.ANCHORARRAY(Roster!$AX$7)),2))+IF(Roster!$C$6="Shooting",0,INDEX(UNITVS(Roster!$C$5,INDEX(_xlpm.lst,_xlpm.j,1),"Fighting",_xlpm.tp,Roster!$AX$6,_xlfn.ANCHORARRAY(Roster!$AX$8)),2))))))))</f>
        <v>27.763888888888889</v>
      </c>
      <c r="K82" s="87">
        <f t="shared" ref="K82:K87" si="22">J82/MAX(1,$I82)</f>
        <v>5.552777777777778</v>
      </c>
    </row>
    <row r="83" spans="2:11" x14ac:dyDescent="0.25">
      <c r="B83" t="s">
        <v>601</v>
      </c>
      <c r="C83" s="94">
        <v>5</v>
      </c>
      <c r="D83" s="94">
        <v>3</v>
      </c>
      <c r="E83" s="94">
        <v>2</v>
      </c>
      <c r="F83" s="94">
        <v>4</v>
      </c>
      <c r="G83" s="94" t="s">
        <v>198</v>
      </c>
      <c r="H83" s="98" t="s">
        <v>549</v>
      </c>
      <c r="I83" s="94">
        <v>5</v>
      </c>
      <c r="J83" s="92" cm="1">
        <f t="array" ref="J83">_xlfn.LET(_xlpm.lst,_xlfn.ANCHORARRAY(Roster!$AP$6),_xlpm.tp,$C83:$I83,IF(INDEX(_xlpm.lst,1,1)="",0,(_xlfn.REDUCE(0,_xlfn.SEQUENCE(ROWS(_xlpm.lst)),_xlfn.LAMBDA(_xlpm.acc,_xlpm.j,_xlpm.acc+INDEX(_xlpm.lst,_xlpm.j,4)*(IF(Roster!$C$6="Fighting",0,INDEX(UNITVS(Roster!$C$5,INDEX(_xlpm.lst,_xlpm.j,1),"Shooting",_xlpm.tp,Roster!$AX$5,_xlfn.ANCHORARRAY(Roster!$AX$7)),2))+IF(Roster!$C$6="Shooting",0,INDEX(UNITVS(Roster!$C$5,INDEX(_xlpm.lst,_xlpm.j,1),"Fighting",_xlpm.tp,Roster!$AX$6,_xlfn.ANCHORARRAY(Roster!$AX$8)),2))))))))</f>
        <v>12.393518518518519</v>
      </c>
      <c r="K83" s="87">
        <f t="shared" si="22"/>
        <v>2.4787037037037036</v>
      </c>
    </row>
    <row r="84" spans="2:11" x14ac:dyDescent="0.25">
      <c r="B84" t="s">
        <v>602</v>
      </c>
      <c r="C84" s="94">
        <v>6</v>
      </c>
      <c r="D84" s="94">
        <v>3</v>
      </c>
      <c r="E84" s="94">
        <v>3</v>
      </c>
      <c r="F84" s="94" t="s">
        <v>198</v>
      </c>
      <c r="G84" s="94" t="s">
        <v>198</v>
      </c>
      <c r="H84" s="98" t="s">
        <v>546</v>
      </c>
      <c r="I84" s="94">
        <v>3</v>
      </c>
      <c r="J84" s="92" cm="1">
        <f t="array" ref="J84">_xlfn.LET(_xlpm.lst,_xlfn.ANCHORARRAY(Roster!$AP$6),_xlpm.tp,$C84:$I84,IF(INDEX(_xlpm.lst,1,1)="",0,(_xlfn.REDUCE(0,_xlfn.SEQUENCE(ROWS(_xlpm.lst)),_xlfn.LAMBDA(_xlpm.acc,_xlpm.j,_xlpm.acc+INDEX(_xlpm.lst,_xlpm.j,4)*(IF(Roster!$C$6="Fighting",0,INDEX(UNITVS(Roster!$C$5,INDEX(_xlpm.lst,_xlpm.j,1),"Shooting",_xlpm.tp,Roster!$AX$5,_xlfn.ANCHORARRAY(Roster!$AX$7)),2))+IF(Roster!$C$6="Shooting",0,INDEX(UNITVS(Roster!$C$5,INDEX(_xlpm.lst,_xlpm.j,1),"Fighting",_xlpm.tp,Roster!$AX$6,_xlfn.ANCHORARRAY(Roster!$AX$8)),2))))))))</f>
        <v>14.427469135802472</v>
      </c>
      <c r="K84" s="87">
        <f t="shared" si="22"/>
        <v>4.8091563786008242</v>
      </c>
    </row>
    <row r="85" spans="2:11" x14ac:dyDescent="0.25">
      <c r="B85" t="s">
        <v>603</v>
      </c>
      <c r="C85" s="94">
        <v>10</v>
      </c>
      <c r="D85" s="94">
        <v>12</v>
      </c>
      <c r="E85" s="94">
        <v>3</v>
      </c>
      <c r="F85" s="94" t="s">
        <v>198</v>
      </c>
      <c r="G85" s="94" t="s">
        <v>198</v>
      </c>
      <c r="H85" s="98" t="s">
        <v>554</v>
      </c>
      <c r="I85" s="94">
        <v>1</v>
      </c>
      <c r="J85" s="92" cm="1">
        <f t="array" ref="J85">_xlfn.LET(_xlpm.lst,_xlfn.ANCHORARRAY(Roster!$AP$6),_xlpm.tp,$C85:$I85,IF(INDEX(_xlpm.lst,1,1)="",0,(_xlfn.REDUCE(0,_xlfn.SEQUENCE(ROWS(_xlpm.lst)),_xlfn.LAMBDA(_xlpm.acc,_xlpm.j,_xlpm.acc+INDEX(_xlpm.lst,_xlpm.j,4)*(IF(Roster!$C$6="Fighting",0,INDEX(UNITVS(Roster!$C$5,INDEX(_xlpm.lst,_xlpm.j,1),"Shooting",_xlpm.tp,Roster!$AX$5,_xlfn.ANCHORARRAY(Roster!$AX$7)),2))+IF(Roster!$C$6="Shooting",0,INDEX(UNITVS(Roster!$C$5,INDEX(_xlpm.lst,_xlpm.j,1),"Fighting",_xlpm.tp,Roster!$AX$6,_xlfn.ANCHORARRAY(Roster!$AX$8)),2))))))))</f>
        <v>3.1446759259259256</v>
      </c>
      <c r="K85" s="87">
        <f t="shared" si="22"/>
        <v>3.1446759259259256</v>
      </c>
    </row>
    <row r="86" spans="2:11" x14ac:dyDescent="0.25">
      <c r="B86" t="s">
        <v>604</v>
      </c>
      <c r="C86" s="94">
        <v>10</v>
      </c>
      <c r="D86" s="94">
        <v>14</v>
      </c>
      <c r="E86" s="94">
        <v>3</v>
      </c>
      <c r="F86" s="94" t="s">
        <v>198</v>
      </c>
      <c r="G86" s="94" t="s">
        <v>198</v>
      </c>
      <c r="H86" s="98" t="s">
        <v>555</v>
      </c>
      <c r="I86" s="94">
        <v>1</v>
      </c>
      <c r="J86" s="92" cm="1">
        <f t="array" ref="J86">_xlfn.LET(_xlpm.lst,_xlfn.ANCHORARRAY(Roster!$AP$6),_xlpm.tp,$C86:$I86,IF(INDEX(_xlpm.lst,1,1)="",0,(_xlfn.REDUCE(0,_xlfn.SEQUENCE(ROWS(_xlpm.lst)),_xlfn.LAMBDA(_xlpm.acc,_xlpm.j,_xlpm.acc+INDEX(_xlpm.lst,_xlpm.j,4)*(IF(Roster!$C$6="Fighting",0,INDEX(UNITVS(Roster!$C$5,INDEX(_xlpm.lst,_xlpm.j,1),"Shooting",_xlpm.tp,Roster!$AX$5,_xlfn.ANCHORARRAY(Roster!$AX$7)),2))+IF(Roster!$C$6="Shooting",0,INDEX(UNITVS(Roster!$C$5,INDEX(_xlpm.lst,_xlpm.j,1),"Fighting",_xlpm.tp,Roster!$AX$6,_xlfn.ANCHORARRAY(Roster!$AX$8)),2))))))))</f>
        <v>2.6732142857142858</v>
      </c>
      <c r="K86" s="87">
        <f t="shared" si="22"/>
        <v>2.6732142857142858</v>
      </c>
    </row>
    <row r="87" spans="2:11" x14ac:dyDescent="0.25">
      <c r="B87" t="s">
        <v>605</v>
      </c>
      <c r="C87" s="94">
        <v>12</v>
      </c>
      <c r="D87" s="94">
        <v>16</v>
      </c>
      <c r="E87" s="94">
        <v>2</v>
      </c>
      <c r="F87" s="94" t="s">
        <v>198</v>
      </c>
      <c r="G87" s="94" t="s">
        <v>198</v>
      </c>
      <c r="H87" s="98" t="s">
        <v>554</v>
      </c>
      <c r="I87" s="94">
        <v>1</v>
      </c>
      <c r="J87" s="92" cm="1">
        <f t="array" ref="J87">_xlfn.LET(_xlpm.lst,_xlfn.ANCHORARRAY(Roster!$AP$6),_xlpm.tp,$C87:$I87,IF(INDEX(_xlpm.lst,1,1)="",0,(_xlfn.REDUCE(0,_xlfn.SEQUENCE(ROWS(_xlpm.lst)),_xlfn.LAMBDA(_xlpm.acc,_xlpm.j,_xlpm.acc+INDEX(_xlpm.lst,_xlpm.j,4)*(IF(Roster!$C$6="Fighting",0,INDEX(UNITVS(Roster!$C$5,INDEX(_xlpm.lst,_xlpm.j,1),"Shooting",_xlpm.tp,Roster!$AX$5,_xlfn.ANCHORARRAY(Roster!$AX$7)),2))+IF(Roster!$C$6="Shooting",0,INDEX(UNITVS(Roster!$C$5,INDEX(_xlpm.lst,_xlpm.j,1),"Fighting",_xlpm.tp,Roster!$AX$6,_xlfn.ANCHORARRAY(Roster!$AX$8)),2))))))))</f>
        <v>1.6695601851851849</v>
      </c>
      <c r="K87" s="87">
        <f t="shared" si="22"/>
        <v>1.6695601851851849</v>
      </c>
    </row>
    <row r="90" spans="2:11" x14ac:dyDescent="0.25">
      <c r="B90" s="68" t="s">
        <v>608</v>
      </c>
      <c r="C90" s="68"/>
      <c r="D90" s="68"/>
      <c r="E90" s="68"/>
      <c r="F90" s="68"/>
      <c r="G90" s="68"/>
      <c r="H90" s="68"/>
    </row>
    <row r="91" spans="2:11" x14ac:dyDescent="0.25">
      <c r="C91" s="70" t="s">
        <v>609</v>
      </c>
      <c r="D91" s="85">
        <v>2</v>
      </c>
      <c r="E91" s="85">
        <v>3</v>
      </c>
      <c r="F91" s="85">
        <v>4</v>
      </c>
      <c r="G91" s="85">
        <v>5</v>
      </c>
      <c r="H91" s="85">
        <v>6</v>
      </c>
    </row>
    <row r="92" spans="2:11" x14ac:dyDescent="0.25">
      <c r="C92" s="95">
        <v>3</v>
      </c>
      <c r="D92" s="93" cm="1">
        <f t="array" ref="D92">_xlfn.LET(_xlpm.lst,_xlfn.ANCHORARRAY(Roster!$AP$6),_xlpm.tp,_xlfn.HSTACK($C92,99,D$91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52.129629629629633</v>
      </c>
      <c r="E92" s="93" cm="1">
        <f t="array" ref="E92">_xlfn.LET(_xlpm.lst,_xlfn.ANCHORARRAY(Roster!$AP$6),_xlpm.tp,_xlfn.HSTACK($C92,99,E$91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71.916666666666686</v>
      </c>
      <c r="F92" s="93" cm="1">
        <f t="array" ref="F92">_xlfn.LET(_xlpm.lst,_xlfn.ANCHORARRAY(Roster!$AP$6),_xlpm.tp,_xlfn.HSTACK($C92,99,F$91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91.703703703703709</v>
      </c>
      <c r="G92" s="93" cm="1">
        <f t="array" ref="G92">_xlfn.LET(_xlpm.lst,_xlfn.ANCHORARRAY(Roster!$AP$6),_xlpm.tp,_xlfn.HSTACK($C92,99,G$91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111.49074074074076</v>
      </c>
      <c r="H92" s="93" cm="1">
        <f t="array" ref="H92">_xlfn.LET(_xlpm.lst,_xlfn.ANCHORARRAY(Roster!$AP$6),_xlpm.tp,_xlfn.HSTACK($C92,99,H$91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119.75925925925925</v>
      </c>
    </row>
    <row r="93" spans="2:11" x14ac:dyDescent="0.25">
      <c r="C93" s="95">
        <v>4</v>
      </c>
      <c r="D93" s="93" cm="1">
        <f t="array" ref="D93">_xlfn.LET(_xlpm.lst,_xlfn.ANCHORARRAY(Roster!$AP$6),_xlpm.tp,_xlfn.HSTACK($C93,99,D$91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50.685185185185183</v>
      </c>
      <c r="E93" s="93" cm="1">
        <f t="array" ref="E93">_xlfn.LET(_xlpm.lst,_xlfn.ANCHORARRAY(Roster!$AP$6),_xlpm.tp,_xlfn.HSTACK($C93,99,E$91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69.750000000000014</v>
      </c>
      <c r="F93" s="93" cm="1">
        <f t="array" ref="F93">_xlfn.LET(_xlpm.lst,_xlfn.ANCHORARRAY(Roster!$AP$6),_xlpm.tp,_xlfn.HSTACK($C93,99,F$91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88.81481481481481</v>
      </c>
      <c r="G93" s="93" cm="1">
        <f t="array" ref="G93">_xlfn.LET(_xlpm.lst,_xlfn.ANCHORARRAY(Roster!$AP$6),_xlpm.tp,_xlfn.HSTACK($C93,99,G$91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107.87962962962965</v>
      </c>
      <c r="H93" s="93" cm="1">
        <f t="array" ref="H93">_xlfn.LET(_xlpm.lst,_xlfn.ANCHORARRAY(Roster!$AP$6),_xlpm.tp,_xlfn.HSTACK($C93,99,H$91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115.42592592592594</v>
      </c>
    </row>
    <row r="94" spans="2:11" x14ac:dyDescent="0.25">
      <c r="C94" s="95">
        <v>5</v>
      </c>
      <c r="D94" s="93" cm="1">
        <f t="array" ref="D94">_xlfn.LET(_xlpm.lst,_xlfn.ANCHORARRAY(Roster!$AP$6),_xlpm.tp,_xlfn.HSTACK($C94,99,D$91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43.083333333333336</v>
      </c>
      <c r="E94" s="93" cm="1">
        <f t="array" ref="E94">_xlfn.LET(_xlpm.lst,_xlfn.ANCHORARRAY(Roster!$AP$6),_xlpm.tp,_xlfn.HSTACK($C94,99,E$91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59.189814814814817</v>
      </c>
      <c r="F94" s="93" cm="1">
        <f t="array" ref="F94">_xlfn.LET(_xlpm.lst,_xlfn.ANCHORARRAY(Roster!$AP$6),_xlpm.tp,_xlfn.HSTACK($C94,99,F$91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75.296296296296291</v>
      </c>
      <c r="G94" s="93" cm="1">
        <f t="array" ref="G94">_xlfn.LET(_xlpm.lst,_xlfn.ANCHORARRAY(Roster!$AP$6),_xlpm.tp,_xlfn.HSTACK($C94,99,G$91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91.402777777777771</v>
      </c>
      <c r="H94" s="93" cm="1">
        <f t="array" ref="H94">_xlfn.LET(_xlpm.lst,_xlfn.ANCHORARRAY(Roster!$AP$6),_xlpm.tp,_xlfn.HSTACK($C94,99,H$91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97.75</v>
      </c>
    </row>
    <row r="95" spans="2:11" x14ac:dyDescent="0.25">
      <c r="C95" s="95">
        <v>6</v>
      </c>
      <c r="D95" s="93" cm="1">
        <f t="array" ref="D95">_xlfn.LET(_xlpm.lst,_xlfn.ANCHORARRAY(Roster!$AP$6),_xlpm.tp,_xlfn.HSTACK($C95,99,D$91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40.425925925925924</v>
      </c>
      <c r="E95" s="93" cm="1">
        <f t="array" ref="E95">_xlfn.LET(_xlpm.lst,_xlfn.ANCHORARRAY(Roster!$AP$6),_xlpm.tp,_xlfn.HSTACK($C95,99,E$91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55.277777777777786</v>
      </c>
      <c r="F95" s="93" cm="1">
        <f t="array" ref="F95">_xlfn.LET(_xlpm.lst,_xlfn.ANCHORARRAY(Roster!$AP$6),_xlpm.tp,_xlfn.HSTACK($C95,99,F$91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70.129629629629619</v>
      </c>
      <c r="G95" s="93" cm="1">
        <f t="array" ref="G95">_xlfn.LET(_xlpm.lst,_xlfn.ANCHORARRAY(Roster!$AP$6),_xlpm.tp,_xlfn.HSTACK($C95,99,G$91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84.981481481481481</v>
      </c>
      <c r="H95" s="93" cm="1">
        <f t="array" ref="H95">_xlfn.LET(_xlpm.lst,_xlfn.ANCHORARRAY(Roster!$AP$6),_xlpm.tp,_xlfn.HSTACK($C95,99,H$91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90.296296296296305</v>
      </c>
    </row>
    <row r="96" spans="2:11" x14ac:dyDescent="0.25">
      <c r="C96" s="95">
        <v>8</v>
      </c>
      <c r="D96" s="93" cm="1">
        <f t="array" ref="D96">_xlfn.LET(_xlpm.lst,_xlfn.ANCHORARRAY(Roster!$AP$6),_xlpm.tp,_xlfn.HSTACK($C96,99,D$91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35.370370370370367</v>
      </c>
      <c r="E96" s="93" cm="1">
        <f t="array" ref="E96">_xlfn.LET(_xlpm.lst,_xlfn.ANCHORARRAY(Roster!$AP$6),_xlpm.tp,_xlfn.HSTACK($C96,99,E$91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48.296296296296298</v>
      </c>
      <c r="F96" s="93" cm="1">
        <f t="array" ref="F96">_xlfn.LET(_xlpm.lst,_xlfn.ANCHORARRAY(Roster!$AP$6),_xlpm.tp,_xlfn.HSTACK($C96,99,F$91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61.222222222222214</v>
      </c>
      <c r="G96" s="93" cm="1">
        <f t="array" ref="G96">_xlfn.LET(_xlpm.lst,_xlfn.ANCHORARRAY(Roster!$AP$6),_xlpm.tp,_xlfn.HSTACK($C96,99,G$91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74.148148148148138</v>
      </c>
      <c r="H96" s="93" cm="1">
        <f t="array" ref="H96">_xlfn.LET(_xlpm.lst,_xlfn.ANCHORARRAY(Roster!$AP$6),_xlpm.tp,_xlfn.HSTACK($C96,99,H$91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78.740740740740748</v>
      </c>
    </row>
    <row r="97" spans="1:19" x14ac:dyDescent="0.25">
      <c r="C97" s="95">
        <v>9</v>
      </c>
      <c r="D97" s="93" cm="1">
        <f t="array" ref="D97">_xlfn.LET(_xlpm.lst,_xlfn.ANCHORARRAY(Roster!$AP$6),_xlpm.tp,_xlfn.HSTACK($C97,99,D$91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30.759259259259256</v>
      </c>
      <c r="E97" s="93" cm="1">
        <f t="array" ref="E97">_xlfn.LET(_xlpm.lst,_xlfn.ANCHORARRAY(Roster!$AP$6),_xlpm.tp,_xlfn.HSTACK($C97,99,E$91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42.148148148148145</v>
      </c>
      <c r="F97" s="93" cm="1">
        <f t="array" ref="F97">_xlfn.LET(_xlpm.lst,_xlfn.ANCHORARRAY(Roster!$AP$6),_xlpm.tp,_xlfn.HSTACK($C97,99,F$91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53.537037037037024</v>
      </c>
      <c r="G97" s="93" cm="1">
        <f t="array" ref="G97">_xlfn.LET(_xlpm.lst,_xlfn.ANCHORARRAY(Roster!$AP$6),_xlpm.tp,_xlfn.HSTACK($C97,99,G$91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64.925925925925924</v>
      </c>
      <c r="H97" s="93" cm="1">
        <f t="array" ref="H97">_xlfn.LET(_xlpm.lst,_xlfn.ANCHORARRAY(Roster!$AP$6),_xlpm.tp,_xlfn.HSTACK($C97,99,H$91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69.518518518518519</v>
      </c>
    </row>
    <row r="98" spans="1:19" x14ac:dyDescent="0.25">
      <c r="C98" s="95">
        <v>10</v>
      </c>
      <c r="D98" s="93" cm="1">
        <f t="array" ref="D98">_xlfn.LET(_xlpm.lst,_xlfn.ANCHORARRAY(Roster!$AP$6),_xlpm.tp,_xlfn.HSTACK($C98,99,D$91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27.657407407407405</v>
      </c>
      <c r="E98" s="93" cm="1">
        <f t="array" ref="E98">_xlfn.LET(_xlpm.lst,_xlfn.ANCHORARRAY(Roster!$AP$6),_xlpm.tp,_xlfn.HSTACK($C98,99,E$91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37.7361111111111</v>
      </c>
      <c r="F98" s="93" cm="1">
        <f t="array" ref="F98">_xlfn.LET(_xlpm.lst,_xlfn.ANCHORARRAY(Roster!$AP$6),_xlpm.tp,_xlfn.HSTACK($C98,99,F$91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47.814814814814802</v>
      </c>
      <c r="G98" s="93" cm="1">
        <f t="array" ref="G98">_xlfn.LET(_xlpm.lst,_xlfn.ANCHORARRAY(Roster!$AP$6),_xlpm.tp,_xlfn.HSTACK($C98,99,G$91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57.893518518518519</v>
      </c>
      <c r="H98" s="93" cm="1">
        <f t="array" ref="H98">_xlfn.LET(_xlpm.lst,_xlfn.ANCHORARRAY(Roster!$AP$6),_xlpm.tp,_xlfn.HSTACK($C98,99,H$91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61.731481481481488</v>
      </c>
    </row>
    <row r="99" spans="1:19" x14ac:dyDescent="0.25">
      <c r="C99" s="95">
        <v>12</v>
      </c>
      <c r="D99" s="93" cm="1">
        <f t="array" ref="D99">_xlfn.LET(_xlpm.lst,_xlfn.ANCHORARRAY(Roster!$AP$6),_xlpm.tp,_xlfn.HSTACK($C99,99,D$91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27.101851851851848</v>
      </c>
      <c r="E99" s="93" cm="1">
        <f t="array" ref="E99">_xlfn.LET(_xlpm.lst,_xlfn.ANCHORARRAY(Roster!$AP$6),_xlpm.tp,_xlfn.HSTACK($C99,99,E$91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36.902777777777771</v>
      </c>
      <c r="F99" s="93" cm="1">
        <f t="array" ref="F99">_xlfn.LET(_xlpm.lst,_xlfn.ANCHORARRAY(Roster!$AP$6),_xlpm.tp,_xlfn.HSTACK($C99,99,F$91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46.703703703703702</v>
      </c>
      <c r="G99" s="93" cm="1">
        <f t="array" ref="G99">_xlfn.LET(_xlpm.lst,_xlfn.ANCHORARRAY(Roster!$AP$6),_xlpm.tp,_xlfn.HSTACK($C99,99,G$91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56.504629629629633</v>
      </c>
      <c r="H99" s="93" cm="1">
        <f t="array" ref="H99">_xlfn.LET(_xlpm.lst,_xlfn.ANCHORARRAY(Roster!$AP$6),_xlpm.tp,_xlfn.HSTACK($C99,99,H$91,"-","-","-",1),IF(INDEX(_xlpm.lst,1,1)="",0,_xlfn.REDUCE(0,_xlfn.SEQUENCE(ROWS(_xlpm.lst)),_xlfn.LAMBDA(_xlpm.acc,_xlpm.j,_xlpm.acc+INDEX(_xlpm.lst,_xlpm.j,4)*(IF(Roster!$C$6="Fighting",0,INDEX(UNITVS(Roster!$C$5,INDEX(_xlpm.lst,_xlpm.j,1),"Shooting",_xlpm.tp,Roster!$AX$5,_xlfn.ANCHORARRAY(Roster!$AX$7)),1))+IF(Roster!$C$6="Shooting",0,INDEX(UNITVS(Roster!$C$5,INDEX(_xlpm.lst,_xlpm.j,1),"Fighting",_xlpm.tp,Roster!$AX$6,_xlfn.ANCHORARRAY(Roster!$AX$8)),1)))))))</f>
        <v>60.064814814814817</v>
      </c>
    </row>
    <row r="102" spans="1:19" x14ac:dyDescent="0.25">
      <c r="B102" s="68" t="s">
        <v>610</v>
      </c>
      <c r="C102" s="68"/>
      <c r="D102" s="68"/>
      <c r="E102" s="68"/>
      <c r="F102" s="68"/>
      <c r="G102" s="68"/>
      <c r="H102" s="68"/>
      <c r="I102" s="68"/>
      <c r="J102" s="68"/>
      <c r="K102" s="68"/>
      <c r="L102" s="68"/>
      <c r="M102" s="68"/>
      <c r="N102" s="68"/>
      <c r="O102" s="68"/>
      <c r="P102" s="68"/>
      <c r="Q102" s="68"/>
      <c r="R102" s="68"/>
      <c r="S102" s="68"/>
    </row>
    <row r="103" spans="1:19" x14ac:dyDescent="0.25">
      <c r="C103" s="82" t="s">
        <v>582</v>
      </c>
      <c r="D103" s="82">
        <v>1</v>
      </c>
      <c r="E103" s="82">
        <v>2</v>
      </c>
      <c r="F103" s="82">
        <v>3</v>
      </c>
      <c r="G103" s="82">
        <v>4</v>
      </c>
      <c r="H103" s="82">
        <v>5</v>
      </c>
      <c r="I103" s="82">
        <v>6</v>
      </c>
      <c r="J103" s="82">
        <v>7</v>
      </c>
      <c r="K103" s="82">
        <v>8</v>
      </c>
      <c r="L103" s="82">
        <v>9</v>
      </c>
      <c r="M103" s="82">
        <v>10</v>
      </c>
      <c r="N103" s="82">
        <v>11</v>
      </c>
      <c r="O103" s="82">
        <v>12</v>
      </c>
      <c r="P103" s="82">
        <v>13</v>
      </c>
      <c r="Q103" s="82">
        <v>14</v>
      </c>
      <c r="R103" s="82">
        <v>15</v>
      </c>
    </row>
    <row r="104" spans="1:19" ht="45" customHeight="1" x14ac:dyDescent="0.25">
      <c r="B104" s="69" t="s">
        <v>611</v>
      </c>
      <c r="C104" s="70" t="s">
        <v>584</v>
      </c>
      <c r="D104" s="70" t="str">
        <f>IF(Roster!$C$12&lt;&gt;"Real roster","",D16)</f>
        <v/>
      </c>
      <c r="E104" s="70" t="str">
        <f>IF(Roster!$C$12&lt;&gt;"Real roster","",E16)</f>
        <v/>
      </c>
      <c r="F104" s="70" t="str">
        <f>IF(Roster!$C$12&lt;&gt;"Real roster","",F16)</f>
        <v/>
      </c>
      <c r="G104" s="70" t="str">
        <f>IF(Roster!$C$12&lt;&gt;"Real roster","",G16)</f>
        <v/>
      </c>
      <c r="H104" s="70" t="str">
        <f>IF(Roster!$C$12&lt;&gt;"Real roster","",H16)</f>
        <v/>
      </c>
      <c r="I104" s="70" t="str">
        <f>IF(Roster!$C$12&lt;&gt;"Real roster","",I16)</f>
        <v/>
      </c>
      <c r="J104" s="70" t="str">
        <f>IF(Roster!$C$12&lt;&gt;"Real roster","",J16)</f>
        <v/>
      </c>
      <c r="K104" s="70" t="str">
        <f>IF(Roster!$C$12&lt;&gt;"Real roster","",K16)</f>
        <v/>
      </c>
      <c r="L104" s="70" t="str">
        <f>IF(Roster!$C$12&lt;&gt;"Real roster","",L16)</f>
        <v/>
      </c>
      <c r="M104" s="70" t="str">
        <f>IF(Roster!$C$12&lt;&gt;"Real roster","",M16)</f>
        <v/>
      </c>
      <c r="N104" s="70" t="str">
        <f>IF(Roster!$C$12&lt;&gt;"Real roster","",N16)</f>
        <v/>
      </c>
      <c r="O104" s="70" t="str">
        <f>IF(Roster!$C$12&lt;&gt;"Real roster","",O16)</f>
        <v/>
      </c>
      <c r="P104" s="70" t="str">
        <f>IF(Roster!$C$12&lt;&gt;"Real roster","",P16)</f>
        <v/>
      </c>
      <c r="Q104" s="70" t="str">
        <f>IF(Roster!$C$12&lt;&gt;"Real roster","",Q16)</f>
        <v/>
      </c>
      <c r="R104" s="70" t="str">
        <f>IF(Roster!$C$12&lt;&gt;"Real roster","",R16)</f>
        <v/>
      </c>
      <c r="S104" s="70" t="s">
        <v>613</v>
      </c>
    </row>
    <row r="105" spans="1:19" x14ac:dyDescent="0.25">
      <c r="B105" t="s">
        <v>612</v>
      </c>
      <c r="C105" s="6"/>
      <c r="D105" s="6" t="str">
        <f>IF(D$104="","",D17)</f>
        <v/>
      </c>
      <c r="E105" s="6" t="str">
        <f t="shared" ref="E105:R105" si="23">IF(E$104="","",E17)</f>
        <v/>
      </c>
      <c r="F105" s="6" t="str">
        <f t="shared" si="23"/>
        <v/>
      </c>
      <c r="G105" s="6" t="str">
        <f t="shared" si="23"/>
        <v/>
      </c>
      <c r="H105" s="6" t="str">
        <f t="shared" si="23"/>
        <v/>
      </c>
      <c r="I105" s="6" t="str">
        <f t="shared" si="23"/>
        <v/>
      </c>
      <c r="J105" s="6" t="str">
        <f t="shared" si="23"/>
        <v/>
      </c>
      <c r="K105" s="6" t="str">
        <f t="shared" si="23"/>
        <v/>
      </c>
      <c r="L105" s="6" t="str">
        <f t="shared" si="23"/>
        <v/>
      </c>
      <c r="M105" s="6" t="str">
        <f t="shared" si="23"/>
        <v/>
      </c>
      <c r="N105" s="6" t="str">
        <f t="shared" si="23"/>
        <v/>
      </c>
      <c r="O105" s="6" t="str">
        <f t="shared" si="23"/>
        <v/>
      </c>
      <c r="P105" s="6" t="str">
        <f t="shared" si="23"/>
        <v/>
      </c>
      <c r="Q105" s="6" t="str">
        <f t="shared" si="23"/>
        <v/>
      </c>
      <c r="R105" s="6" t="str">
        <f t="shared" si="23"/>
        <v/>
      </c>
    </row>
    <row r="106" spans="1:19" x14ac:dyDescent="0.25">
      <c r="A106" s="82">
        <v>1</v>
      </c>
      <c r="B106" t="str">
        <f>B19</f>
        <v>Plague Marines (Ranged)</v>
      </c>
      <c r="C106" s="6">
        <f>C19</f>
        <v>10</v>
      </c>
      <c r="D106" s="88" t="str" cm="1">
        <f t="array" ref="D106">IF(OR($B106="",D$104=""),"",_xlfn.LET(_xlpm.mt,_xlfn.XLOOKUP($B106&amp;" ("&amp;Roster!$C$5&amp;")",_xlfn.CHOOSECOLS(AllTargets,1),AllTargets),_xlpm.tp,_xlfn.HSTACK(_xlfn.CHOOSECOLS(_xlpm.mt,2,3,4,5,6,7),$C106),_xlpm.eds,_xlfn.XLOOKUP(D$104,Roster!$C$36:$C$50,Roster!$L$36:$L$50,0),_xlpm.sc,IF(N(_xlpm.eds)&gt;0,D$105/_xlpm.eds,1),_xlpm.ksh,IF(Roster!$C$6="Fighting",0,INDEX(UNITVS(Roster!$C$13,D$104,"Shooting",_xlpm.tp,"",_xlfn.ANCHORARRAY(Roster!$AX$7)),2)),_xlpm.kfi,IF(Roster!$C$6="Shooting",0,INDEX(UNITVS(Roster!$C$13,D$104,"Fighting",_xlpm.tp,"",_xlfn.ANCHORARRAY(Roster!$AX$8)),2)),MIN(1,(_xlpm.ksh+_xlpm.kfi)*_xlpm.sc/MAX(1,$C106))))</f>
        <v/>
      </c>
      <c r="E106" s="88" t="str" cm="1">
        <f t="array" ref="E106">IF(OR($B106="",E$104=""),"",_xlfn.LET(_xlpm.mt,_xlfn.XLOOKUP($B106&amp;" ("&amp;Roster!$C$5&amp;")",_xlfn.CHOOSECOLS(AllTargets,1),AllTargets),_xlpm.tp,_xlfn.HSTACK(_xlfn.CHOOSECOLS(_xlpm.mt,2,3,4,5,6,7),$C106),_xlpm.eds,_xlfn.XLOOKUP(E$104,Roster!$C$36:$C$50,Roster!$L$36:$L$50,0),_xlpm.sc,IF(N(_xlpm.eds)&gt;0,E$105/_xlpm.eds,1),_xlpm.ksh,IF(Roster!$C$6="Fighting",0,INDEX(UNITVS(Roster!$C$13,E$104,"Shooting",_xlpm.tp,"",_xlfn.ANCHORARRAY(Roster!$AX$7)),2)),_xlpm.kfi,IF(Roster!$C$6="Shooting",0,INDEX(UNITVS(Roster!$C$13,E$104,"Fighting",_xlpm.tp,"",_xlfn.ANCHORARRAY(Roster!$AX$8)),2)),MIN(1,(_xlpm.ksh+_xlpm.kfi)*_xlpm.sc/MAX(1,$C106))))</f>
        <v/>
      </c>
      <c r="F106" s="88" t="str" cm="1">
        <f t="array" ref="F106">IF(OR($B106="",F$104=""),"",_xlfn.LET(_xlpm.mt,_xlfn.XLOOKUP($B106&amp;" ("&amp;Roster!$C$5&amp;")",_xlfn.CHOOSECOLS(AllTargets,1),AllTargets),_xlpm.tp,_xlfn.HSTACK(_xlfn.CHOOSECOLS(_xlpm.mt,2,3,4,5,6,7),$C106),_xlpm.eds,_xlfn.XLOOKUP(F$104,Roster!$C$36:$C$50,Roster!$L$36:$L$50,0),_xlpm.sc,IF(N(_xlpm.eds)&gt;0,F$105/_xlpm.eds,1),_xlpm.ksh,IF(Roster!$C$6="Fighting",0,INDEX(UNITVS(Roster!$C$13,F$104,"Shooting",_xlpm.tp,"",_xlfn.ANCHORARRAY(Roster!$AX$7)),2)),_xlpm.kfi,IF(Roster!$C$6="Shooting",0,INDEX(UNITVS(Roster!$C$13,F$104,"Fighting",_xlpm.tp,"",_xlfn.ANCHORARRAY(Roster!$AX$8)),2)),MIN(1,(_xlpm.ksh+_xlpm.kfi)*_xlpm.sc/MAX(1,$C106))))</f>
        <v/>
      </c>
      <c r="G106" s="88" t="str" cm="1">
        <f t="array" ref="G106">IF(OR($B106="",G$104=""),"",_xlfn.LET(_xlpm.mt,_xlfn.XLOOKUP($B106&amp;" ("&amp;Roster!$C$5&amp;")",_xlfn.CHOOSECOLS(AllTargets,1),AllTargets),_xlpm.tp,_xlfn.HSTACK(_xlfn.CHOOSECOLS(_xlpm.mt,2,3,4,5,6,7),$C106),_xlpm.eds,_xlfn.XLOOKUP(G$104,Roster!$C$36:$C$50,Roster!$L$36:$L$50,0),_xlpm.sc,IF(N(_xlpm.eds)&gt;0,G$105/_xlpm.eds,1),_xlpm.ksh,IF(Roster!$C$6="Fighting",0,INDEX(UNITVS(Roster!$C$13,G$104,"Shooting",_xlpm.tp,"",_xlfn.ANCHORARRAY(Roster!$AX$7)),2)),_xlpm.kfi,IF(Roster!$C$6="Shooting",0,INDEX(UNITVS(Roster!$C$13,G$104,"Fighting",_xlpm.tp,"",_xlfn.ANCHORARRAY(Roster!$AX$8)),2)),MIN(1,(_xlpm.ksh+_xlpm.kfi)*_xlpm.sc/MAX(1,$C106))))</f>
        <v/>
      </c>
      <c r="H106" s="88" t="str" cm="1">
        <f t="array" ref="H106">IF(OR($B106="",H$104=""),"",_xlfn.LET(_xlpm.mt,_xlfn.XLOOKUP($B106&amp;" ("&amp;Roster!$C$5&amp;")",_xlfn.CHOOSECOLS(AllTargets,1),AllTargets),_xlpm.tp,_xlfn.HSTACK(_xlfn.CHOOSECOLS(_xlpm.mt,2,3,4,5,6,7),$C106),_xlpm.eds,_xlfn.XLOOKUP(H$104,Roster!$C$36:$C$50,Roster!$L$36:$L$50,0),_xlpm.sc,IF(N(_xlpm.eds)&gt;0,H$105/_xlpm.eds,1),_xlpm.ksh,IF(Roster!$C$6="Fighting",0,INDEX(UNITVS(Roster!$C$13,H$104,"Shooting",_xlpm.tp,"",_xlfn.ANCHORARRAY(Roster!$AX$7)),2)),_xlpm.kfi,IF(Roster!$C$6="Shooting",0,INDEX(UNITVS(Roster!$C$13,H$104,"Fighting",_xlpm.tp,"",_xlfn.ANCHORARRAY(Roster!$AX$8)),2)),MIN(1,(_xlpm.ksh+_xlpm.kfi)*_xlpm.sc/MAX(1,$C106))))</f>
        <v/>
      </c>
      <c r="I106" s="88" t="str" cm="1">
        <f t="array" ref="I106">IF(OR($B106="",I$104=""),"",_xlfn.LET(_xlpm.mt,_xlfn.XLOOKUP($B106&amp;" ("&amp;Roster!$C$5&amp;")",_xlfn.CHOOSECOLS(AllTargets,1),AllTargets),_xlpm.tp,_xlfn.HSTACK(_xlfn.CHOOSECOLS(_xlpm.mt,2,3,4,5,6,7),$C106),_xlpm.eds,_xlfn.XLOOKUP(I$104,Roster!$C$36:$C$50,Roster!$L$36:$L$50,0),_xlpm.sc,IF(N(_xlpm.eds)&gt;0,I$105/_xlpm.eds,1),_xlpm.ksh,IF(Roster!$C$6="Fighting",0,INDEX(UNITVS(Roster!$C$13,I$104,"Shooting",_xlpm.tp,"",_xlfn.ANCHORARRAY(Roster!$AX$7)),2)),_xlpm.kfi,IF(Roster!$C$6="Shooting",0,INDEX(UNITVS(Roster!$C$13,I$104,"Fighting",_xlpm.tp,"",_xlfn.ANCHORARRAY(Roster!$AX$8)),2)),MIN(1,(_xlpm.ksh+_xlpm.kfi)*_xlpm.sc/MAX(1,$C106))))</f>
        <v/>
      </c>
      <c r="J106" s="88" t="str" cm="1">
        <f t="array" ref="J106">IF(OR($B106="",J$104=""),"",_xlfn.LET(_xlpm.mt,_xlfn.XLOOKUP($B106&amp;" ("&amp;Roster!$C$5&amp;")",_xlfn.CHOOSECOLS(AllTargets,1),AllTargets),_xlpm.tp,_xlfn.HSTACK(_xlfn.CHOOSECOLS(_xlpm.mt,2,3,4,5,6,7),$C106),_xlpm.eds,_xlfn.XLOOKUP(J$104,Roster!$C$36:$C$50,Roster!$L$36:$L$50,0),_xlpm.sc,IF(N(_xlpm.eds)&gt;0,J$105/_xlpm.eds,1),_xlpm.ksh,IF(Roster!$C$6="Fighting",0,INDEX(UNITVS(Roster!$C$13,J$104,"Shooting",_xlpm.tp,"",_xlfn.ANCHORARRAY(Roster!$AX$7)),2)),_xlpm.kfi,IF(Roster!$C$6="Shooting",0,INDEX(UNITVS(Roster!$C$13,J$104,"Fighting",_xlpm.tp,"",_xlfn.ANCHORARRAY(Roster!$AX$8)),2)),MIN(1,(_xlpm.ksh+_xlpm.kfi)*_xlpm.sc/MAX(1,$C106))))</f>
        <v/>
      </c>
      <c r="K106" s="88" t="str" cm="1">
        <f t="array" ref="K106">IF(OR($B106="",K$104=""),"",_xlfn.LET(_xlpm.mt,_xlfn.XLOOKUP($B106&amp;" ("&amp;Roster!$C$5&amp;")",_xlfn.CHOOSECOLS(AllTargets,1),AllTargets),_xlpm.tp,_xlfn.HSTACK(_xlfn.CHOOSECOLS(_xlpm.mt,2,3,4,5,6,7),$C106),_xlpm.eds,_xlfn.XLOOKUP(K$104,Roster!$C$36:$C$50,Roster!$L$36:$L$50,0),_xlpm.sc,IF(N(_xlpm.eds)&gt;0,K$105/_xlpm.eds,1),_xlpm.ksh,IF(Roster!$C$6="Fighting",0,INDEX(UNITVS(Roster!$C$13,K$104,"Shooting",_xlpm.tp,"",_xlfn.ANCHORARRAY(Roster!$AX$7)),2)),_xlpm.kfi,IF(Roster!$C$6="Shooting",0,INDEX(UNITVS(Roster!$C$13,K$104,"Fighting",_xlpm.tp,"",_xlfn.ANCHORARRAY(Roster!$AX$8)),2)),MIN(1,(_xlpm.ksh+_xlpm.kfi)*_xlpm.sc/MAX(1,$C106))))</f>
        <v/>
      </c>
      <c r="L106" s="88" t="str" cm="1">
        <f t="array" ref="L106">IF(OR($B106="",L$104=""),"",_xlfn.LET(_xlpm.mt,_xlfn.XLOOKUP($B106&amp;" ("&amp;Roster!$C$5&amp;")",_xlfn.CHOOSECOLS(AllTargets,1),AllTargets),_xlpm.tp,_xlfn.HSTACK(_xlfn.CHOOSECOLS(_xlpm.mt,2,3,4,5,6,7),$C106),_xlpm.eds,_xlfn.XLOOKUP(L$104,Roster!$C$36:$C$50,Roster!$L$36:$L$50,0),_xlpm.sc,IF(N(_xlpm.eds)&gt;0,L$105/_xlpm.eds,1),_xlpm.ksh,IF(Roster!$C$6="Fighting",0,INDEX(UNITVS(Roster!$C$13,L$104,"Shooting",_xlpm.tp,"",_xlfn.ANCHORARRAY(Roster!$AX$7)),2)),_xlpm.kfi,IF(Roster!$C$6="Shooting",0,INDEX(UNITVS(Roster!$C$13,L$104,"Fighting",_xlpm.tp,"",_xlfn.ANCHORARRAY(Roster!$AX$8)),2)),MIN(1,(_xlpm.ksh+_xlpm.kfi)*_xlpm.sc/MAX(1,$C106))))</f>
        <v/>
      </c>
      <c r="M106" s="88" t="str" cm="1">
        <f t="array" ref="M106">IF(OR($B106="",M$104=""),"",_xlfn.LET(_xlpm.mt,_xlfn.XLOOKUP($B106&amp;" ("&amp;Roster!$C$5&amp;")",_xlfn.CHOOSECOLS(AllTargets,1),AllTargets),_xlpm.tp,_xlfn.HSTACK(_xlfn.CHOOSECOLS(_xlpm.mt,2,3,4,5,6,7),$C106),_xlpm.eds,_xlfn.XLOOKUP(M$104,Roster!$C$36:$C$50,Roster!$L$36:$L$50,0),_xlpm.sc,IF(N(_xlpm.eds)&gt;0,M$105/_xlpm.eds,1),_xlpm.ksh,IF(Roster!$C$6="Fighting",0,INDEX(UNITVS(Roster!$C$13,M$104,"Shooting",_xlpm.tp,"",_xlfn.ANCHORARRAY(Roster!$AX$7)),2)),_xlpm.kfi,IF(Roster!$C$6="Shooting",0,INDEX(UNITVS(Roster!$C$13,M$104,"Fighting",_xlpm.tp,"",_xlfn.ANCHORARRAY(Roster!$AX$8)),2)),MIN(1,(_xlpm.ksh+_xlpm.kfi)*_xlpm.sc/MAX(1,$C106))))</f>
        <v/>
      </c>
      <c r="N106" s="88" t="str" cm="1">
        <f t="array" ref="N106">IF(OR($B106="",N$104=""),"",_xlfn.LET(_xlpm.mt,_xlfn.XLOOKUP($B106&amp;" ("&amp;Roster!$C$5&amp;")",_xlfn.CHOOSECOLS(AllTargets,1),AllTargets),_xlpm.tp,_xlfn.HSTACK(_xlfn.CHOOSECOLS(_xlpm.mt,2,3,4,5,6,7),$C106),_xlpm.eds,_xlfn.XLOOKUP(N$104,Roster!$C$36:$C$50,Roster!$L$36:$L$50,0),_xlpm.sc,IF(N(_xlpm.eds)&gt;0,N$105/_xlpm.eds,1),_xlpm.ksh,IF(Roster!$C$6="Fighting",0,INDEX(UNITVS(Roster!$C$13,N$104,"Shooting",_xlpm.tp,"",_xlfn.ANCHORARRAY(Roster!$AX$7)),2)),_xlpm.kfi,IF(Roster!$C$6="Shooting",0,INDEX(UNITVS(Roster!$C$13,N$104,"Fighting",_xlpm.tp,"",_xlfn.ANCHORARRAY(Roster!$AX$8)),2)),MIN(1,(_xlpm.ksh+_xlpm.kfi)*_xlpm.sc/MAX(1,$C106))))</f>
        <v/>
      </c>
      <c r="O106" s="88" t="str" cm="1">
        <f t="array" ref="O106">IF(OR($B106="",O$104=""),"",_xlfn.LET(_xlpm.mt,_xlfn.XLOOKUP($B106&amp;" ("&amp;Roster!$C$5&amp;")",_xlfn.CHOOSECOLS(AllTargets,1),AllTargets),_xlpm.tp,_xlfn.HSTACK(_xlfn.CHOOSECOLS(_xlpm.mt,2,3,4,5,6,7),$C106),_xlpm.eds,_xlfn.XLOOKUP(O$104,Roster!$C$36:$C$50,Roster!$L$36:$L$50,0),_xlpm.sc,IF(N(_xlpm.eds)&gt;0,O$105/_xlpm.eds,1),_xlpm.ksh,IF(Roster!$C$6="Fighting",0,INDEX(UNITVS(Roster!$C$13,O$104,"Shooting",_xlpm.tp,"",_xlfn.ANCHORARRAY(Roster!$AX$7)),2)),_xlpm.kfi,IF(Roster!$C$6="Shooting",0,INDEX(UNITVS(Roster!$C$13,O$104,"Fighting",_xlpm.tp,"",_xlfn.ANCHORARRAY(Roster!$AX$8)),2)),MIN(1,(_xlpm.ksh+_xlpm.kfi)*_xlpm.sc/MAX(1,$C106))))</f>
        <v/>
      </c>
      <c r="P106" s="88" t="str" cm="1">
        <f t="array" ref="P106">IF(OR($B106="",P$104=""),"",_xlfn.LET(_xlpm.mt,_xlfn.XLOOKUP($B106&amp;" ("&amp;Roster!$C$5&amp;")",_xlfn.CHOOSECOLS(AllTargets,1),AllTargets),_xlpm.tp,_xlfn.HSTACK(_xlfn.CHOOSECOLS(_xlpm.mt,2,3,4,5,6,7),$C106),_xlpm.eds,_xlfn.XLOOKUP(P$104,Roster!$C$36:$C$50,Roster!$L$36:$L$50,0),_xlpm.sc,IF(N(_xlpm.eds)&gt;0,P$105/_xlpm.eds,1),_xlpm.ksh,IF(Roster!$C$6="Fighting",0,INDEX(UNITVS(Roster!$C$13,P$104,"Shooting",_xlpm.tp,"",_xlfn.ANCHORARRAY(Roster!$AX$7)),2)),_xlpm.kfi,IF(Roster!$C$6="Shooting",0,INDEX(UNITVS(Roster!$C$13,P$104,"Fighting",_xlpm.tp,"",_xlfn.ANCHORARRAY(Roster!$AX$8)),2)),MIN(1,(_xlpm.ksh+_xlpm.kfi)*_xlpm.sc/MAX(1,$C106))))</f>
        <v/>
      </c>
      <c r="Q106" s="88" t="str" cm="1">
        <f t="array" ref="Q106">IF(OR($B106="",Q$104=""),"",_xlfn.LET(_xlpm.mt,_xlfn.XLOOKUP($B106&amp;" ("&amp;Roster!$C$5&amp;")",_xlfn.CHOOSECOLS(AllTargets,1),AllTargets),_xlpm.tp,_xlfn.HSTACK(_xlfn.CHOOSECOLS(_xlpm.mt,2,3,4,5,6,7),$C106),_xlpm.eds,_xlfn.XLOOKUP(Q$104,Roster!$C$36:$C$50,Roster!$L$36:$L$50,0),_xlpm.sc,IF(N(_xlpm.eds)&gt;0,Q$105/_xlpm.eds,1),_xlpm.ksh,IF(Roster!$C$6="Fighting",0,INDEX(UNITVS(Roster!$C$13,Q$104,"Shooting",_xlpm.tp,"",_xlfn.ANCHORARRAY(Roster!$AX$7)),2)),_xlpm.kfi,IF(Roster!$C$6="Shooting",0,INDEX(UNITVS(Roster!$C$13,Q$104,"Fighting",_xlpm.tp,"",_xlfn.ANCHORARRAY(Roster!$AX$8)),2)),MIN(1,(_xlpm.ksh+_xlpm.kfi)*_xlpm.sc/MAX(1,$C106))))</f>
        <v/>
      </c>
      <c r="R106" s="88" t="str" cm="1">
        <f t="array" ref="R106">IF(OR($B106="",R$104=""),"",_xlfn.LET(_xlpm.mt,_xlfn.XLOOKUP($B106&amp;" ("&amp;Roster!$C$5&amp;")",_xlfn.CHOOSECOLS(AllTargets,1),AllTargets),_xlpm.tp,_xlfn.HSTACK(_xlfn.CHOOSECOLS(_xlpm.mt,2,3,4,5,6,7),$C106),_xlpm.eds,_xlfn.XLOOKUP(R$104,Roster!$C$36:$C$50,Roster!$L$36:$L$50,0),_xlpm.sc,IF(N(_xlpm.eds)&gt;0,R$105/_xlpm.eds,1),_xlpm.ksh,IF(Roster!$C$6="Fighting",0,INDEX(UNITVS(Roster!$C$13,R$104,"Shooting",_xlpm.tp,"",_xlfn.ANCHORARRAY(Roster!$AX$7)),2)),_xlpm.kfi,IF(Roster!$C$6="Shooting",0,INDEX(UNITVS(Roster!$C$13,R$104,"Fighting",_xlpm.tp,"",_xlfn.ANCHORARRAY(Roster!$AX$8)),2)),MIN(1,(_xlpm.ksh+_xlpm.kfi)*_xlpm.sc/MAX(1,$C106))))</f>
        <v/>
      </c>
      <c r="S106" s="88" t="str">
        <f>IF($B106="","",IF(COUNT($D106:$R106)=0,"",MIN(1,SUM($D106:$R106))))</f>
        <v/>
      </c>
    </row>
    <row r="107" spans="1:19" x14ac:dyDescent="0.25">
      <c r="A107" s="82">
        <v>2</v>
      </c>
      <c r="B107" t="str">
        <f t="shared" ref="B107:C107" si="24">B20</f>
        <v>Plague Marines (Meele)</v>
      </c>
      <c r="C107" s="6">
        <f t="shared" si="24"/>
        <v>10</v>
      </c>
      <c r="D107" s="88" t="str" cm="1">
        <f t="array" ref="D107">IF(OR($B107="",D$104=""),"",_xlfn.LET(_xlpm.mt,_xlfn.XLOOKUP($B107&amp;" ("&amp;Roster!$C$5&amp;")",_xlfn.CHOOSECOLS(AllTargets,1),AllTargets),_xlpm.tp,_xlfn.HSTACK(_xlfn.CHOOSECOLS(_xlpm.mt,2,3,4,5,6,7),$C107),_xlpm.eds,_xlfn.XLOOKUP(D$104,Roster!$C$36:$C$50,Roster!$L$36:$L$50,0),_xlpm.sc,IF(N(_xlpm.eds)&gt;0,D$105/_xlpm.eds,1),_xlpm.ksh,IF(Roster!$C$6="Fighting",0,INDEX(UNITVS(Roster!$C$13,D$104,"Shooting",_xlpm.tp,"",_xlfn.ANCHORARRAY(Roster!$AX$7)),2)),_xlpm.kfi,IF(Roster!$C$6="Shooting",0,INDEX(UNITVS(Roster!$C$13,D$104,"Fighting",_xlpm.tp,"",_xlfn.ANCHORARRAY(Roster!$AX$8)),2)),MIN(1,(_xlpm.ksh+_xlpm.kfi)*_xlpm.sc/MAX(1,$C107))))</f>
        <v/>
      </c>
      <c r="E107" s="88" t="str" cm="1">
        <f t="array" ref="E107">IF(OR($B107="",E$104=""),"",_xlfn.LET(_xlpm.mt,_xlfn.XLOOKUP($B107&amp;" ("&amp;Roster!$C$5&amp;")",_xlfn.CHOOSECOLS(AllTargets,1),AllTargets),_xlpm.tp,_xlfn.HSTACK(_xlfn.CHOOSECOLS(_xlpm.mt,2,3,4,5,6,7),$C107),_xlpm.eds,_xlfn.XLOOKUP(E$104,Roster!$C$36:$C$50,Roster!$L$36:$L$50,0),_xlpm.sc,IF(N(_xlpm.eds)&gt;0,E$105/_xlpm.eds,1),_xlpm.ksh,IF(Roster!$C$6="Fighting",0,INDEX(UNITVS(Roster!$C$13,E$104,"Shooting",_xlpm.tp,"",_xlfn.ANCHORARRAY(Roster!$AX$7)),2)),_xlpm.kfi,IF(Roster!$C$6="Shooting",0,INDEX(UNITVS(Roster!$C$13,E$104,"Fighting",_xlpm.tp,"",_xlfn.ANCHORARRAY(Roster!$AX$8)),2)),MIN(1,(_xlpm.ksh+_xlpm.kfi)*_xlpm.sc/MAX(1,$C107))))</f>
        <v/>
      </c>
      <c r="F107" s="88" t="str" cm="1">
        <f t="array" ref="F107">IF(OR($B107="",F$104=""),"",_xlfn.LET(_xlpm.mt,_xlfn.XLOOKUP($B107&amp;" ("&amp;Roster!$C$5&amp;")",_xlfn.CHOOSECOLS(AllTargets,1),AllTargets),_xlpm.tp,_xlfn.HSTACK(_xlfn.CHOOSECOLS(_xlpm.mt,2,3,4,5,6,7),$C107),_xlpm.eds,_xlfn.XLOOKUP(F$104,Roster!$C$36:$C$50,Roster!$L$36:$L$50,0),_xlpm.sc,IF(N(_xlpm.eds)&gt;0,F$105/_xlpm.eds,1),_xlpm.ksh,IF(Roster!$C$6="Fighting",0,INDEX(UNITVS(Roster!$C$13,F$104,"Shooting",_xlpm.tp,"",_xlfn.ANCHORARRAY(Roster!$AX$7)),2)),_xlpm.kfi,IF(Roster!$C$6="Shooting",0,INDEX(UNITVS(Roster!$C$13,F$104,"Fighting",_xlpm.tp,"",_xlfn.ANCHORARRAY(Roster!$AX$8)),2)),MIN(1,(_xlpm.ksh+_xlpm.kfi)*_xlpm.sc/MAX(1,$C107))))</f>
        <v/>
      </c>
      <c r="G107" s="88" t="str" cm="1">
        <f t="array" ref="G107">IF(OR($B107="",G$104=""),"",_xlfn.LET(_xlpm.mt,_xlfn.XLOOKUP($B107&amp;" ("&amp;Roster!$C$5&amp;")",_xlfn.CHOOSECOLS(AllTargets,1),AllTargets),_xlpm.tp,_xlfn.HSTACK(_xlfn.CHOOSECOLS(_xlpm.mt,2,3,4,5,6,7),$C107),_xlpm.eds,_xlfn.XLOOKUP(G$104,Roster!$C$36:$C$50,Roster!$L$36:$L$50,0),_xlpm.sc,IF(N(_xlpm.eds)&gt;0,G$105/_xlpm.eds,1),_xlpm.ksh,IF(Roster!$C$6="Fighting",0,INDEX(UNITVS(Roster!$C$13,G$104,"Shooting",_xlpm.tp,"",_xlfn.ANCHORARRAY(Roster!$AX$7)),2)),_xlpm.kfi,IF(Roster!$C$6="Shooting",0,INDEX(UNITVS(Roster!$C$13,G$104,"Fighting",_xlpm.tp,"",_xlfn.ANCHORARRAY(Roster!$AX$8)),2)),MIN(1,(_xlpm.ksh+_xlpm.kfi)*_xlpm.sc/MAX(1,$C107))))</f>
        <v/>
      </c>
      <c r="H107" s="88" t="str" cm="1">
        <f t="array" ref="H107">IF(OR($B107="",H$104=""),"",_xlfn.LET(_xlpm.mt,_xlfn.XLOOKUP($B107&amp;" ("&amp;Roster!$C$5&amp;")",_xlfn.CHOOSECOLS(AllTargets,1),AllTargets),_xlpm.tp,_xlfn.HSTACK(_xlfn.CHOOSECOLS(_xlpm.mt,2,3,4,5,6,7),$C107),_xlpm.eds,_xlfn.XLOOKUP(H$104,Roster!$C$36:$C$50,Roster!$L$36:$L$50,0),_xlpm.sc,IF(N(_xlpm.eds)&gt;0,H$105/_xlpm.eds,1),_xlpm.ksh,IF(Roster!$C$6="Fighting",0,INDEX(UNITVS(Roster!$C$13,H$104,"Shooting",_xlpm.tp,"",_xlfn.ANCHORARRAY(Roster!$AX$7)),2)),_xlpm.kfi,IF(Roster!$C$6="Shooting",0,INDEX(UNITVS(Roster!$C$13,H$104,"Fighting",_xlpm.tp,"",_xlfn.ANCHORARRAY(Roster!$AX$8)),2)),MIN(1,(_xlpm.ksh+_xlpm.kfi)*_xlpm.sc/MAX(1,$C107))))</f>
        <v/>
      </c>
      <c r="I107" s="88" t="str" cm="1">
        <f t="array" ref="I107">IF(OR($B107="",I$104=""),"",_xlfn.LET(_xlpm.mt,_xlfn.XLOOKUP($B107&amp;" ("&amp;Roster!$C$5&amp;")",_xlfn.CHOOSECOLS(AllTargets,1),AllTargets),_xlpm.tp,_xlfn.HSTACK(_xlfn.CHOOSECOLS(_xlpm.mt,2,3,4,5,6,7),$C107),_xlpm.eds,_xlfn.XLOOKUP(I$104,Roster!$C$36:$C$50,Roster!$L$36:$L$50,0),_xlpm.sc,IF(N(_xlpm.eds)&gt;0,I$105/_xlpm.eds,1),_xlpm.ksh,IF(Roster!$C$6="Fighting",0,INDEX(UNITVS(Roster!$C$13,I$104,"Shooting",_xlpm.tp,"",_xlfn.ANCHORARRAY(Roster!$AX$7)),2)),_xlpm.kfi,IF(Roster!$C$6="Shooting",0,INDEX(UNITVS(Roster!$C$13,I$104,"Fighting",_xlpm.tp,"",_xlfn.ANCHORARRAY(Roster!$AX$8)),2)),MIN(1,(_xlpm.ksh+_xlpm.kfi)*_xlpm.sc/MAX(1,$C107))))</f>
        <v/>
      </c>
      <c r="J107" s="88" t="str" cm="1">
        <f t="array" ref="J107">IF(OR($B107="",J$104=""),"",_xlfn.LET(_xlpm.mt,_xlfn.XLOOKUP($B107&amp;" ("&amp;Roster!$C$5&amp;")",_xlfn.CHOOSECOLS(AllTargets,1),AllTargets),_xlpm.tp,_xlfn.HSTACK(_xlfn.CHOOSECOLS(_xlpm.mt,2,3,4,5,6,7),$C107),_xlpm.eds,_xlfn.XLOOKUP(J$104,Roster!$C$36:$C$50,Roster!$L$36:$L$50,0),_xlpm.sc,IF(N(_xlpm.eds)&gt;0,J$105/_xlpm.eds,1),_xlpm.ksh,IF(Roster!$C$6="Fighting",0,INDEX(UNITVS(Roster!$C$13,J$104,"Shooting",_xlpm.tp,"",_xlfn.ANCHORARRAY(Roster!$AX$7)),2)),_xlpm.kfi,IF(Roster!$C$6="Shooting",0,INDEX(UNITVS(Roster!$C$13,J$104,"Fighting",_xlpm.tp,"",_xlfn.ANCHORARRAY(Roster!$AX$8)),2)),MIN(1,(_xlpm.ksh+_xlpm.kfi)*_xlpm.sc/MAX(1,$C107))))</f>
        <v/>
      </c>
      <c r="K107" s="88" t="str" cm="1">
        <f t="array" ref="K107">IF(OR($B107="",K$104=""),"",_xlfn.LET(_xlpm.mt,_xlfn.XLOOKUP($B107&amp;" ("&amp;Roster!$C$5&amp;")",_xlfn.CHOOSECOLS(AllTargets,1),AllTargets),_xlpm.tp,_xlfn.HSTACK(_xlfn.CHOOSECOLS(_xlpm.mt,2,3,4,5,6,7),$C107),_xlpm.eds,_xlfn.XLOOKUP(K$104,Roster!$C$36:$C$50,Roster!$L$36:$L$50,0),_xlpm.sc,IF(N(_xlpm.eds)&gt;0,K$105/_xlpm.eds,1),_xlpm.ksh,IF(Roster!$C$6="Fighting",0,INDEX(UNITVS(Roster!$C$13,K$104,"Shooting",_xlpm.tp,"",_xlfn.ANCHORARRAY(Roster!$AX$7)),2)),_xlpm.kfi,IF(Roster!$C$6="Shooting",0,INDEX(UNITVS(Roster!$C$13,K$104,"Fighting",_xlpm.tp,"",_xlfn.ANCHORARRAY(Roster!$AX$8)),2)),MIN(1,(_xlpm.ksh+_xlpm.kfi)*_xlpm.sc/MAX(1,$C107))))</f>
        <v/>
      </c>
      <c r="L107" s="88" t="str" cm="1">
        <f t="array" ref="L107">IF(OR($B107="",L$104=""),"",_xlfn.LET(_xlpm.mt,_xlfn.XLOOKUP($B107&amp;" ("&amp;Roster!$C$5&amp;")",_xlfn.CHOOSECOLS(AllTargets,1),AllTargets),_xlpm.tp,_xlfn.HSTACK(_xlfn.CHOOSECOLS(_xlpm.mt,2,3,4,5,6,7),$C107),_xlpm.eds,_xlfn.XLOOKUP(L$104,Roster!$C$36:$C$50,Roster!$L$36:$L$50,0),_xlpm.sc,IF(N(_xlpm.eds)&gt;0,L$105/_xlpm.eds,1),_xlpm.ksh,IF(Roster!$C$6="Fighting",0,INDEX(UNITVS(Roster!$C$13,L$104,"Shooting",_xlpm.tp,"",_xlfn.ANCHORARRAY(Roster!$AX$7)),2)),_xlpm.kfi,IF(Roster!$C$6="Shooting",0,INDEX(UNITVS(Roster!$C$13,L$104,"Fighting",_xlpm.tp,"",_xlfn.ANCHORARRAY(Roster!$AX$8)),2)),MIN(1,(_xlpm.ksh+_xlpm.kfi)*_xlpm.sc/MAX(1,$C107))))</f>
        <v/>
      </c>
      <c r="M107" s="88" t="str" cm="1">
        <f t="array" ref="M107">IF(OR($B107="",M$104=""),"",_xlfn.LET(_xlpm.mt,_xlfn.XLOOKUP($B107&amp;" ("&amp;Roster!$C$5&amp;")",_xlfn.CHOOSECOLS(AllTargets,1),AllTargets),_xlpm.tp,_xlfn.HSTACK(_xlfn.CHOOSECOLS(_xlpm.mt,2,3,4,5,6,7),$C107),_xlpm.eds,_xlfn.XLOOKUP(M$104,Roster!$C$36:$C$50,Roster!$L$36:$L$50,0),_xlpm.sc,IF(N(_xlpm.eds)&gt;0,M$105/_xlpm.eds,1),_xlpm.ksh,IF(Roster!$C$6="Fighting",0,INDEX(UNITVS(Roster!$C$13,M$104,"Shooting",_xlpm.tp,"",_xlfn.ANCHORARRAY(Roster!$AX$7)),2)),_xlpm.kfi,IF(Roster!$C$6="Shooting",0,INDEX(UNITVS(Roster!$C$13,M$104,"Fighting",_xlpm.tp,"",_xlfn.ANCHORARRAY(Roster!$AX$8)),2)),MIN(1,(_xlpm.ksh+_xlpm.kfi)*_xlpm.sc/MAX(1,$C107))))</f>
        <v/>
      </c>
      <c r="N107" s="88" t="str" cm="1">
        <f t="array" ref="N107">IF(OR($B107="",N$104=""),"",_xlfn.LET(_xlpm.mt,_xlfn.XLOOKUP($B107&amp;" ("&amp;Roster!$C$5&amp;")",_xlfn.CHOOSECOLS(AllTargets,1),AllTargets),_xlpm.tp,_xlfn.HSTACK(_xlfn.CHOOSECOLS(_xlpm.mt,2,3,4,5,6,7),$C107),_xlpm.eds,_xlfn.XLOOKUP(N$104,Roster!$C$36:$C$50,Roster!$L$36:$L$50,0),_xlpm.sc,IF(N(_xlpm.eds)&gt;0,N$105/_xlpm.eds,1),_xlpm.ksh,IF(Roster!$C$6="Fighting",0,INDEX(UNITVS(Roster!$C$13,N$104,"Shooting",_xlpm.tp,"",_xlfn.ANCHORARRAY(Roster!$AX$7)),2)),_xlpm.kfi,IF(Roster!$C$6="Shooting",0,INDEX(UNITVS(Roster!$C$13,N$104,"Fighting",_xlpm.tp,"",_xlfn.ANCHORARRAY(Roster!$AX$8)),2)),MIN(1,(_xlpm.ksh+_xlpm.kfi)*_xlpm.sc/MAX(1,$C107))))</f>
        <v/>
      </c>
      <c r="O107" s="88" t="str" cm="1">
        <f t="array" ref="O107">IF(OR($B107="",O$104=""),"",_xlfn.LET(_xlpm.mt,_xlfn.XLOOKUP($B107&amp;" ("&amp;Roster!$C$5&amp;")",_xlfn.CHOOSECOLS(AllTargets,1),AllTargets),_xlpm.tp,_xlfn.HSTACK(_xlfn.CHOOSECOLS(_xlpm.mt,2,3,4,5,6,7),$C107),_xlpm.eds,_xlfn.XLOOKUP(O$104,Roster!$C$36:$C$50,Roster!$L$36:$L$50,0),_xlpm.sc,IF(N(_xlpm.eds)&gt;0,O$105/_xlpm.eds,1),_xlpm.ksh,IF(Roster!$C$6="Fighting",0,INDEX(UNITVS(Roster!$C$13,O$104,"Shooting",_xlpm.tp,"",_xlfn.ANCHORARRAY(Roster!$AX$7)),2)),_xlpm.kfi,IF(Roster!$C$6="Shooting",0,INDEX(UNITVS(Roster!$C$13,O$104,"Fighting",_xlpm.tp,"",_xlfn.ANCHORARRAY(Roster!$AX$8)),2)),MIN(1,(_xlpm.ksh+_xlpm.kfi)*_xlpm.sc/MAX(1,$C107))))</f>
        <v/>
      </c>
      <c r="P107" s="88" t="str" cm="1">
        <f t="array" ref="P107">IF(OR($B107="",P$104=""),"",_xlfn.LET(_xlpm.mt,_xlfn.XLOOKUP($B107&amp;" ("&amp;Roster!$C$5&amp;")",_xlfn.CHOOSECOLS(AllTargets,1),AllTargets),_xlpm.tp,_xlfn.HSTACK(_xlfn.CHOOSECOLS(_xlpm.mt,2,3,4,5,6,7),$C107),_xlpm.eds,_xlfn.XLOOKUP(P$104,Roster!$C$36:$C$50,Roster!$L$36:$L$50,0),_xlpm.sc,IF(N(_xlpm.eds)&gt;0,P$105/_xlpm.eds,1),_xlpm.ksh,IF(Roster!$C$6="Fighting",0,INDEX(UNITVS(Roster!$C$13,P$104,"Shooting",_xlpm.tp,"",_xlfn.ANCHORARRAY(Roster!$AX$7)),2)),_xlpm.kfi,IF(Roster!$C$6="Shooting",0,INDEX(UNITVS(Roster!$C$13,P$104,"Fighting",_xlpm.tp,"",_xlfn.ANCHORARRAY(Roster!$AX$8)),2)),MIN(1,(_xlpm.ksh+_xlpm.kfi)*_xlpm.sc/MAX(1,$C107))))</f>
        <v/>
      </c>
      <c r="Q107" s="88" t="str" cm="1">
        <f t="array" ref="Q107">IF(OR($B107="",Q$104=""),"",_xlfn.LET(_xlpm.mt,_xlfn.XLOOKUP($B107&amp;" ("&amp;Roster!$C$5&amp;")",_xlfn.CHOOSECOLS(AllTargets,1),AllTargets),_xlpm.tp,_xlfn.HSTACK(_xlfn.CHOOSECOLS(_xlpm.mt,2,3,4,5,6,7),$C107),_xlpm.eds,_xlfn.XLOOKUP(Q$104,Roster!$C$36:$C$50,Roster!$L$36:$L$50,0),_xlpm.sc,IF(N(_xlpm.eds)&gt;0,Q$105/_xlpm.eds,1),_xlpm.ksh,IF(Roster!$C$6="Fighting",0,INDEX(UNITVS(Roster!$C$13,Q$104,"Shooting",_xlpm.tp,"",_xlfn.ANCHORARRAY(Roster!$AX$7)),2)),_xlpm.kfi,IF(Roster!$C$6="Shooting",0,INDEX(UNITVS(Roster!$C$13,Q$104,"Fighting",_xlpm.tp,"",_xlfn.ANCHORARRAY(Roster!$AX$8)),2)),MIN(1,(_xlpm.ksh+_xlpm.kfi)*_xlpm.sc/MAX(1,$C107))))</f>
        <v/>
      </c>
      <c r="R107" s="88" t="str" cm="1">
        <f t="array" ref="R107">IF(OR($B107="",R$104=""),"",_xlfn.LET(_xlpm.mt,_xlfn.XLOOKUP($B107&amp;" ("&amp;Roster!$C$5&amp;")",_xlfn.CHOOSECOLS(AllTargets,1),AllTargets),_xlpm.tp,_xlfn.HSTACK(_xlfn.CHOOSECOLS(_xlpm.mt,2,3,4,5,6,7),$C107),_xlpm.eds,_xlfn.XLOOKUP(R$104,Roster!$C$36:$C$50,Roster!$L$36:$L$50,0),_xlpm.sc,IF(N(_xlpm.eds)&gt;0,R$105/_xlpm.eds,1),_xlpm.ksh,IF(Roster!$C$6="Fighting",0,INDEX(UNITVS(Roster!$C$13,R$104,"Shooting",_xlpm.tp,"",_xlfn.ANCHORARRAY(Roster!$AX$7)),2)),_xlpm.kfi,IF(Roster!$C$6="Shooting",0,INDEX(UNITVS(Roster!$C$13,R$104,"Fighting",_xlpm.tp,"",_xlfn.ANCHORARRAY(Roster!$AX$8)),2)),MIN(1,(_xlpm.ksh+_xlpm.kfi)*_xlpm.sc/MAX(1,$C107))))</f>
        <v/>
      </c>
      <c r="S107" s="88" t="str">
        <f t="shared" ref="S107:S120" si="25">IF($B107="","",IF(COUNT($D107:$R107)=0,"",MIN(1,SUM($D107:$R107))))</f>
        <v/>
      </c>
    </row>
    <row r="108" spans="1:19" x14ac:dyDescent="0.25">
      <c r="A108" s="82">
        <v>3</v>
      </c>
      <c r="B108" t="str">
        <f t="shared" ref="B108:C108" si="26">B21</f>
        <v>Deathshroud Terminators</v>
      </c>
      <c r="C108" s="6">
        <f t="shared" si="26"/>
        <v>3</v>
      </c>
      <c r="D108" s="88" t="str" cm="1">
        <f t="array" ref="D108">IF(OR($B108="",D$104=""),"",_xlfn.LET(_xlpm.mt,_xlfn.XLOOKUP($B108&amp;" ("&amp;Roster!$C$5&amp;")",_xlfn.CHOOSECOLS(AllTargets,1),AllTargets),_xlpm.tp,_xlfn.HSTACK(_xlfn.CHOOSECOLS(_xlpm.mt,2,3,4,5,6,7),$C108),_xlpm.eds,_xlfn.XLOOKUP(D$104,Roster!$C$36:$C$50,Roster!$L$36:$L$50,0),_xlpm.sc,IF(N(_xlpm.eds)&gt;0,D$105/_xlpm.eds,1),_xlpm.ksh,IF(Roster!$C$6="Fighting",0,INDEX(UNITVS(Roster!$C$13,D$104,"Shooting",_xlpm.tp,"",_xlfn.ANCHORARRAY(Roster!$AX$7)),2)),_xlpm.kfi,IF(Roster!$C$6="Shooting",0,INDEX(UNITVS(Roster!$C$13,D$104,"Fighting",_xlpm.tp,"",_xlfn.ANCHORARRAY(Roster!$AX$8)),2)),MIN(1,(_xlpm.ksh+_xlpm.kfi)*_xlpm.sc/MAX(1,$C108))))</f>
        <v/>
      </c>
      <c r="E108" s="88" t="str" cm="1">
        <f t="array" ref="E108">IF(OR($B108="",E$104=""),"",_xlfn.LET(_xlpm.mt,_xlfn.XLOOKUP($B108&amp;" ("&amp;Roster!$C$5&amp;")",_xlfn.CHOOSECOLS(AllTargets,1),AllTargets),_xlpm.tp,_xlfn.HSTACK(_xlfn.CHOOSECOLS(_xlpm.mt,2,3,4,5,6,7),$C108),_xlpm.eds,_xlfn.XLOOKUP(E$104,Roster!$C$36:$C$50,Roster!$L$36:$L$50,0),_xlpm.sc,IF(N(_xlpm.eds)&gt;0,E$105/_xlpm.eds,1),_xlpm.ksh,IF(Roster!$C$6="Fighting",0,INDEX(UNITVS(Roster!$C$13,E$104,"Shooting",_xlpm.tp,"",_xlfn.ANCHORARRAY(Roster!$AX$7)),2)),_xlpm.kfi,IF(Roster!$C$6="Shooting",0,INDEX(UNITVS(Roster!$C$13,E$104,"Fighting",_xlpm.tp,"",_xlfn.ANCHORARRAY(Roster!$AX$8)),2)),MIN(1,(_xlpm.ksh+_xlpm.kfi)*_xlpm.sc/MAX(1,$C108))))</f>
        <v/>
      </c>
      <c r="F108" s="88" t="str" cm="1">
        <f t="array" ref="F108">IF(OR($B108="",F$104=""),"",_xlfn.LET(_xlpm.mt,_xlfn.XLOOKUP($B108&amp;" ("&amp;Roster!$C$5&amp;")",_xlfn.CHOOSECOLS(AllTargets,1),AllTargets),_xlpm.tp,_xlfn.HSTACK(_xlfn.CHOOSECOLS(_xlpm.mt,2,3,4,5,6,7),$C108),_xlpm.eds,_xlfn.XLOOKUP(F$104,Roster!$C$36:$C$50,Roster!$L$36:$L$50,0),_xlpm.sc,IF(N(_xlpm.eds)&gt;0,F$105/_xlpm.eds,1),_xlpm.ksh,IF(Roster!$C$6="Fighting",0,INDEX(UNITVS(Roster!$C$13,F$104,"Shooting",_xlpm.tp,"",_xlfn.ANCHORARRAY(Roster!$AX$7)),2)),_xlpm.kfi,IF(Roster!$C$6="Shooting",0,INDEX(UNITVS(Roster!$C$13,F$104,"Fighting",_xlpm.tp,"",_xlfn.ANCHORARRAY(Roster!$AX$8)),2)),MIN(1,(_xlpm.ksh+_xlpm.kfi)*_xlpm.sc/MAX(1,$C108))))</f>
        <v/>
      </c>
      <c r="G108" s="88" t="str" cm="1">
        <f t="array" ref="G108">IF(OR($B108="",G$104=""),"",_xlfn.LET(_xlpm.mt,_xlfn.XLOOKUP($B108&amp;" ("&amp;Roster!$C$5&amp;")",_xlfn.CHOOSECOLS(AllTargets,1),AllTargets),_xlpm.tp,_xlfn.HSTACK(_xlfn.CHOOSECOLS(_xlpm.mt,2,3,4,5,6,7),$C108),_xlpm.eds,_xlfn.XLOOKUP(G$104,Roster!$C$36:$C$50,Roster!$L$36:$L$50,0),_xlpm.sc,IF(N(_xlpm.eds)&gt;0,G$105/_xlpm.eds,1),_xlpm.ksh,IF(Roster!$C$6="Fighting",0,INDEX(UNITVS(Roster!$C$13,G$104,"Shooting",_xlpm.tp,"",_xlfn.ANCHORARRAY(Roster!$AX$7)),2)),_xlpm.kfi,IF(Roster!$C$6="Shooting",0,INDEX(UNITVS(Roster!$C$13,G$104,"Fighting",_xlpm.tp,"",_xlfn.ANCHORARRAY(Roster!$AX$8)),2)),MIN(1,(_xlpm.ksh+_xlpm.kfi)*_xlpm.sc/MAX(1,$C108))))</f>
        <v/>
      </c>
      <c r="H108" s="88" t="str" cm="1">
        <f t="array" ref="H108">IF(OR($B108="",H$104=""),"",_xlfn.LET(_xlpm.mt,_xlfn.XLOOKUP($B108&amp;" ("&amp;Roster!$C$5&amp;")",_xlfn.CHOOSECOLS(AllTargets,1),AllTargets),_xlpm.tp,_xlfn.HSTACK(_xlfn.CHOOSECOLS(_xlpm.mt,2,3,4,5,6,7),$C108),_xlpm.eds,_xlfn.XLOOKUP(H$104,Roster!$C$36:$C$50,Roster!$L$36:$L$50,0),_xlpm.sc,IF(N(_xlpm.eds)&gt;0,H$105/_xlpm.eds,1),_xlpm.ksh,IF(Roster!$C$6="Fighting",0,INDEX(UNITVS(Roster!$C$13,H$104,"Shooting",_xlpm.tp,"",_xlfn.ANCHORARRAY(Roster!$AX$7)),2)),_xlpm.kfi,IF(Roster!$C$6="Shooting",0,INDEX(UNITVS(Roster!$C$13,H$104,"Fighting",_xlpm.tp,"",_xlfn.ANCHORARRAY(Roster!$AX$8)),2)),MIN(1,(_xlpm.ksh+_xlpm.kfi)*_xlpm.sc/MAX(1,$C108))))</f>
        <v/>
      </c>
      <c r="I108" s="88" t="str" cm="1">
        <f t="array" ref="I108">IF(OR($B108="",I$104=""),"",_xlfn.LET(_xlpm.mt,_xlfn.XLOOKUP($B108&amp;" ("&amp;Roster!$C$5&amp;")",_xlfn.CHOOSECOLS(AllTargets,1),AllTargets),_xlpm.tp,_xlfn.HSTACK(_xlfn.CHOOSECOLS(_xlpm.mt,2,3,4,5,6,7),$C108),_xlpm.eds,_xlfn.XLOOKUP(I$104,Roster!$C$36:$C$50,Roster!$L$36:$L$50,0),_xlpm.sc,IF(N(_xlpm.eds)&gt;0,I$105/_xlpm.eds,1),_xlpm.ksh,IF(Roster!$C$6="Fighting",0,INDEX(UNITVS(Roster!$C$13,I$104,"Shooting",_xlpm.tp,"",_xlfn.ANCHORARRAY(Roster!$AX$7)),2)),_xlpm.kfi,IF(Roster!$C$6="Shooting",0,INDEX(UNITVS(Roster!$C$13,I$104,"Fighting",_xlpm.tp,"",_xlfn.ANCHORARRAY(Roster!$AX$8)),2)),MIN(1,(_xlpm.ksh+_xlpm.kfi)*_xlpm.sc/MAX(1,$C108))))</f>
        <v/>
      </c>
      <c r="J108" s="88" t="str" cm="1">
        <f t="array" ref="J108">IF(OR($B108="",J$104=""),"",_xlfn.LET(_xlpm.mt,_xlfn.XLOOKUP($B108&amp;" ("&amp;Roster!$C$5&amp;")",_xlfn.CHOOSECOLS(AllTargets,1),AllTargets),_xlpm.tp,_xlfn.HSTACK(_xlfn.CHOOSECOLS(_xlpm.mt,2,3,4,5,6,7),$C108),_xlpm.eds,_xlfn.XLOOKUP(J$104,Roster!$C$36:$C$50,Roster!$L$36:$L$50,0),_xlpm.sc,IF(N(_xlpm.eds)&gt;0,J$105/_xlpm.eds,1),_xlpm.ksh,IF(Roster!$C$6="Fighting",0,INDEX(UNITVS(Roster!$C$13,J$104,"Shooting",_xlpm.tp,"",_xlfn.ANCHORARRAY(Roster!$AX$7)),2)),_xlpm.kfi,IF(Roster!$C$6="Shooting",0,INDEX(UNITVS(Roster!$C$13,J$104,"Fighting",_xlpm.tp,"",_xlfn.ANCHORARRAY(Roster!$AX$8)),2)),MIN(1,(_xlpm.ksh+_xlpm.kfi)*_xlpm.sc/MAX(1,$C108))))</f>
        <v/>
      </c>
      <c r="K108" s="88" t="str" cm="1">
        <f t="array" ref="K108">IF(OR($B108="",K$104=""),"",_xlfn.LET(_xlpm.mt,_xlfn.XLOOKUP($B108&amp;" ("&amp;Roster!$C$5&amp;")",_xlfn.CHOOSECOLS(AllTargets,1),AllTargets),_xlpm.tp,_xlfn.HSTACK(_xlfn.CHOOSECOLS(_xlpm.mt,2,3,4,5,6,7),$C108),_xlpm.eds,_xlfn.XLOOKUP(K$104,Roster!$C$36:$C$50,Roster!$L$36:$L$50,0),_xlpm.sc,IF(N(_xlpm.eds)&gt;0,K$105/_xlpm.eds,1),_xlpm.ksh,IF(Roster!$C$6="Fighting",0,INDEX(UNITVS(Roster!$C$13,K$104,"Shooting",_xlpm.tp,"",_xlfn.ANCHORARRAY(Roster!$AX$7)),2)),_xlpm.kfi,IF(Roster!$C$6="Shooting",0,INDEX(UNITVS(Roster!$C$13,K$104,"Fighting",_xlpm.tp,"",_xlfn.ANCHORARRAY(Roster!$AX$8)),2)),MIN(1,(_xlpm.ksh+_xlpm.kfi)*_xlpm.sc/MAX(1,$C108))))</f>
        <v/>
      </c>
      <c r="L108" s="88" t="str" cm="1">
        <f t="array" ref="L108">IF(OR($B108="",L$104=""),"",_xlfn.LET(_xlpm.mt,_xlfn.XLOOKUP($B108&amp;" ("&amp;Roster!$C$5&amp;")",_xlfn.CHOOSECOLS(AllTargets,1),AllTargets),_xlpm.tp,_xlfn.HSTACK(_xlfn.CHOOSECOLS(_xlpm.mt,2,3,4,5,6,7),$C108),_xlpm.eds,_xlfn.XLOOKUP(L$104,Roster!$C$36:$C$50,Roster!$L$36:$L$50,0),_xlpm.sc,IF(N(_xlpm.eds)&gt;0,L$105/_xlpm.eds,1),_xlpm.ksh,IF(Roster!$C$6="Fighting",0,INDEX(UNITVS(Roster!$C$13,L$104,"Shooting",_xlpm.tp,"",_xlfn.ANCHORARRAY(Roster!$AX$7)),2)),_xlpm.kfi,IF(Roster!$C$6="Shooting",0,INDEX(UNITVS(Roster!$C$13,L$104,"Fighting",_xlpm.tp,"",_xlfn.ANCHORARRAY(Roster!$AX$8)),2)),MIN(1,(_xlpm.ksh+_xlpm.kfi)*_xlpm.sc/MAX(1,$C108))))</f>
        <v/>
      </c>
      <c r="M108" s="88" t="str" cm="1">
        <f t="array" ref="M108">IF(OR($B108="",M$104=""),"",_xlfn.LET(_xlpm.mt,_xlfn.XLOOKUP($B108&amp;" ("&amp;Roster!$C$5&amp;")",_xlfn.CHOOSECOLS(AllTargets,1),AllTargets),_xlpm.tp,_xlfn.HSTACK(_xlfn.CHOOSECOLS(_xlpm.mt,2,3,4,5,6,7),$C108),_xlpm.eds,_xlfn.XLOOKUP(M$104,Roster!$C$36:$C$50,Roster!$L$36:$L$50,0),_xlpm.sc,IF(N(_xlpm.eds)&gt;0,M$105/_xlpm.eds,1),_xlpm.ksh,IF(Roster!$C$6="Fighting",0,INDEX(UNITVS(Roster!$C$13,M$104,"Shooting",_xlpm.tp,"",_xlfn.ANCHORARRAY(Roster!$AX$7)),2)),_xlpm.kfi,IF(Roster!$C$6="Shooting",0,INDEX(UNITVS(Roster!$C$13,M$104,"Fighting",_xlpm.tp,"",_xlfn.ANCHORARRAY(Roster!$AX$8)),2)),MIN(1,(_xlpm.ksh+_xlpm.kfi)*_xlpm.sc/MAX(1,$C108))))</f>
        <v/>
      </c>
      <c r="N108" s="88" t="str" cm="1">
        <f t="array" ref="N108">IF(OR($B108="",N$104=""),"",_xlfn.LET(_xlpm.mt,_xlfn.XLOOKUP($B108&amp;" ("&amp;Roster!$C$5&amp;")",_xlfn.CHOOSECOLS(AllTargets,1),AllTargets),_xlpm.tp,_xlfn.HSTACK(_xlfn.CHOOSECOLS(_xlpm.mt,2,3,4,5,6,7),$C108),_xlpm.eds,_xlfn.XLOOKUP(N$104,Roster!$C$36:$C$50,Roster!$L$36:$L$50,0),_xlpm.sc,IF(N(_xlpm.eds)&gt;0,N$105/_xlpm.eds,1),_xlpm.ksh,IF(Roster!$C$6="Fighting",0,INDEX(UNITVS(Roster!$C$13,N$104,"Shooting",_xlpm.tp,"",_xlfn.ANCHORARRAY(Roster!$AX$7)),2)),_xlpm.kfi,IF(Roster!$C$6="Shooting",0,INDEX(UNITVS(Roster!$C$13,N$104,"Fighting",_xlpm.tp,"",_xlfn.ANCHORARRAY(Roster!$AX$8)),2)),MIN(1,(_xlpm.ksh+_xlpm.kfi)*_xlpm.sc/MAX(1,$C108))))</f>
        <v/>
      </c>
      <c r="O108" s="88" t="str" cm="1">
        <f t="array" ref="O108">IF(OR($B108="",O$104=""),"",_xlfn.LET(_xlpm.mt,_xlfn.XLOOKUP($B108&amp;" ("&amp;Roster!$C$5&amp;")",_xlfn.CHOOSECOLS(AllTargets,1),AllTargets),_xlpm.tp,_xlfn.HSTACK(_xlfn.CHOOSECOLS(_xlpm.mt,2,3,4,5,6,7),$C108),_xlpm.eds,_xlfn.XLOOKUP(O$104,Roster!$C$36:$C$50,Roster!$L$36:$L$50,0),_xlpm.sc,IF(N(_xlpm.eds)&gt;0,O$105/_xlpm.eds,1),_xlpm.ksh,IF(Roster!$C$6="Fighting",0,INDEX(UNITVS(Roster!$C$13,O$104,"Shooting",_xlpm.tp,"",_xlfn.ANCHORARRAY(Roster!$AX$7)),2)),_xlpm.kfi,IF(Roster!$C$6="Shooting",0,INDEX(UNITVS(Roster!$C$13,O$104,"Fighting",_xlpm.tp,"",_xlfn.ANCHORARRAY(Roster!$AX$8)),2)),MIN(1,(_xlpm.ksh+_xlpm.kfi)*_xlpm.sc/MAX(1,$C108))))</f>
        <v/>
      </c>
      <c r="P108" s="88" t="str" cm="1">
        <f t="array" ref="P108">IF(OR($B108="",P$104=""),"",_xlfn.LET(_xlpm.mt,_xlfn.XLOOKUP($B108&amp;" ("&amp;Roster!$C$5&amp;")",_xlfn.CHOOSECOLS(AllTargets,1),AllTargets),_xlpm.tp,_xlfn.HSTACK(_xlfn.CHOOSECOLS(_xlpm.mt,2,3,4,5,6,7),$C108),_xlpm.eds,_xlfn.XLOOKUP(P$104,Roster!$C$36:$C$50,Roster!$L$36:$L$50,0),_xlpm.sc,IF(N(_xlpm.eds)&gt;0,P$105/_xlpm.eds,1),_xlpm.ksh,IF(Roster!$C$6="Fighting",0,INDEX(UNITVS(Roster!$C$13,P$104,"Shooting",_xlpm.tp,"",_xlfn.ANCHORARRAY(Roster!$AX$7)),2)),_xlpm.kfi,IF(Roster!$C$6="Shooting",0,INDEX(UNITVS(Roster!$C$13,P$104,"Fighting",_xlpm.tp,"",_xlfn.ANCHORARRAY(Roster!$AX$8)),2)),MIN(1,(_xlpm.ksh+_xlpm.kfi)*_xlpm.sc/MAX(1,$C108))))</f>
        <v/>
      </c>
      <c r="Q108" s="88" t="str" cm="1">
        <f t="array" ref="Q108">IF(OR($B108="",Q$104=""),"",_xlfn.LET(_xlpm.mt,_xlfn.XLOOKUP($B108&amp;" ("&amp;Roster!$C$5&amp;")",_xlfn.CHOOSECOLS(AllTargets,1),AllTargets),_xlpm.tp,_xlfn.HSTACK(_xlfn.CHOOSECOLS(_xlpm.mt,2,3,4,5,6,7),$C108),_xlpm.eds,_xlfn.XLOOKUP(Q$104,Roster!$C$36:$C$50,Roster!$L$36:$L$50,0),_xlpm.sc,IF(N(_xlpm.eds)&gt;0,Q$105/_xlpm.eds,1),_xlpm.ksh,IF(Roster!$C$6="Fighting",0,INDEX(UNITVS(Roster!$C$13,Q$104,"Shooting",_xlpm.tp,"",_xlfn.ANCHORARRAY(Roster!$AX$7)),2)),_xlpm.kfi,IF(Roster!$C$6="Shooting",0,INDEX(UNITVS(Roster!$C$13,Q$104,"Fighting",_xlpm.tp,"",_xlfn.ANCHORARRAY(Roster!$AX$8)),2)),MIN(1,(_xlpm.ksh+_xlpm.kfi)*_xlpm.sc/MAX(1,$C108))))</f>
        <v/>
      </c>
      <c r="R108" s="88" t="str" cm="1">
        <f t="array" ref="R108">IF(OR($B108="",R$104=""),"",_xlfn.LET(_xlpm.mt,_xlfn.XLOOKUP($B108&amp;" ("&amp;Roster!$C$5&amp;")",_xlfn.CHOOSECOLS(AllTargets,1),AllTargets),_xlpm.tp,_xlfn.HSTACK(_xlfn.CHOOSECOLS(_xlpm.mt,2,3,4,5,6,7),$C108),_xlpm.eds,_xlfn.XLOOKUP(R$104,Roster!$C$36:$C$50,Roster!$L$36:$L$50,0),_xlpm.sc,IF(N(_xlpm.eds)&gt;0,R$105/_xlpm.eds,1),_xlpm.ksh,IF(Roster!$C$6="Fighting",0,INDEX(UNITVS(Roster!$C$13,R$104,"Shooting",_xlpm.tp,"",_xlfn.ANCHORARRAY(Roster!$AX$7)),2)),_xlpm.kfi,IF(Roster!$C$6="Shooting",0,INDEX(UNITVS(Roster!$C$13,R$104,"Fighting",_xlpm.tp,"",_xlfn.ANCHORARRAY(Roster!$AX$8)),2)),MIN(1,(_xlpm.ksh+_xlpm.kfi)*_xlpm.sc/MAX(1,$C108))))</f>
        <v/>
      </c>
      <c r="S108" s="88" t="str">
        <f t="shared" si="25"/>
        <v/>
      </c>
    </row>
    <row r="109" spans="1:19" x14ac:dyDescent="0.25">
      <c r="A109" s="82">
        <v>4</v>
      </c>
      <c r="B109" t="str">
        <f t="shared" ref="B109:C109" si="27">B22</f>
        <v>Lord of Contagion</v>
      </c>
      <c r="C109" s="6">
        <f t="shared" si="27"/>
        <v>1</v>
      </c>
      <c r="D109" s="88" t="str" cm="1">
        <f t="array" ref="D109">IF(OR($B109="",D$104=""),"",_xlfn.LET(_xlpm.mt,_xlfn.XLOOKUP($B109&amp;" ("&amp;Roster!$C$5&amp;")",_xlfn.CHOOSECOLS(AllTargets,1),AllTargets),_xlpm.tp,_xlfn.HSTACK(_xlfn.CHOOSECOLS(_xlpm.mt,2,3,4,5,6,7),$C109),_xlpm.eds,_xlfn.XLOOKUP(D$104,Roster!$C$36:$C$50,Roster!$L$36:$L$50,0),_xlpm.sc,IF(N(_xlpm.eds)&gt;0,D$105/_xlpm.eds,1),_xlpm.ksh,IF(Roster!$C$6="Fighting",0,INDEX(UNITVS(Roster!$C$13,D$104,"Shooting",_xlpm.tp,"",_xlfn.ANCHORARRAY(Roster!$AX$7)),2)),_xlpm.kfi,IF(Roster!$C$6="Shooting",0,INDEX(UNITVS(Roster!$C$13,D$104,"Fighting",_xlpm.tp,"",_xlfn.ANCHORARRAY(Roster!$AX$8)),2)),MIN(1,(_xlpm.ksh+_xlpm.kfi)*_xlpm.sc/MAX(1,$C109))))</f>
        <v/>
      </c>
      <c r="E109" s="88" t="str" cm="1">
        <f t="array" ref="E109">IF(OR($B109="",E$104=""),"",_xlfn.LET(_xlpm.mt,_xlfn.XLOOKUP($B109&amp;" ("&amp;Roster!$C$5&amp;")",_xlfn.CHOOSECOLS(AllTargets,1),AllTargets),_xlpm.tp,_xlfn.HSTACK(_xlfn.CHOOSECOLS(_xlpm.mt,2,3,4,5,6,7),$C109),_xlpm.eds,_xlfn.XLOOKUP(E$104,Roster!$C$36:$C$50,Roster!$L$36:$L$50,0),_xlpm.sc,IF(N(_xlpm.eds)&gt;0,E$105/_xlpm.eds,1),_xlpm.ksh,IF(Roster!$C$6="Fighting",0,INDEX(UNITVS(Roster!$C$13,E$104,"Shooting",_xlpm.tp,"",_xlfn.ANCHORARRAY(Roster!$AX$7)),2)),_xlpm.kfi,IF(Roster!$C$6="Shooting",0,INDEX(UNITVS(Roster!$C$13,E$104,"Fighting",_xlpm.tp,"",_xlfn.ANCHORARRAY(Roster!$AX$8)),2)),MIN(1,(_xlpm.ksh+_xlpm.kfi)*_xlpm.sc/MAX(1,$C109))))</f>
        <v/>
      </c>
      <c r="F109" s="88" t="str" cm="1">
        <f t="array" ref="F109">IF(OR($B109="",F$104=""),"",_xlfn.LET(_xlpm.mt,_xlfn.XLOOKUP($B109&amp;" ("&amp;Roster!$C$5&amp;")",_xlfn.CHOOSECOLS(AllTargets,1),AllTargets),_xlpm.tp,_xlfn.HSTACK(_xlfn.CHOOSECOLS(_xlpm.mt,2,3,4,5,6,7),$C109),_xlpm.eds,_xlfn.XLOOKUP(F$104,Roster!$C$36:$C$50,Roster!$L$36:$L$50,0),_xlpm.sc,IF(N(_xlpm.eds)&gt;0,F$105/_xlpm.eds,1),_xlpm.ksh,IF(Roster!$C$6="Fighting",0,INDEX(UNITVS(Roster!$C$13,F$104,"Shooting",_xlpm.tp,"",_xlfn.ANCHORARRAY(Roster!$AX$7)),2)),_xlpm.kfi,IF(Roster!$C$6="Shooting",0,INDEX(UNITVS(Roster!$C$13,F$104,"Fighting",_xlpm.tp,"",_xlfn.ANCHORARRAY(Roster!$AX$8)),2)),MIN(1,(_xlpm.ksh+_xlpm.kfi)*_xlpm.sc/MAX(1,$C109))))</f>
        <v/>
      </c>
      <c r="G109" s="88" t="str" cm="1">
        <f t="array" ref="G109">IF(OR($B109="",G$104=""),"",_xlfn.LET(_xlpm.mt,_xlfn.XLOOKUP($B109&amp;" ("&amp;Roster!$C$5&amp;")",_xlfn.CHOOSECOLS(AllTargets,1),AllTargets),_xlpm.tp,_xlfn.HSTACK(_xlfn.CHOOSECOLS(_xlpm.mt,2,3,4,5,6,7),$C109),_xlpm.eds,_xlfn.XLOOKUP(G$104,Roster!$C$36:$C$50,Roster!$L$36:$L$50,0),_xlpm.sc,IF(N(_xlpm.eds)&gt;0,G$105/_xlpm.eds,1),_xlpm.ksh,IF(Roster!$C$6="Fighting",0,INDEX(UNITVS(Roster!$C$13,G$104,"Shooting",_xlpm.tp,"",_xlfn.ANCHORARRAY(Roster!$AX$7)),2)),_xlpm.kfi,IF(Roster!$C$6="Shooting",0,INDEX(UNITVS(Roster!$C$13,G$104,"Fighting",_xlpm.tp,"",_xlfn.ANCHORARRAY(Roster!$AX$8)),2)),MIN(1,(_xlpm.ksh+_xlpm.kfi)*_xlpm.sc/MAX(1,$C109))))</f>
        <v/>
      </c>
      <c r="H109" s="88" t="str" cm="1">
        <f t="array" ref="H109">IF(OR($B109="",H$104=""),"",_xlfn.LET(_xlpm.mt,_xlfn.XLOOKUP($B109&amp;" ("&amp;Roster!$C$5&amp;")",_xlfn.CHOOSECOLS(AllTargets,1),AllTargets),_xlpm.tp,_xlfn.HSTACK(_xlfn.CHOOSECOLS(_xlpm.mt,2,3,4,5,6,7),$C109),_xlpm.eds,_xlfn.XLOOKUP(H$104,Roster!$C$36:$C$50,Roster!$L$36:$L$50,0),_xlpm.sc,IF(N(_xlpm.eds)&gt;0,H$105/_xlpm.eds,1),_xlpm.ksh,IF(Roster!$C$6="Fighting",0,INDEX(UNITVS(Roster!$C$13,H$104,"Shooting",_xlpm.tp,"",_xlfn.ANCHORARRAY(Roster!$AX$7)),2)),_xlpm.kfi,IF(Roster!$C$6="Shooting",0,INDEX(UNITVS(Roster!$C$13,H$104,"Fighting",_xlpm.tp,"",_xlfn.ANCHORARRAY(Roster!$AX$8)),2)),MIN(1,(_xlpm.ksh+_xlpm.kfi)*_xlpm.sc/MAX(1,$C109))))</f>
        <v/>
      </c>
      <c r="I109" s="88" t="str" cm="1">
        <f t="array" ref="I109">IF(OR($B109="",I$104=""),"",_xlfn.LET(_xlpm.mt,_xlfn.XLOOKUP($B109&amp;" ("&amp;Roster!$C$5&amp;")",_xlfn.CHOOSECOLS(AllTargets,1),AllTargets),_xlpm.tp,_xlfn.HSTACK(_xlfn.CHOOSECOLS(_xlpm.mt,2,3,4,5,6,7),$C109),_xlpm.eds,_xlfn.XLOOKUP(I$104,Roster!$C$36:$C$50,Roster!$L$36:$L$50,0),_xlpm.sc,IF(N(_xlpm.eds)&gt;0,I$105/_xlpm.eds,1),_xlpm.ksh,IF(Roster!$C$6="Fighting",0,INDEX(UNITVS(Roster!$C$13,I$104,"Shooting",_xlpm.tp,"",_xlfn.ANCHORARRAY(Roster!$AX$7)),2)),_xlpm.kfi,IF(Roster!$C$6="Shooting",0,INDEX(UNITVS(Roster!$C$13,I$104,"Fighting",_xlpm.tp,"",_xlfn.ANCHORARRAY(Roster!$AX$8)),2)),MIN(1,(_xlpm.ksh+_xlpm.kfi)*_xlpm.sc/MAX(1,$C109))))</f>
        <v/>
      </c>
      <c r="J109" s="88" t="str" cm="1">
        <f t="array" ref="J109">IF(OR($B109="",J$104=""),"",_xlfn.LET(_xlpm.mt,_xlfn.XLOOKUP($B109&amp;" ("&amp;Roster!$C$5&amp;")",_xlfn.CHOOSECOLS(AllTargets,1),AllTargets),_xlpm.tp,_xlfn.HSTACK(_xlfn.CHOOSECOLS(_xlpm.mt,2,3,4,5,6,7),$C109),_xlpm.eds,_xlfn.XLOOKUP(J$104,Roster!$C$36:$C$50,Roster!$L$36:$L$50,0),_xlpm.sc,IF(N(_xlpm.eds)&gt;0,J$105/_xlpm.eds,1),_xlpm.ksh,IF(Roster!$C$6="Fighting",0,INDEX(UNITVS(Roster!$C$13,J$104,"Shooting",_xlpm.tp,"",_xlfn.ANCHORARRAY(Roster!$AX$7)),2)),_xlpm.kfi,IF(Roster!$C$6="Shooting",0,INDEX(UNITVS(Roster!$C$13,J$104,"Fighting",_xlpm.tp,"",_xlfn.ANCHORARRAY(Roster!$AX$8)),2)),MIN(1,(_xlpm.ksh+_xlpm.kfi)*_xlpm.sc/MAX(1,$C109))))</f>
        <v/>
      </c>
      <c r="K109" s="88" t="str" cm="1">
        <f t="array" ref="K109">IF(OR($B109="",K$104=""),"",_xlfn.LET(_xlpm.mt,_xlfn.XLOOKUP($B109&amp;" ("&amp;Roster!$C$5&amp;")",_xlfn.CHOOSECOLS(AllTargets,1),AllTargets),_xlpm.tp,_xlfn.HSTACK(_xlfn.CHOOSECOLS(_xlpm.mt,2,3,4,5,6,7),$C109),_xlpm.eds,_xlfn.XLOOKUP(K$104,Roster!$C$36:$C$50,Roster!$L$36:$L$50,0),_xlpm.sc,IF(N(_xlpm.eds)&gt;0,K$105/_xlpm.eds,1),_xlpm.ksh,IF(Roster!$C$6="Fighting",0,INDEX(UNITVS(Roster!$C$13,K$104,"Shooting",_xlpm.tp,"",_xlfn.ANCHORARRAY(Roster!$AX$7)),2)),_xlpm.kfi,IF(Roster!$C$6="Shooting",0,INDEX(UNITVS(Roster!$C$13,K$104,"Fighting",_xlpm.tp,"",_xlfn.ANCHORARRAY(Roster!$AX$8)),2)),MIN(1,(_xlpm.ksh+_xlpm.kfi)*_xlpm.sc/MAX(1,$C109))))</f>
        <v/>
      </c>
      <c r="L109" s="88" t="str" cm="1">
        <f t="array" ref="L109">IF(OR($B109="",L$104=""),"",_xlfn.LET(_xlpm.mt,_xlfn.XLOOKUP($B109&amp;" ("&amp;Roster!$C$5&amp;")",_xlfn.CHOOSECOLS(AllTargets,1),AllTargets),_xlpm.tp,_xlfn.HSTACK(_xlfn.CHOOSECOLS(_xlpm.mt,2,3,4,5,6,7),$C109),_xlpm.eds,_xlfn.XLOOKUP(L$104,Roster!$C$36:$C$50,Roster!$L$36:$L$50,0),_xlpm.sc,IF(N(_xlpm.eds)&gt;0,L$105/_xlpm.eds,1),_xlpm.ksh,IF(Roster!$C$6="Fighting",0,INDEX(UNITVS(Roster!$C$13,L$104,"Shooting",_xlpm.tp,"",_xlfn.ANCHORARRAY(Roster!$AX$7)),2)),_xlpm.kfi,IF(Roster!$C$6="Shooting",0,INDEX(UNITVS(Roster!$C$13,L$104,"Fighting",_xlpm.tp,"",_xlfn.ANCHORARRAY(Roster!$AX$8)),2)),MIN(1,(_xlpm.ksh+_xlpm.kfi)*_xlpm.sc/MAX(1,$C109))))</f>
        <v/>
      </c>
      <c r="M109" s="88" t="str" cm="1">
        <f t="array" ref="M109">IF(OR($B109="",M$104=""),"",_xlfn.LET(_xlpm.mt,_xlfn.XLOOKUP($B109&amp;" ("&amp;Roster!$C$5&amp;")",_xlfn.CHOOSECOLS(AllTargets,1),AllTargets),_xlpm.tp,_xlfn.HSTACK(_xlfn.CHOOSECOLS(_xlpm.mt,2,3,4,5,6,7),$C109),_xlpm.eds,_xlfn.XLOOKUP(M$104,Roster!$C$36:$C$50,Roster!$L$36:$L$50,0),_xlpm.sc,IF(N(_xlpm.eds)&gt;0,M$105/_xlpm.eds,1),_xlpm.ksh,IF(Roster!$C$6="Fighting",0,INDEX(UNITVS(Roster!$C$13,M$104,"Shooting",_xlpm.tp,"",_xlfn.ANCHORARRAY(Roster!$AX$7)),2)),_xlpm.kfi,IF(Roster!$C$6="Shooting",0,INDEX(UNITVS(Roster!$C$13,M$104,"Fighting",_xlpm.tp,"",_xlfn.ANCHORARRAY(Roster!$AX$8)),2)),MIN(1,(_xlpm.ksh+_xlpm.kfi)*_xlpm.sc/MAX(1,$C109))))</f>
        <v/>
      </c>
      <c r="N109" s="88" t="str" cm="1">
        <f t="array" ref="N109">IF(OR($B109="",N$104=""),"",_xlfn.LET(_xlpm.mt,_xlfn.XLOOKUP($B109&amp;" ("&amp;Roster!$C$5&amp;")",_xlfn.CHOOSECOLS(AllTargets,1),AllTargets),_xlpm.tp,_xlfn.HSTACK(_xlfn.CHOOSECOLS(_xlpm.mt,2,3,4,5,6,7),$C109),_xlpm.eds,_xlfn.XLOOKUP(N$104,Roster!$C$36:$C$50,Roster!$L$36:$L$50,0),_xlpm.sc,IF(N(_xlpm.eds)&gt;0,N$105/_xlpm.eds,1),_xlpm.ksh,IF(Roster!$C$6="Fighting",0,INDEX(UNITVS(Roster!$C$13,N$104,"Shooting",_xlpm.tp,"",_xlfn.ANCHORARRAY(Roster!$AX$7)),2)),_xlpm.kfi,IF(Roster!$C$6="Shooting",0,INDEX(UNITVS(Roster!$C$13,N$104,"Fighting",_xlpm.tp,"",_xlfn.ANCHORARRAY(Roster!$AX$8)),2)),MIN(1,(_xlpm.ksh+_xlpm.kfi)*_xlpm.sc/MAX(1,$C109))))</f>
        <v/>
      </c>
      <c r="O109" s="88" t="str" cm="1">
        <f t="array" ref="O109">IF(OR($B109="",O$104=""),"",_xlfn.LET(_xlpm.mt,_xlfn.XLOOKUP($B109&amp;" ("&amp;Roster!$C$5&amp;")",_xlfn.CHOOSECOLS(AllTargets,1),AllTargets),_xlpm.tp,_xlfn.HSTACK(_xlfn.CHOOSECOLS(_xlpm.mt,2,3,4,5,6,7),$C109),_xlpm.eds,_xlfn.XLOOKUP(O$104,Roster!$C$36:$C$50,Roster!$L$36:$L$50,0),_xlpm.sc,IF(N(_xlpm.eds)&gt;0,O$105/_xlpm.eds,1),_xlpm.ksh,IF(Roster!$C$6="Fighting",0,INDEX(UNITVS(Roster!$C$13,O$104,"Shooting",_xlpm.tp,"",_xlfn.ANCHORARRAY(Roster!$AX$7)),2)),_xlpm.kfi,IF(Roster!$C$6="Shooting",0,INDEX(UNITVS(Roster!$C$13,O$104,"Fighting",_xlpm.tp,"",_xlfn.ANCHORARRAY(Roster!$AX$8)),2)),MIN(1,(_xlpm.ksh+_xlpm.kfi)*_xlpm.sc/MAX(1,$C109))))</f>
        <v/>
      </c>
      <c r="P109" s="88" t="str" cm="1">
        <f t="array" ref="P109">IF(OR($B109="",P$104=""),"",_xlfn.LET(_xlpm.mt,_xlfn.XLOOKUP($B109&amp;" ("&amp;Roster!$C$5&amp;")",_xlfn.CHOOSECOLS(AllTargets,1),AllTargets),_xlpm.tp,_xlfn.HSTACK(_xlfn.CHOOSECOLS(_xlpm.mt,2,3,4,5,6,7),$C109),_xlpm.eds,_xlfn.XLOOKUP(P$104,Roster!$C$36:$C$50,Roster!$L$36:$L$50,0),_xlpm.sc,IF(N(_xlpm.eds)&gt;0,P$105/_xlpm.eds,1),_xlpm.ksh,IF(Roster!$C$6="Fighting",0,INDEX(UNITVS(Roster!$C$13,P$104,"Shooting",_xlpm.tp,"",_xlfn.ANCHORARRAY(Roster!$AX$7)),2)),_xlpm.kfi,IF(Roster!$C$6="Shooting",0,INDEX(UNITVS(Roster!$C$13,P$104,"Fighting",_xlpm.tp,"",_xlfn.ANCHORARRAY(Roster!$AX$8)),2)),MIN(1,(_xlpm.ksh+_xlpm.kfi)*_xlpm.sc/MAX(1,$C109))))</f>
        <v/>
      </c>
      <c r="Q109" s="88" t="str" cm="1">
        <f t="array" ref="Q109">IF(OR($B109="",Q$104=""),"",_xlfn.LET(_xlpm.mt,_xlfn.XLOOKUP($B109&amp;" ("&amp;Roster!$C$5&amp;")",_xlfn.CHOOSECOLS(AllTargets,1),AllTargets),_xlpm.tp,_xlfn.HSTACK(_xlfn.CHOOSECOLS(_xlpm.mt,2,3,4,5,6,7),$C109),_xlpm.eds,_xlfn.XLOOKUP(Q$104,Roster!$C$36:$C$50,Roster!$L$36:$L$50,0),_xlpm.sc,IF(N(_xlpm.eds)&gt;0,Q$105/_xlpm.eds,1),_xlpm.ksh,IF(Roster!$C$6="Fighting",0,INDEX(UNITVS(Roster!$C$13,Q$104,"Shooting",_xlpm.tp,"",_xlfn.ANCHORARRAY(Roster!$AX$7)),2)),_xlpm.kfi,IF(Roster!$C$6="Shooting",0,INDEX(UNITVS(Roster!$C$13,Q$104,"Fighting",_xlpm.tp,"",_xlfn.ANCHORARRAY(Roster!$AX$8)),2)),MIN(1,(_xlpm.ksh+_xlpm.kfi)*_xlpm.sc/MAX(1,$C109))))</f>
        <v/>
      </c>
      <c r="R109" s="88" t="str" cm="1">
        <f t="array" ref="R109">IF(OR($B109="",R$104=""),"",_xlfn.LET(_xlpm.mt,_xlfn.XLOOKUP($B109&amp;" ("&amp;Roster!$C$5&amp;")",_xlfn.CHOOSECOLS(AllTargets,1),AllTargets),_xlpm.tp,_xlfn.HSTACK(_xlfn.CHOOSECOLS(_xlpm.mt,2,3,4,5,6,7),$C109),_xlpm.eds,_xlfn.XLOOKUP(R$104,Roster!$C$36:$C$50,Roster!$L$36:$L$50,0),_xlpm.sc,IF(N(_xlpm.eds)&gt;0,R$105/_xlpm.eds,1),_xlpm.ksh,IF(Roster!$C$6="Fighting",0,INDEX(UNITVS(Roster!$C$13,R$104,"Shooting",_xlpm.tp,"",_xlfn.ANCHORARRAY(Roster!$AX$7)),2)),_xlpm.kfi,IF(Roster!$C$6="Shooting",0,INDEX(UNITVS(Roster!$C$13,R$104,"Fighting",_xlpm.tp,"",_xlfn.ANCHORARRAY(Roster!$AX$8)),2)),MIN(1,(_xlpm.ksh+_xlpm.kfi)*_xlpm.sc/MAX(1,$C109))))</f>
        <v/>
      </c>
      <c r="S109" s="88" t="str">
        <f t="shared" si="25"/>
        <v/>
      </c>
    </row>
    <row r="110" spans="1:19" x14ac:dyDescent="0.25">
      <c r="A110" s="82">
        <v>5</v>
      </c>
      <c r="B110" t="str">
        <f t="shared" ref="B110:C110" si="28">B23</f>
        <v>Typhus</v>
      </c>
      <c r="C110" s="6">
        <f t="shared" si="28"/>
        <v>1</v>
      </c>
      <c r="D110" s="88" t="str" cm="1">
        <f t="array" ref="D110">IF(OR($B110="",D$104=""),"",_xlfn.LET(_xlpm.mt,_xlfn.XLOOKUP($B110&amp;" ("&amp;Roster!$C$5&amp;")",_xlfn.CHOOSECOLS(AllTargets,1),AllTargets),_xlpm.tp,_xlfn.HSTACK(_xlfn.CHOOSECOLS(_xlpm.mt,2,3,4,5,6,7),$C110),_xlpm.eds,_xlfn.XLOOKUP(D$104,Roster!$C$36:$C$50,Roster!$L$36:$L$50,0),_xlpm.sc,IF(N(_xlpm.eds)&gt;0,D$105/_xlpm.eds,1),_xlpm.ksh,IF(Roster!$C$6="Fighting",0,INDEX(UNITVS(Roster!$C$13,D$104,"Shooting",_xlpm.tp,"",_xlfn.ANCHORARRAY(Roster!$AX$7)),2)),_xlpm.kfi,IF(Roster!$C$6="Shooting",0,INDEX(UNITVS(Roster!$C$13,D$104,"Fighting",_xlpm.tp,"",_xlfn.ANCHORARRAY(Roster!$AX$8)),2)),MIN(1,(_xlpm.ksh+_xlpm.kfi)*_xlpm.sc/MAX(1,$C110))))</f>
        <v/>
      </c>
      <c r="E110" s="88" t="str" cm="1">
        <f t="array" ref="E110">IF(OR($B110="",E$104=""),"",_xlfn.LET(_xlpm.mt,_xlfn.XLOOKUP($B110&amp;" ("&amp;Roster!$C$5&amp;")",_xlfn.CHOOSECOLS(AllTargets,1),AllTargets),_xlpm.tp,_xlfn.HSTACK(_xlfn.CHOOSECOLS(_xlpm.mt,2,3,4,5,6,7),$C110),_xlpm.eds,_xlfn.XLOOKUP(E$104,Roster!$C$36:$C$50,Roster!$L$36:$L$50,0),_xlpm.sc,IF(N(_xlpm.eds)&gt;0,E$105/_xlpm.eds,1),_xlpm.ksh,IF(Roster!$C$6="Fighting",0,INDEX(UNITVS(Roster!$C$13,E$104,"Shooting",_xlpm.tp,"",_xlfn.ANCHORARRAY(Roster!$AX$7)),2)),_xlpm.kfi,IF(Roster!$C$6="Shooting",0,INDEX(UNITVS(Roster!$C$13,E$104,"Fighting",_xlpm.tp,"",_xlfn.ANCHORARRAY(Roster!$AX$8)),2)),MIN(1,(_xlpm.ksh+_xlpm.kfi)*_xlpm.sc/MAX(1,$C110))))</f>
        <v/>
      </c>
      <c r="F110" s="88" t="str" cm="1">
        <f t="array" ref="F110">IF(OR($B110="",F$104=""),"",_xlfn.LET(_xlpm.mt,_xlfn.XLOOKUP($B110&amp;" ("&amp;Roster!$C$5&amp;")",_xlfn.CHOOSECOLS(AllTargets,1),AllTargets),_xlpm.tp,_xlfn.HSTACK(_xlfn.CHOOSECOLS(_xlpm.mt,2,3,4,5,6,7),$C110),_xlpm.eds,_xlfn.XLOOKUP(F$104,Roster!$C$36:$C$50,Roster!$L$36:$L$50,0),_xlpm.sc,IF(N(_xlpm.eds)&gt;0,F$105/_xlpm.eds,1),_xlpm.ksh,IF(Roster!$C$6="Fighting",0,INDEX(UNITVS(Roster!$C$13,F$104,"Shooting",_xlpm.tp,"",_xlfn.ANCHORARRAY(Roster!$AX$7)),2)),_xlpm.kfi,IF(Roster!$C$6="Shooting",0,INDEX(UNITVS(Roster!$C$13,F$104,"Fighting",_xlpm.tp,"",_xlfn.ANCHORARRAY(Roster!$AX$8)),2)),MIN(1,(_xlpm.ksh+_xlpm.kfi)*_xlpm.sc/MAX(1,$C110))))</f>
        <v/>
      </c>
      <c r="G110" s="88" t="str" cm="1">
        <f t="array" ref="G110">IF(OR($B110="",G$104=""),"",_xlfn.LET(_xlpm.mt,_xlfn.XLOOKUP($B110&amp;" ("&amp;Roster!$C$5&amp;")",_xlfn.CHOOSECOLS(AllTargets,1),AllTargets),_xlpm.tp,_xlfn.HSTACK(_xlfn.CHOOSECOLS(_xlpm.mt,2,3,4,5,6,7),$C110),_xlpm.eds,_xlfn.XLOOKUP(G$104,Roster!$C$36:$C$50,Roster!$L$36:$L$50,0),_xlpm.sc,IF(N(_xlpm.eds)&gt;0,G$105/_xlpm.eds,1),_xlpm.ksh,IF(Roster!$C$6="Fighting",0,INDEX(UNITVS(Roster!$C$13,G$104,"Shooting",_xlpm.tp,"",_xlfn.ANCHORARRAY(Roster!$AX$7)),2)),_xlpm.kfi,IF(Roster!$C$6="Shooting",0,INDEX(UNITVS(Roster!$C$13,G$104,"Fighting",_xlpm.tp,"",_xlfn.ANCHORARRAY(Roster!$AX$8)),2)),MIN(1,(_xlpm.ksh+_xlpm.kfi)*_xlpm.sc/MAX(1,$C110))))</f>
        <v/>
      </c>
      <c r="H110" s="88" t="str" cm="1">
        <f t="array" ref="H110">IF(OR($B110="",H$104=""),"",_xlfn.LET(_xlpm.mt,_xlfn.XLOOKUP($B110&amp;" ("&amp;Roster!$C$5&amp;")",_xlfn.CHOOSECOLS(AllTargets,1),AllTargets),_xlpm.tp,_xlfn.HSTACK(_xlfn.CHOOSECOLS(_xlpm.mt,2,3,4,5,6,7),$C110),_xlpm.eds,_xlfn.XLOOKUP(H$104,Roster!$C$36:$C$50,Roster!$L$36:$L$50,0),_xlpm.sc,IF(N(_xlpm.eds)&gt;0,H$105/_xlpm.eds,1),_xlpm.ksh,IF(Roster!$C$6="Fighting",0,INDEX(UNITVS(Roster!$C$13,H$104,"Shooting",_xlpm.tp,"",_xlfn.ANCHORARRAY(Roster!$AX$7)),2)),_xlpm.kfi,IF(Roster!$C$6="Shooting",0,INDEX(UNITVS(Roster!$C$13,H$104,"Fighting",_xlpm.tp,"",_xlfn.ANCHORARRAY(Roster!$AX$8)),2)),MIN(1,(_xlpm.ksh+_xlpm.kfi)*_xlpm.sc/MAX(1,$C110))))</f>
        <v/>
      </c>
      <c r="I110" s="88" t="str" cm="1">
        <f t="array" ref="I110">IF(OR($B110="",I$104=""),"",_xlfn.LET(_xlpm.mt,_xlfn.XLOOKUP($B110&amp;" ("&amp;Roster!$C$5&amp;")",_xlfn.CHOOSECOLS(AllTargets,1),AllTargets),_xlpm.tp,_xlfn.HSTACK(_xlfn.CHOOSECOLS(_xlpm.mt,2,3,4,5,6,7),$C110),_xlpm.eds,_xlfn.XLOOKUP(I$104,Roster!$C$36:$C$50,Roster!$L$36:$L$50,0),_xlpm.sc,IF(N(_xlpm.eds)&gt;0,I$105/_xlpm.eds,1),_xlpm.ksh,IF(Roster!$C$6="Fighting",0,INDEX(UNITVS(Roster!$C$13,I$104,"Shooting",_xlpm.tp,"",_xlfn.ANCHORARRAY(Roster!$AX$7)),2)),_xlpm.kfi,IF(Roster!$C$6="Shooting",0,INDEX(UNITVS(Roster!$C$13,I$104,"Fighting",_xlpm.tp,"",_xlfn.ANCHORARRAY(Roster!$AX$8)),2)),MIN(1,(_xlpm.ksh+_xlpm.kfi)*_xlpm.sc/MAX(1,$C110))))</f>
        <v/>
      </c>
      <c r="J110" s="88" t="str" cm="1">
        <f t="array" ref="J110">IF(OR($B110="",J$104=""),"",_xlfn.LET(_xlpm.mt,_xlfn.XLOOKUP($B110&amp;" ("&amp;Roster!$C$5&amp;")",_xlfn.CHOOSECOLS(AllTargets,1),AllTargets),_xlpm.tp,_xlfn.HSTACK(_xlfn.CHOOSECOLS(_xlpm.mt,2,3,4,5,6,7),$C110),_xlpm.eds,_xlfn.XLOOKUP(J$104,Roster!$C$36:$C$50,Roster!$L$36:$L$50,0),_xlpm.sc,IF(N(_xlpm.eds)&gt;0,J$105/_xlpm.eds,1),_xlpm.ksh,IF(Roster!$C$6="Fighting",0,INDEX(UNITVS(Roster!$C$13,J$104,"Shooting",_xlpm.tp,"",_xlfn.ANCHORARRAY(Roster!$AX$7)),2)),_xlpm.kfi,IF(Roster!$C$6="Shooting",0,INDEX(UNITVS(Roster!$C$13,J$104,"Fighting",_xlpm.tp,"",_xlfn.ANCHORARRAY(Roster!$AX$8)),2)),MIN(1,(_xlpm.ksh+_xlpm.kfi)*_xlpm.sc/MAX(1,$C110))))</f>
        <v/>
      </c>
      <c r="K110" s="88" t="str" cm="1">
        <f t="array" ref="K110">IF(OR($B110="",K$104=""),"",_xlfn.LET(_xlpm.mt,_xlfn.XLOOKUP($B110&amp;" ("&amp;Roster!$C$5&amp;")",_xlfn.CHOOSECOLS(AllTargets,1),AllTargets),_xlpm.tp,_xlfn.HSTACK(_xlfn.CHOOSECOLS(_xlpm.mt,2,3,4,5,6,7),$C110),_xlpm.eds,_xlfn.XLOOKUP(K$104,Roster!$C$36:$C$50,Roster!$L$36:$L$50,0),_xlpm.sc,IF(N(_xlpm.eds)&gt;0,K$105/_xlpm.eds,1),_xlpm.ksh,IF(Roster!$C$6="Fighting",0,INDEX(UNITVS(Roster!$C$13,K$104,"Shooting",_xlpm.tp,"",_xlfn.ANCHORARRAY(Roster!$AX$7)),2)),_xlpm.kfi,IF(Roster!$C$6="Shooting",0,INDEX(UNITVS(Roster!$C$13,K$104,"Fighting",_xlpm.tp,"",_xlfn.ANCHORARRAY(Roster!$AX$8)),2)),MIN(1,(_xlpm.ksh+_xlpm.kfi)*_xlpm.sc/MAX(1,$C110))))</f>
        <v/>
      </c>
      <c r="L110" s="88" t="str" cm="1">
        <f t="array" ref="L110">IF(OR($B110="",L$104=""),"",_xlfn.LET(_xlpm.mt,_xlfn.XLOOKUP($B110&amp;" ("&amp;Roster!$C$5&amp;")",_xlfn.CHOOSECOLS(AllTargets,1),AllTargets),_xlpm.tp,_xlfn.HSTACK(_xlfn.CHOOSECOLS(_xlpm.mt,2,3,4,5,6,7),$C110),_xlpm.eds,_xlfn.XLOOKUP(L$104,Roster!$C$36:$C$50,Roster!$L$36:$L$50,0),_xlpm.sc,IF(N(_xlpm.eds)&gt;0,L$105/_xlpm.eds,1),_xlpm.ksh,IF(Roster!$C$6="Fighting",0,INDEX(UNITVS(Roster!$C$13,L$104,"Shooting",_xlpm.tp,"",_xlfn.ANCHORARRAY(Roster!$AX$7)),2)),_xlpm.kfi,IF(Roster!$C$6="Shooting",0,INDEX(UNITVS(Roster!$C$13,L$104,"Fighting",_xlpm.tp,"",_xlfn.ANCHORARRAY(Roster!$AX$8)),2)),MIN(1,(_xlpm.ksh+_xlpm.kfi)*_xlpm.sc/MAX(1,$C110))))</f>
        <v/>
      </c>
      <c r="M110" s="88" t="str" cm="1">
        <f t="array" ref="M110">IF(OR($B110="",M$104=""),"",_xlfn.LET(_xlpm.mt,_xlfn.XLOOKUP($B110&amp;" ("&amp;Roster!$C$5&amp;")",_xlfn.CHOOSECOLS(AllTargets,1),AllTargets),_xlpm.tp,_xlfn.HSTACK(_xlfn.CHOOSECOLS(_xlpm.mt,2,3,4,5,6,7),$C110),_xlpm.eds,_xlfn.XLOOKUP(M$104,Roster!$C$36:$C$50,Roster!$L$36:$L$50,0),_xlpm.sc,IF(N(_xlpm.eds)&gt;0,M$105/_xlpm.eds,1),_xlpm.ksh,IF(Roster!$C$6="Fighting",0,INDEX(UNITVS(Roster!$C$13,M$104,"Shooting",_xlpm.tp,"",_xlfn.ANCHORARRAY(Roster!$AX$7)),2)),_xlpm.kfi,IF(Roster!$C$6="Shooting",0,INDEX(UNITVS(Roster!$C$13,M$104,"Fighting",_xlpm.tp,"",_xlfn.ANCHORARRAY(Roster!$AX$8)),2)),MIN(1,(_xlpm.ksh+_xlpm.kfi)*_xlpm.sc/MAX(1,$C110))))</f>
        <v/>
      </c>
      <c r="N110" s="88" t="str" cm="1">
        <f t="array" ref="N110">IF(OR($B110="",N$104=""),"",_xlfn.LET(_xlpm.mt,_xlfn.XLOOKUP($B110&amp;" ("&amp;Roster!$C$5&amp;")",_xlfn.CHOOSECOLS(AllTargets,1),AllTargets),_xlpm.tp,_xlfn.HSTACK(_xlfn.CHOOSECOLS(_xlpm.mt,2,3,4,5,6,7),$C110),_xlpm.eds,_xlfn.XLOOKUP(N$104,Roster!$C$36:$C$50,Roster!$L$36:$L$50,0),_xlpm.sc,IF(N(_xlpm.eds)&gt;0,N$105/_xlpm.eds,1),_xlpm.ksh,IF(Roster!$C$6="Fighting",0,INDEX(UNITVS(Roster!$C$13,N$104,"Shooting",_xlpm.tp,"",_xlfn.ANCHORARRAY(Roster!$AX$7)),2)),_xlpm.kfi,IF(Roster!$C$6="Shooting",0,INDEX(UNITVS(Roster!$C$13,N$104,"Fighting",_xlpm.tp,"",_xlfn.ANCHORARRAY(Roster!$AX$8)),2)),MIN(1,(_xlpm.ksh+_xlpm.kfi)*_xlpm.sc/MAX(1,$C110))))</f>
        <v/>
      </c>
      <c r="O110" s="88" t="str" cm="1">
        <f t="array" ref="O110">IF(OR($B110="",O$104=""),"",_xlfn.LET(_xlpm.mt,_xlfn.XLOOKUP($B110&amp;" ("&amp;Roster!$C$5&amp;")",_xlfn.CHOOSECOLS(AllTargets,1),AllTargets),_xlpm.tp,_xlfn.HSTACK(_xlfn.CHOOSECOLS(_xlpm.mt,2,3,4,5,6,7),$C110),_xlpm.eds,_xlfn.XLOOKUP(O$104,Roster!$C$36:$C$50,Roster!$L$36:$L$50,0),_xlpm.sc,IF(N(_xlpm.eds)&gt;0,O$105/_xlpm.eds,1),_xlpm.ksh,IF(Roster!$C$6="Fighting",0,INDEX(UNITVS(Roster!$C$13,O$104,"Shooting",_xlpm.tp,"",_xlfn.ANCHORARRAY(Roster!$AX$7)),2)),_xlpm.kfi,IF(Roster!$C$6="Shooting",0,INDEX(UNITVS(Roster!$C$13,O$104,"Fighting",_xlpm.tp,"",_xlfn.ANCHORARRAY(Roster!$AX$8)),2)),MIN(1,(_xlpm.ksh+_xlpm.kfi)*_xlpm.sc/MAX(1,$C110))))</f>
        <v/>
      </c>
      <c r="P110" s="88" t="str" cm="1">
        <f t="array" ref="P110">IF(OR($B110="",P$104=""),"",_xlfn.LET(_xlpm.mt,_xlfn.XLOOKUP($B110&amp;" ("&amp;Roster!$C$5&amp;")",_xlfn.CHOOSECOLS(AllTargets,1),AllTargets),_xlpm.tp,_xlfn.HSTACK(_xlfn.CHOOSECOLS(_xlpm.mt,2,3,4,5,6,7),$C110),_xlpm.eds,_xlfn.XLOOKUP(P$104,Roster!$C$36:$C$50,Roster!$L$36:$L$50,0),_xlpm.sc,IF(N(_xlpm.eds)&gt;0,P$105/_xlpm.eds,1),_xlpm.ksh,IF(Roster!$C$6="Fighting",0,INDEX(UNITVS(Roster!$C$13,P$104,"Shooting",_xlpm.tp,"",_xlfn.ANCHORARRAY(Roster!$AX$7)),2)),_xlpm.kfi,IF(Roster!$C$6="Shooting",0,INDEX(UNITVS(Roster!$C$13,P$104,"Fighting",_xlpm.tp,"",_xlfn.ANCHORARRAY(Roster!$AX$8)),2)),MIN(1,(_xlpm.ksh+_xlpm.kfi)*_xlpm.sc/MAX(1,$C110))))</f>
        <v/>
      </c>
      <c r="Q110" s="88" t="str" cm="1">
        <f t="array" ref="Q110">IF(OR($B110="",Q$104=""),"",_xlfn.LET(_xlpm.mt,_xlfn.XLOOKUP($B110&amp;" ("&amp;Roster!$C$5&amp;")",_xlfn.CHOOSECOLS(AllTargets,1),AllTargets),_xlpm.tp,_xlfn.HSTACK(_xlfn.CHOOSECOLS(_xlpm.mt,2,3,4,5,6,7),$C110),_xlpm.eds,_xlfn.XLOOKUP(Q$104,Roster!$C$36:$C$50,Roster!$L$36:$L$50,0),_xlpm.sc,IF(N(_xlpm.eds)&gt;0,Q$105/_xlpm.eds,1),_xlpm.ksh,IF(Roster!$C$6="Fighting",0,INDEX(UNITVS(Roster!$C$13,Q$104,"Shooting",_xlpm.tp,"",_xlfn.ANCHORARRAY(Roster!$AX$7)),2)),_xlpm.kfi,IF(Roster!$C$6="Shooting",0,INDEX(UNITVS(Roster!$C$13,Q$104,"Fighting",_xlpm.tp,"",_xlfn.ANCHORARRAY(Roster!$AX$8)),2)),MIN(1,(_xlpm.ksh+_xlpm.kfi)*_xlpm.sc/MAX(1,$C110))))</f>
        <v/>
      </c>
      <c r="R110" s="88" t="str" cm="1">
        <f t="array" ref="R110">IF(OR($B110="",R$104=""),"",_xlfn.LET(_xlpm.mt,_xlfn.XLOOKUP($B110&amp;" ("&amp;Roster!$C$5&amp;")",_xlfn.CHOOSECOLS(AllTargets,1),AllTargets),_xlpm.tp,_xlfn.HSTACK(_xlfn.CHOOSECOLS(_xlpm.mt,2,3,4,5,6,7),$C110),_xlpm.eds,_xlfn.XLOOKUP(R$104,Roster!$C$36:$C$50,Roster!$L$36:$L$50,0),_xlpm.sc,IF(N(_xlpm.eds)&gt;0,R$105/_xlpm.eds,1),_xlpm.ksh,IF(Roster!$C$6="Fighting",0,INDEX(UNITVS(Roster!$C$13,R$104,"Shooting",_xlpm.tp,"",_xlfn.ANCHORARRAY(Roster!$AX$7)),2)),_xlpm.kfi,IF(Roster!$C$6="Shooting",0,INDEX(UNITVS(Roster!$C$13,R$104,"Fighting",_xlpm.tp,"",_xlfn.ANCHORARRAY(Roster!$AX$8)),2)),MIN(1,(_xlpm.ksh+_xlpm.kfi)*_xlpm.sc/MAX(1,$C110))))</f>
        <v/>
      </c>
      <c r="S110" s="88" t="str">
        <f t="shared" si="25"/>
        <v/>
      </c>
    </row>
    <row r="111" spans="1:19" x14ac:dyDescent="0.25">
      <c r="A111" s="82">
        <v>6</v>
      </c>
      <c r="B111" t="str">
        <f t="shared" ref="B111:C111" si="29">B24</f>
        <v>Myphitic Blight Hauler</v>
      </c>
      <c r="C111" s="6">
        <f t="shared" si="29"/>
        <v>1</v>
      </c>
      <c r="D111" s="88" t="str" cm="1">
        <f t="array" ref="D111">IF(OR($B111="",D$104=""),"",_xlfn.LET(_xlpm.mt,_xlfn.XLOOKUP($B111&amp;" ("&amp;Roster!$C$5&amp;")",_xlfn.CHOOSECOLS(AllTargets,1),AllTargets),_xlpm.tp,_xlfn.HSTACK(_xlfn.CHOOSECOLS(_xlpm.mt,2,3,4,5,6,7),$C111),_xlpm.eds,_xlfn.XLOOKUP(D$104,Roster!$C$36:$C$50,Roster!$L$36:$L$50,0),_xlpm.sc,IF(N(_xlpm.eds)&gt;0,D$105/_xlpm.eds,1),_xlpm.ksh,IF(Roster!$C$6="Fighting",0,INDEX(UNITVS(Roster!$C$13,D$104,"Shooting",_xlpm.tp,"",_xlfn.ANCHORARRAY(Roster!$AX$7)),2)),_xlpm.kfi,IF(Roster!$C$6="Shooting",0,INDEX(UNITVS(Roster!$C$13,D$104,"Fighting",_xlpm.tp,"",_xlfn.ANCHORARRAY(Roster!$AX$8)),2)),MIN(1,(_xlpm.ksh+_xlpm.kfi)*_xlpm.sc/MAX(1,$C111))))</f>
        <v/>
      </c>
      <c r="E111" s="88" t="str" cm="1">
        <f t="array" ref="E111">IF(OR($B111="",E$104=""),"",_xlfn.LET(_xlpm.mt,_xlfn.XLOOKUP($B111&amp;" ("&amp;Roster!$C$5&amp;")",_xlfn.CHOOSECOLS(AllTargets,1),AllTargets),_xlpm.tp,_xlfn.HSTACK(_xlfn.CHOOSECOLS(_xlpm.mt,2,3,4,5,6,7),$C111),_xlpm.eds,_xlfn.XLOOKUP(E$104,Roster!$C$36:$C$50,Roster!$L$36:$L$50,0),_xlpm.sc,IF(N(_xlpm.eds)&gt;0,E$105/_xlpm.eds,1),_xlpm.ksh,IF(Roster!$C$6="Fighting",0,INDEX(UNITVS(Roster!$C$13,E$104,"Shooting",_xlpm.tp,"",_xlfn.ANCHORARRAY(Roster!$AX$7)),2)),_xlpm.kfi,IF(Roster!$C$6="Shooting",0,INDEX(UNITVS(Roster!$C$13,E$104,"Fighting",_xlpm.tp,"",_xlfn.ANCHORARRAY(Roster!$AX$8)),2)),MIN(1,(_xlpm.ksh+_xlpm.kfi)*_xlpm.sc/MAX(1,$C111))))</f>
        <v/>
      </c>
      <c r="F111" s="88" t="str" cm="1">
        <f t="array" ref="F111">IF(OR($B111="",F$104=""),"",_xlfn.LET(_xlpm.mt,_xlfn.XLOOKUP($B111&amp;" ("&amp;Roster!$C$5&amp;")",_xlfn.CHOOSECOLS(AllTargets,1),AllTargets),_xlpm.tp,_xlfn.HSTACK(_xlfn.CHOOSECOLS(_xlpm.mt,2,3,4,5,6,7),$C111),_xlpm.eds,_xlfn.XLOOKUP(F$104,Roster!$C$36:$C$50,Roster!$L$36:$L$50,0),_xlpm.sc,IF(N(_xlpm.eds)&gt;0,F$105/_xlpm.eds,1),_xlpm.ksh,IF(Roster!$C$6="Fighting",0,INDEX(UNITVS(Roster!$C$13,F$104,"Shooting",_xlpm.tp,"",_xlfn.ANCHORARRAY(Roster!$AX$7)),2)),_xlpm.kfi,IF(Roster!$C$6="Shooting",0,INDEX(UNITVS(Roster!$C$13,F$104,"Fighting",_xlpm.tp,"",_xlfn.ANCHORARRAY(Roster!$AX$8)),2)),MIN(1,(_xlpm.ksh+_xlpm.kfi)*_xlpm.sc/MAX(1,$C111))))</f>
        <v/>
      </c>
      <c r="G111" s="88" t="str" cm="1">
        <f t="array" ref="G111">IF(OR($B111="",G$104=""),"",_xlfn.LET(_xlpm.mt,_xlfn.XLOOKUP($B111&amp;" ("&amp;Roster!$C$5&amp;")",_xlfn.CHOOSECOLS(AllTargets,1),AllTargets),_xlpm.tp,_xlfn.HSTACK(_xlfn.CHOOSECOLS(_xlpm.mt,2,3,4,5,6,7),$C111),_xlpm.eds,_xlfn.XLOOKUP(G$104,Roster!$C$36:$C$50,Roster!$L$36:$L$50,0),_xlpm.sc,IF(N(_xlpm.eds)&gt;0,G$105/_xlpm.eds,1),_xlpm.ksh,IF(Roster!$C$6="Fighting",0,INDEX(UNITVS(Roster!$C$13,G$104,"Shooting",_xlpm.tp,"",_xlfn.ANCHORARRAY(Roster!$AX$7)),2)),_xlpm.kfi,IF(Roster!$C$6="Shooting",0,INDEX(UNITVS(Roster!$C$13,G$104,"Fighting",_xlpm.tp,"",_xlfn.ANCHORARRAY(Roster!$AX$8)),2)),MIN(1,(_xlpm.ksh+_xlpm.kfi)*_xlpm.sc/MAX(1,$C111))))</f>
        <v/>
      </c>
      <c r="H111" s="88" t="str" cm="1">
        <f t="array" ref="H111">IF(OR($B111="",H$104=""),"",_xlfn.LET(_xlpm.mt,_xlfn.XLOOKUP($B111&amp;" ("&amp;Roster!$C$5&amp;")",_xlfn.CHOOSECOLS(AllTargets,1),AllTargets),_xlpm.tp,_xlfn.HSTACK(_xlfn.CHOOSECOLS(_xlpm.mt,2,3,4,5,6,7),$C111),_xlpm.eds,_xlfn.XLOOKUP(H$104,Roster!$C$36:$C$50,Roster!$L$36:$L$50,0),_xlpm.sc,IF(N(_xlpm.eds)&gt;0,H$105/_xlpm.eds,1),_xlpm.ksh,IF(Roster!$C$6="Fighting",0,INDEX(UNITVS(Roster!$C$13,H$104,"Shooting",_xlpm.tp,"",_xlfn.ANCHORARRAY(Roster!$AX$7)),2)),_xlpm.kfi,IF(Roster!$C$6="Shooting",0,INDEX(UNITVS(Roster!$C$13,H$104,"Fighting",_xlpm.tp,"",_xlfn.ANCHORARRAY(Roster!$AX$8)),2)),MIN(1,(_xlpm.ksh+_xlpm.kfi)*_xlpm.sc/MAX(1,$C111))))</f>
        <v/>
      </c>
      <c r="I111" s="88" t="str" cm="1">
        <f t="array" ref="I111">IF(OR($B111="",I$104=""),"",_xlfn.LET(_xlpm.mt,_xlfn.XLOOKUP($B111&amp;" ("&amp;Roster!$C$5&amp;")",_xlfn.CHOOSECOLS(AllTargets,1),AllTargets),_xlpm.tp,_xlfn.HSTACK(_xlfn.CHOOSECOLS(_xlpm.mt,2,3,4,5,6,7),$C111),_xlpm.eds,_xlfn.XLOOKUP(I$104,Roster!$C$36:$C$50,Roster!$L$36:$L$50,0),_xlpm.sc,IF(N(_xlpm.eds)&gt;0,I$105/_xlpm.eds,1),_xlpm.ksh,IF(Roster!$C$6="Fighting",0,INDEX(UNITVS(Roster!$C$13,I$104,"Shooting",_xlpm.tp,"",_xlfn.ANCHORARRAY(Roster!$AX$7)),2)),_xlpm.kfi,IF(Roster!$C$6="Shooting",0,INDEX(UNITVS(Roster!$C$13,I$104,"Fighting",_xlpm.tp,"",_xlfn.ANCHORARRAY(Roster!$AX$8)),2)),MIN(1,(_xlpm.ksh+_xlpm.kfi)*_xlpm.sc/MAX(1,$C111))))</f>
        <v/>
      </c>
      <c r="J111" s="88" t="str" cm="1">
        <f t="array" ref="J111">IF(OR($B111="",J$104=""),"",_xlfn.LET(_xlpm.mt,_xlfn.XLOOKUP($B111&amp;" ("&amp;Roster!$C$5&amp;")",_xlfn.CHOOSECOLS(AllTargets,1),AllTargets),_xlpm.tp,_xlfn.HSTACK(_xlfn.CHOOSECOLS(_xlpm.mt,2,3,4,5,6,7),$C111),_xlpm.eds,_xlfn.XLOOKUP(J$104,Roster!$C$36:$C$50,Roster!$L$36:$L$50,0),_xlpm.sc,IF(N(_xlpm.eds)&gt;0,J$105/_xlpm.eds,1),_xlpm.ksh,IF(Roster!$C$6="Fighting",0,INDEX(UNITVS(Roster!$C$13,J$104,"Shooting",_xlpm.tp,"",_xlfn.ANCHORARRAY(Roster!$AX$7)),2)),_xlpm.kfi,IF(Roster!$C$6="Shooting",0,INDEX(UNITVS(Roster!$C$13,J$104,"Fighting",_xlpm.tp,"",_xlfn.ANCHORARRAY(Roster!$AX$8)),2)),MIN(1,(_xlpm.ksh+_xlpm.kfi)*_xlpm.sc/MAX(1,$C111))))</f>
        <v/>
      </c>
      <c r="K111" s="88" t="str" cm="1">
        <f t="array" ref="K111">IF(OR($B111="",K$104=""),"",_xlfn.LET(_xlpm.mt,_xlfn.XLOOKUP($B111&amp;" ("&amp;Roster!$C$5&amp;")",_xlfn.CHOOSECOLS(AllTargets,1),AllTargets),_xlpm.tp,_xlfn.HSTACK(_xlfn.CHOOSECOLS(_xlpm.mt,2,3,4,5,6,7),$C111),_xlpm.eds,_xlfn.XLOOKUP(K$104,Roster!$C$36:$C$50,Roster!$L$36:$L$50,0),_xlpm.sc,IF(N(_xlpm.eds)&gt;0,K$105/_xlpm.eds,1),_xlpm.ksh,IF(Roster!$C$6="Fighting",0,INDEX(UNITVS(Roster!$C$13,K$104,"Shooting",_xlpm.tp,"",_xlfn.ANCHORARRAY(Roster!$AX$7)),2)),_xlpm.kfi,IF(Roster!$C$6="Shooting",0,INDEX(UNITVS(Roster!$C$13,K$104,"Fighting",_xlpm.tp,"",_xlfn.ANCHORARRAY(Roster!$AX$8)),2)),MIN(1,(_xlpm.ksh+_xlpm.kfi)*_xlpm.sc/MAX(1,$C111))))</f>
        <v/>
      </c>
      <c r="L111" s="88" t="str" cm="1">
        <f t="array" ref="L111">IF(OR($B111="",L$104=""),"",_xlfn.LET(_xlpm.mt,_xlfn.XLOOKUP($B111&amp;" ("&amp;Roster!$C$5&amp;")",_xlfn.CHOOSECOLS(AllTargets,1),AllTargets),_xlpm.tp,_xlfn.HSTACK(_xlfn.CHOOSECOLS(_xlpm.mt,2,3,4,5,6,7),$C111),_xlpm.eds,_xlfn.XLOOKUP(L$104,Roster!$C$36:$C$50,Roster!$L$36:$L$50,0),_xlpm.sc,IF(N(_xlpm.eds)&gt;0,L$105/_xlpm.eds,1),_xlpm.ksh,IF(Roster!$C$6="Fighting",0,INDEX(UNITVS(Roster!$C$13,L$104,"Shooting",_xlpm.tp,"",_xlfn.ANCHORARRAY(Roster!$AX$7)),2)),_xlpm.kfi,IF(Roster!$C$6="Shooting",0,INDEX(UNITVS(Roster!$C$13,L$104,"Fighting",_xlpm.tp,"",_xlfn.ANCHORARRAY(Roster!$AX$8)),2)),MIN(1,(_xlpm.ksh+_xlpm.kfi)*_xlpm.sc/MAX(1,$C111))))</f>
        <v/>
      </c>
      <c r="M111" s="88" t="str" cm="1">
        <f t="array" ref="M111">IF(OR($B111="",M$104=""),"",_xlfn.LET(_xlpm.mt,_xlfn.XLOOKUP($B111&amp;" ("&amp;Roster!$C$5&amp;")",_xlfn.CHOOSECOLS(AllTargets,1),AllTargets),_xlpm.tp,_xlfn.HSTACK(_xlfn.CHOOSECOLS(_xlpm.mt,2,3,4,5,6,7),$C111),_xlpm.eds,_xlfn.XLOOKUP(M$104,Roster!$C$36:$C$50,Roster!$L$36:$L$50,0),_xlpm.sc,IF(N(_xlpm.eds)&gt;0,M$105/_xlpm.eds,1),_xlpm.ksh,IF(Roster!$C$6="Fighting",0,INDEX(UNITVS(Roster!$C$13,M$104,"Shooting",_xlpm.tp,"",_xlfn.ANCHORARRAY(Roster!$AX$7)),2)),_xlpm.kfi,IF(Roster!$C$6="Shooting",0,INDEX(UNITVS(Roster!$C$13,M$104,"Fighting",_xlpm.tp,"",_xlfn.ANCHORARRAY(Roster!$AX$8)),2)),MIN(1,(_xlpm.ksh+_xlpm.kfi)*_xlpm.sc/MAX(1,$C111))))</f>
        <v/>
      </c>
      <c r="N111" s="88" t="str" cm="1">
        <f t="array" ref="N111">IF(OR($B111="",N$104=""),"",_xlfn.LET(_xlpm.mt,_xlfn.XLOOKUP($B111&amp;" ("&amp;Roster!$C$5&amp;")",_xlfn.CHOOSECOLS(AllTargets,1),AllTargets),_xlpm.tp,_xlfn.HSTACK(_xlfn.CHOOSECOLS(_xlpm.mt,2,3,4,5,6,7),$C111),_xlpm.eds,_xlfn.XLOOKUP(N$104,Roster!$C$36:$C$50,Roster!$L$36:$L$50,0),_xlpm.sc,IF(N(_xlpm.eds)&gt;0,N$105/_xlpm.eds,1),_xlpm.ksh,IF(Roster!$C$6="Fighting",0,INDEX(UNITVS(Roster!$C$13,N$104,"Shooting",_xlpm.tp,"",_xlfn.ANCHORARRAY(Roster!$AX$7)),2)),_xlpm.kfi,IF(Roster!$C$6="Shooting",0,INDEX(UNITVS(Roster!$C$13,N$104,"Fighting",_xlpm.tp,"",_xlfn.ANCHORARRAY(Roster!$AX$8)),2)),MIN(1,(_xlpm.ksh+_xlpm.kfi)*_xlpm.sc/MAX(1,$C111))))</f>
        <v/>
      </c>
      <c r="O111" s="88" t="str" cm="1">
        <f t="array" ref="O111">IF(OR($B111="",O$104=""),"",_xlfn.LET(_xlpm.mt,_xlfn.XLOOKUP($B111&amp;" ("&amp;Roster!$C$5&amp;")",_xlfn.CHOOSECOLS(AllTargets,1),AllTargets),_xlpm.tp,_xlfn.HSTACK(_xlfn.CHOOSECOLS(_xlpm.mt,2,3,4,5,6,7),$C111),_xlpm.eds,_xlfn.XLOOKUP(O$104,Roster!$C$36:$C$50,Roster!$L$36:$L$50,0),_xlpm.sc,IF(N(_xlpm.eds)&gt;0,O$105/_xlpm.eds,1),_xlpm.ksh,IF(Roster!$C$6="Fighting",0,INDEX(UNITVS(Roster!$C$13,O$104,"Shooting",_xlpm.tp,"",_xlfn.ANCHORARRAY(Roster!$AX$7)),2)),_xlpm.kfi,IF(Roster!$C$6="Shooting",0,INDEX(UNITVS(Roster!$C$13,O$104,"Fighting",_xlpm.tp,"",_xlfn.ANCHORARRAY(Roster!$AX$8)),2)),MIN(1,(_xlpm.ksh+_xlpm.kfi)*_xlpm.sc/MAX(1,$C111))))</f>
        <v/>
      </c>
      <c r="P111" s="88" t="str" cm="1">
        <f t="array" ref="P111">IF(OR($B111="",P$104=""),"",_xlfn.LET(_xlpm.mt,_xlfn.XLOOKUP($B111&amp;" ("&amp;Roster!$C$5&amp;")",_xlfn.CHOOSECOLS(AllTargets,1),AllTargets),_xlpm.tp,_xlfn.HSTACK(_xlfn.CHOOSECOLS(_xlpm.mt,2,3,4,5,6,7),$C111),_xlpm.eds,_xlfn.XLOOKUP(P$104,Roster!$C$36:$C$50,Roster!$L$36:$L$50,0),_xlpm.sc,IF(N(_xlpm.eds)&gt;0,P$105/_xlpm.eds,1),_xlpm.ksh,IF(Roster!$C$6="Fighting",0,INDEX(UNITVS(Roster!$C$13,P$104,"Shooting",_xlpm.tp,"",_xlfn.ANCHORARRAY(Roster!$AX$7)),2)),_xlpm.kfi,IF(Roster!$C$6="Shooting",0,INDEX(UNITVS(Roster!$C$13,P$104,"Fighting",_xlpm.tp,"",_xlfn.ANCHORARRAY(Roster!$AX$8)),2)),MIN(1,(_xlpm.ksh+_xlpm.kfi)*_xlpm.sc/MAX(1,$C111))))</f>
        <v/>
      </c>
      <c r="Q111" s="88" t="str" cm="1">
        <f t="array" ref="Q111">IF(OR($B111="",Q$104=""),"",_xlfn.LET(_xlpm.mt,_xlfn.XLOOKUP($B111&amp;" ("&amp;Roster!$C$5&amp;")",_xlfn.CHOOSECOLS(AllTargets,1),AllTargets),_xlpm.tp,_xlfn.HSTACK(_xlfn.CHOOSECOLS(_xlpm.mt,2,3,4,5,6,7),$C111),_xlpm.eds,_xlfn.XLOOKUP(Q$104,Roster!$C$36:$C$50,Roster!$L$36:$L$50,0),_xlpm.sc,IF(N(_xlpm.eds)&gt;0,Q$105/_xlpm.eds,1),_xlpm.ksh,IF(Roster!$C$6="Fighting",0,INDEX(UNITVS(Roster!$C$13,Q$104,"Shooting",_xlpm.tp,"",_xlfn.ANCHORARRAY(Roster!$AX$7)),2)),_xlpm.kfi,IF(Roster!$C$6="Shooting",0,INDEX(UNITVS(Roster!$C$13,Q$104,"Fighting",_xlpm.tp,"",_xlfn.ANCHORARRAY(Roster!$AX$8)),2)),MIN(1,(_xlpm.ksh+_xlpm.kfi)*_xlpm.sc/MAX(1,$C111))))</f>
        <v/>
      </c>
      <c r="R111" s="88" t="str" cm="1">
        <f t="array" ref="R111">IF(OR($B111="",R$104=""),"",_xlfn.LET(_xlpm.mt,_xlfn.XLOOKUP($B111&amp;" ("&amp;Roster!$C$5&amp;")",_xlfn.CHOOSECOLS(AllTargets,1),AllTargets),_xlpm.tp,_xlfn.HSTACK(_xlfn.CHOOSECOLS(_xlpm.mt,2,3,4,5,6,7),$C111),_xlpm.eds,_xlfn.XLOOKUP(R$104,Roster!$C$36:$C$50,Roster!$L$36:$L$50,0),_xlpm.sc,IF(N(_xlpm.eds)&gt;0,R$105/_xlpm.eds,1),_xlpm.ksh,IF(Roster!$C$6="Fighting",0,INDEX(UNITVS(Roster!$C$13,R$104,"Shooting",_xlpm.tp,"",_xlfn.ANCHORARRAY(Roster!$AX$7)),2)),_xlpm.kfi,IF(Roster!$C$6="Shooting",0,INDEX(UNITVS(Roster!$C$13,R$104,"Fighting",_xlpm.tp,"",_xlfn.ANCHORARRAY(Roster!$AX$8)),2)),MIN(1,(_xlpm.ksh+_xlpm.kfi)*_xlpm.sc/MAX(1,$C111))))</f>
        <v/>
      </c>
      <c r="S111" s="88" t="str">
        <f t="shared" si="25"/>
        <v/>
      </c>
    </row>
    <row r="112" spans="1:19" x14ac:dyDescent="0.25">
      <c r="A112" s="82">
        <v>7</v>
      </c>
      <c r="B112" t="str">
        <f t="shared" ref="B112:C112" si="30">B25</f>
        <v>Tallyman</v>
      </c>
      <c r="C112" s="6">
        <f t="shared" si="30"/>
        <v>1</v>
      </c>
      <c r="D112" s="88" t="str" cm="1">
        <f t="array" ref="D112">IF(OR($B112="",D$104=""),"",_xlfn.LET(_xlpm.mt,_xlfn.XLOOKUP($B112&amp;" ("&amp;Roster!$C$5&amp;")",_xlfn.CHOOSECOLS(AllTargets,1),AllTargets),_xlpm.tp,_xlfn.HSTACK(_xlfn.CHOOSECOLS(_xlpm.mt,2,3,4,5,6,7),$C112),_xlpm.eds,_xlfn.XLOOKUP(D$104,Roster!$C$36:$C$50,Roster!$L$36:$L$50,0),_xlpm.sc,IF(N(_xlpm.eds)&gt;0,D$105/_xlpm.eds,1),_xlpm.ksh,IF(Roster!$C$6="Fighting",0,INDEX(UNITVS(Roster!$C$13,D$104,"Shooting",_xlpm.tp,"",_xlfn.ANCHORARRAY(Roster!$AX$7)),2)),_xlpm.kfi,IF(Roster!$C$6="Shooting",0,INDEX(UNITVS(Roster!$C$13,D$104,"Fighting",_xlpm.tp,"",_xlfn.ANCHORARRAY(Roster!$AX$8)),2)),MIN(1,(_xlpm.ksh+_xlpm.kfi)*_xlpm.sc/MAX(1,$C112))))</f>
        <v/>
      </c>
      <c r="E112" s="88" t="str" cm="1">
        <f t="array" ref="E112">IF(OR($B112="",E$104=""),"",_xlfn.LET(_xlpm.mt,_xlfn.XLOOKUP($B112&amp;" ("&amp;Roster!$C$5&amp;")",_xlfn.CHOOSECOLS(AllTargets,1),AllTargets),_xlpm.tp,_xlfn.HSTACK(_xlfn.CHOOSECOLS(_xlpm.mt,2,3,4,5,6,7),$C112),_xlpm.eds,_xlfn.XLOOKUP(E$104,Roster!$C$36:$C$50,Roster!$L$36:$L$50,0),_xlpm.sc,IF(N(_xlpm.eds)&gt;0,E$105/_xlpm.eds,1),_xlpm.ksh,IF(Roster!$C$6="Fighting",0,INDEX(UNITVS(Roster!$C$13,E$104,"Shooting",_xlpm.tp,"",_xlfn.ANCHORARRAY(Roster!$AX$7)),2)),_xlpm.kfi,IF(Roster!$C$6="Shooting",0,INDEX(UNITVS(Roster!$C$13,E$104,"Fighting",_xlpm.tp,"",_xlfn.ANCHORARRAY(Roster!$AX$8)),2)),MIN(1,(_xlpm.ksh+_xlpm.kfi)*_xlpm.sc/MAX(1,$C112))))</f>
        <v/>
      </c>
      <c r="F112" s="88" t="str" cm="1">
        <f t="array" ref="F112">IF(OR($B112="",F$104=""),"",_xlfn.LET(_xlpm.mt,_xlfn.XLOOKUP($B112&amp;" ("&amp;Roster!$C$5&amp;")",_xlfn.CHOOSECOLS(AllTargets,1),AllTargets),_xlpm.tp,_xlfn.HSTACK(_xlfn.CHOOSECOLS(_xlpm.mt,2,3,4,5,6,7),$C112),_xlpm.eds,_xlfn.XLOOKUP(F$104,Roster!$C$36:$C$50,Roster!$L$36:$L$50,0),_xlpm.sc,IF(N(_xlpm.eds)&gt;0,F$105/_xlpm.eds,1),_xlpm.ksh,IF(Roster!$C$6="Fighting",0,INDEX(UNITVS(Roster!$C$13,F$104,"Shooting",_xlpm.tp,"",_xlfn.ANCHORARRAY(Roster!$AX$7)),2)),_xlpm.kfi,IF(Roster!$C$6="Shooting",0,INDEX(UNITVS(Roster!$C$13,F$104,"Fighting",_xlpm.tp,"",_xlfn.ANCHORARRAY(Roster!$AX$8)),2)),MIN(1,(_xlpm.ksh+_xlpm.kfi)*_xlpm.sc/MAX(1,$C112))))</f>
        <v/>
      </c>
      <c r="G112" s="88" t="str" cm="1">
        <f t="array" ref="G112">IF(OR($B112="",G$104=""),"",_xlfn.LET(_xlpm.mt,_xlfn.XLOOKUP($B112&amp;" ("&amp;Roster!$C$5&amp;")",_xlfn.CHOOSECOLS(AllTargets,1),AllTargets),_xlpm.tp,_xlfn.HSTACK(_xlfn.CHOOSECOLS(_xlpm.mt,2,3,4,5,6,7),$C112),_xlpm.eds,_xlfn.XLOOKUP(G$104,Roster!$C$36:$C$50,Roster!$L$36:$L$50,0),_xlpm.sc,IF(N(_xlpm.eds)&gt;0,G$105/_xlpm.eds,1),_xlpm.ksh,IF(Roster!$C$6="Fighting",0,INDEX(UNITVS(Roster!$C$13,G$104,"Shooting",_xlpm.tp,"",_xlfn.ANCHORARRAY(Roster!$AX$7)),2)),_xlpm.kfi,IF(Roster!$C$6="Shooting",0,INDEX(UNITVS(Roster!$C$13,G$104,"Fighting",_xlpm.tp,"",_xlfn.ANCHORARRAY(Roster!$AX$8)),2)),MIN(1,(_xlpm.ksh+_xlpm.kfi)*_xlpm.sc/MAX(1,$C112))))</f>
        <v/>
      </c>
      <c r="H112" s="88" t="str" cm="1">
        <f t="array" ref="H112">IF(OR($B112="",H$104=""),"",_xlfn.LET(_xlpm.mt,_xlfn.XLOOKUP($B112&amp;" ("&amp;Roster!$C$5&amp;")",_xlfn.CHOOSECOLS(AllTargets,1),AllTargets),_xlpm.tp,_xlfn.HSTACK(_xlfn.CHOOSECOLS(_xlpm.mt,2,3,4,5,6,7),$C112),_xlpm.eds,_xlfn.XLOOKUP(H$104,Roster!$C$36:$C$50,Roster!$L$36:$L$50,0),_xlpm.sc,IF(N(_xlpm.eds)&gt;0,H$105/_xlpm.eds,1),_xlpm.ksh,IF(Roster!$C$6="Fighting",0,INDEX(UNITVS(Roster!$C$13,H$104,"Shooting",_xlpm.tp,"",_xlfn.ANCHORARRAY(Roster!$AX$7)),2)),_xlpm.kfi,IF(Roster!$C$6="Shooting",0,INDEX(UNITVS(Roster!$C$13,H$104,"Fighting",_xlpm.tp,"",_xlfn.ANCHORARRAY(Roster!$AX$8)),2)),MIN(1,(_xlpm.ksh+_xlpm.kfi)*_xlpm.sc/MAX(1,$C112))))</f>
        <v/>
      </c>
      <c r="I112" s="88" t="str" cm="1">
        <f t="array" ref="I112">IF(OR($B112="",I$104=""),"",_xlfn.LET(_xlpm.mt,_xlfn.XLOOKUP($B112&amp;" ("&amp;Roster!$C$5&amp;")",_xlfn.CHOOSECOLS(AllTargets,1),AllTargets),_xlpm.tp,_xlfn.HSTACK(_xlfn.CHOOSECOLS(_xlpm.mt,2,3,4,5,6,7),$C112),_xlpm.eds,_xlfn.XLOOKUP(I$104,Roster!$C$36:$C$50,Roster!$L$36:$L$50,0),_xlpm.sc,IF(N(_xlpm.eds)&gt;0,I$105/_xlpm.eds,1),_xlpm.ksh,IF(Roster!$C$6="Fighting",0,INDEX(UNITVS(Roster!$C$13,I$104,"Shooting",_xlpm.tp,"",_xlfn.ANCHORARRAY(Roster!$AX$7)),2)),_xlpm.kfi,IF(Roster!$C$6="Shooting",0,INDEX(UNITVS(Roster!$C$13,I$104,"Fighting",_xlpm.tp,"",_xlfn.ANCHORARRAY(Roster!$AX$8)),2)),MIN(1,(_xlpm.ksh+_xlpm.kfi)*_xlpm.sc/MAX(1,$C112))))</f>
        <v/>
      </c>
      <c r="J112" s="88" t="str" cm="1">
        <f t="array" ref="J112">IF(OR($B112="",J$104=""),"",_xlfn.LET(_xlpm.mt,_xlfn.XLOOKUP($B112&amp;" ("&amp;Roster!$C$5&amp;")",_xlfn.CHOOSECOLS(AllTargets,1),AllTargets),_xlpm.tp,_xlfn.HSTACK(_xlfn.CHOOSECOLS(_xlpm.mt,2,3,4,5,6,7),$C112),_xlpm.eds,_xlfn.XLOOKUP(J$104,Roster!$C$36:$C$50,Roster!$L$36:$L$50,0),_xlpm.sc,IF(N(_xlpm.eds)&gt;0,J$105/_xlpm.eds,1),_xlpm.ksh,IF(Roster!$C$6="Fighting",0,INDEX(UNITVS(Roster!$C$13,J$104,"Shooting",_xlpm.tp,"",_xlfn.ANCHORARRAY(Roster!$AX$7)),2)),_xlpm.kfi,IF(Roster!$C$6="Shooting",0,INDEX(UNITVS(Roster!$C$13,J$104,"Fighting",_xlpm.tp,"",_xlfn.ANCHORARRAY(Roster!$AX$8)),2)),MIN(1,(_xlpm.ksh+_xlpm.kfi)*_xlpm.sc/MAX(1,$C112))))</f>
        <v/>
      </c>
      <c r="K112" s="88" t="str" cm="1">
        <f t="array" ref="K112">IF(OR($B112="",K$104=""),"",_xlfn.LET(_xlpm.mt,_xlfn.XLOOKUP($B112&amp;" ("&amp;Roster!$C$5&amp;")",_xlfn.CHOOSECOLS(AllTargets,1),AllTargets),_xlpm.tp,_xlfn.HSTACK(_xlfn.CHOOSECOLS(_xlpm.mt,2,3,4,5,6,7),$C112),_xlpm.eds,_xlfn.XLOOKUP(K$104,Roster!$C$36:$C$50,Roster!$L$36:$L$50,0),_xlpm.sc,IF(N(_xlpm.eds)&gt;0,K$105/_xlpm.eds,1),_xlpm.ksh,IF(Roster!$C$6="Fighting",0,INDEX(UNITVS(Roster!$C$13,K$104,"Shooting",_xlpm.tp,"",_xlfn.ANCHORARRAY(Roster!$AX$7)),2)),_xlpm.kfi,IF(Roster!$C$6="Shooting",0,INDEX(UNITVS(Roster!$C$13,K$104,"Fighting",_xlpm.tp,"",_xlfn.ANCHORARRAY(Roster!$AX$8)),2)),MIN(1,(_xlpm.ksh+_xlpm.kfi)*_xlpm.sc/MAX(1,$C112))))</f>
        <v/>
      </c>
      <c r="L112" s="88" t="str" cm="1">
        <f t="array" ref="L112">IF(OR($B112="",L$104=""),"",_xlfn.LET(_xlpm.mt,_xlfn.XLOOKUP($B112&amp;" ("&amp;Roster!$C$5&amp;")",_xlfn.CHOOSECOLS(AllTargets,1),AllTargets),_xlpm.tp,_xlfn.HSTACK(_xlfn.CHOOSECOLS(_xlpm.mt,2,3,4,5,6,7),$C112),_xlpm.eds,_xlfn.XLOOKUP(L$104,Roster!$C$36:$C$50,Roster!$L$36:$L$50,0),_xlpm.sc,IF(N(_xlpm.eds)&gt;0,L$105/_xlpm.eds,1),_xlpm.ksh,IF(Roster!$C$6="Fighting",0,INDEX(UNITVS(Roster!$C$13,L$104,"Shooting",_xlpm.tp,"",_xlfn.ANCHORARRAY(Roster!$AX$7)),2)),_xlpm.kfi,IF(Roster!$C$6="Shooting",0,INDEX(UNITVS(Roster!$C$13,L$104,"Fighting",_xlpm.tp,"",_xlfn.ANCHORARRAY(Roster!$AX$8)),2)),MIN(1,(_xlpm.ksh+_xlpm.kfi)*_xlpm.sc/MAX(1,$C112))))</f>
        <v/>
      </c>
      <c r="M112" s="88" t="str" cm="1">
        <f t="array" ref="M112">IF(OR($B112="",M$104=""),"",_xlfn.LET(_xlpm.mt,_xlfn.XLOOKUP($B112&amp;" ("&amp;Roster!$C$5&amp;")",_xlfn.CHOOSECOLS(AllTargets,1),AllTargets),_xlpm.tp,_xlfn.HSTACK(_xlfn.CHOOSECOLS(_xlpm.mt,2,3,4,5,6,7),$C112),_xlpm.eds,_xlfn.XLOOKUP(M$104,Roster!$C$36:$C$50,Roster!$L$36:$L$50,0),_xlpm.sc,IF(N(_xlpm.eds)&gt;0,M$105/_xlpm.eds,1),_xlpm.ksh,IF(Roster!$C$6="Fighting",0,INDEX(UNITVS(Roster!$C$13,M$104,"Shooting",_xlpm.tp,"",_xlfn.ANCHORARRAY(Roster!$AX$7)),2)),_xlpm.kfi,IF(Roster!$C$6="Shooting",0,INDEX(UNITVS(Roster!$C$13,M$104,"Fighting",_xlpm.tp,"",_xlfn.ANCHORARRAY(Roster!$AX$8)),2)),MIN(1,(_xlpm.ksh+_xlpm.kfi)*_xlpm.sc/MAX(1,$C112))))</f>
        <v/>
      </c>
      <c r="N112" s="88" t="str" cm="1">
        <f t="array" ref="N112">IF(OR($B112="",N$104=""),"",_xlfn.LET(_xlpm.mt,_xlfn.XLOOKUP($B112&amp;" ("&amp;Roster!$C$5&amp;")",_xlfn.CHOOSECOLS(AllTargets,1),AllTargets),_xlpm.tp,_xlfn.HSTACK(_xlfn.CHOOSECOLS(_xlpm.mt,2,3,4,5,6,7),$C112),_xlpm.eds,_xlfn.XLOOKUP(N$104,Roster!$C$36:$C$50,Roster!$L$36:$L$50,0),_xlpm.sc,IF(N(_xlpm.eds)&gt;0,N$105/_xlpm.eds,1),_xlpm.ksh,IF(Roster!$C$6="Fighting",0,INDEX(UNITVS(Roster!$C$13,N$104,"Shooting",_xlpm.tp,"",_xlfn.ANCHORARRAY(Roster!$AX$7)),2)),_xlpm.kfi,IF(Roster!$C$6="Shooting",0,INDEX(UNITVS(Roster!$C$13,N$104,"Fighting",_xlpm.tp,"",_xlfn.ANCHORARRAY(Roster!$AX$8)),2)),MIN(1,(_xlpm.ksh+_xlpm.kfi)*_xlpm.sc/MAX(1,$C112))))</f>
        <v/>
      </c>
      <c r="O112" s="88" t="str" cm="1">
        <f t="array" ref="O112">IF(OR($B112="",O$104=""),"",_xlfn.LET(_xlpm.mt,_xlfn.XLOOKUP($B112&amp;" ("&amp;Roster!$C$5&amp;")",_xlfn.CHOOSECOLS(AllTargets,1),AllTargets),_xlpm.tp,_xlfn.HSTACK(_xlfn.CHOOSECOLS(_xlpm.mt,2,3,4,5,6,7),$C112),_xlpm.eds,_xlfn.XLOOKUP(O$104,Roster!$C$36:$C$50,Roster!$L$36:$L$50,0),_xlpm.sc,IF(N(_xlpm.eds)&gt;0,O$105/_xlpm.eds,1),_xlpm.ksh,IF(Roster!$C$6="Fighting",0,INDEX(UNITVS(Roster!$C$13,O$104,"Shooting",_xlpm.tp,"",_xlfn.ANCHORARRAY(Roster!$AX$7)),2)),_xlpm.kfi,IF(Roster!$C$6="Shooting",0,INDEX(UNITVS(Roster!$C$13,O$104,"Fighting",_xlpm.tp,"",_xlfn.ANCHORARRAY(Roster!$AX$8)),2)),MIN(1,(_xlpm.ksh+_xlpm.kfi)*_xlpm.sc/MAX(1,$C112))))</f>
        <v/>
      </c>
      <c r="P112" s="88" t="str" cm="1">
        <f t="array" ref="P112">IF(OR($B112="",P$104=""),"",_xlfn.LET(_xlpm.mt,_xlfn.XLOOKUP($B112&amp;" ("&amp;Roster!$C$5&amp;")",_xlfn.CHOOSECOLS(AllTargets,1),AllTargets),_xlpm.tp,_xlfn.HSTACK(_xlfn.CHOOSECOLS(_xlpm.mt,2,3,4,5,6,7),$C112),_xlpm.eds,_xlfn.XLOOKUP(P$104,Roster!$C$36:$C$50,Roster!$L$36:$L$50,0),_xlpm.sc,IF(N(_xlpm.eds)&gt;0,P$105/_xlpm.eds,1),_xlpm.ksh,IF(Roster!$C$6="Fighting",0,INDEX(UNITVS(Roster!$C$13,P$104,"Shooting",_xlpm.tp,"",_xlfn.ANCHORARRAY(Roster!$AX$7)),2)),_xlpm.kfi,IF(Roster!$C$6="Shooting",0,INDEX(UNITVS(Roster!$C$13,P$104,"Fighting",_xlpm.tp,"",_xlfn.ANCHORARRAY(Roster!$AX$8)),2)),MIN(1,(_xlpm.ksh+_xlpm.kfi)*_xlpm.sc/MAX(1,$C112))))</f>
        <v/>
      </c>
      <c r="Q112" s="88" t="str" cm="1">
        <f t="array" ref="Q112">IF(OR($B112="",Q$104=""),"",_xlfn.LET(_xlpm.mt,_xlfn.XLOOKUP($B112&amp;" ("&amp;Roster!$C$5&amp;")",_xlfn.CHOOSECOLS(AllTargets,1),AllTargets),_xlpm.tp,_xlfn.HSTACK(_xlfn.CHOOSECOLS(_xlpm.mt,2,3,4,5,6,7),$C112),_xlpm.eds,_xlfn.XLOOKUP(Q$104,Roster!$C$36:$C$50,Roster!$L$36:$L$50,0),_xlpm.sc,IF(N(_xlpm.eds)&gt;0,Q$105/_xlpm.eds,1),_xlpm.ksh,IF(Roster!$C$6="Fighting",0,INDEX(UNITVS(Roster!$C$13,Q$104,"Shooting",_xlpm.tp,"",_xlfn.ANCHORARRAY(Roster!$AX$7)),2)),_xlpm.kfi,IF(Roster!$C$6="Shooting",0,INDEX(UNITVS(Roster!$C$13,Q$104,"Fighting",_xlpm.tp,"",_xlfn.ANCHORARRAY(Roster!$AX$8)),2)),MIN(1,(_xlpm.ksh+_xlpm.kfi)*_xlpm.sc/MAX(1,$C112))))</f>
        <v/>
      </c>
      <c r="R112" s="88" t="str" cm="1">
        <f t="array" ref="R112">IF(OR($B112="",R$104=""),"",_xlfn.LET(_xlpm.mt,_xlfn.XLOOKUP($B112&amp;" ("&amp;Roster!$C$5&amp;")",_xlfn.CHOOSECOLS(AllTargets,1),AllTargets),_xlpm.tp,_xlfn.HSTACK(_xlfn.CHOOSECOLS(_xlpm.mt,2,3,4,5,6,7),$C112),_xlpm.eds,_xlfn.XLOOKUP(R$104,Roster!$C$36:$C$50,Roster!$L$36:$L$50,0),_xlpm.sc,IF(N(_xlpm.eds)&gt;0,R$105/_xlpm.eds,1),_xlpm.ksh,IF(Roster!$C$6="Fighting",0,INDEX(UNITVS(Roster!$C$13,R$104,"Shooting",_xlpm.tp,"",_xlfn.ANCHORARRAY(Roster!$AX$7)),2)),_xlpm.kfi,IF(Roster!$C$6="Shooting",0,INDEX(UNITVS(Roster!$C$13,R$104,"Fighting",_xlpm.tp,"",_xlfn.ANCHORARRAY(Roster!$AX$8)),2)),MIN(1,(_xlpm.ksh+_xlpm.kfi)*_xlpm.sc/MAX(1,$C112))))</f>
        <v/>
      </c>
      <c r="S112" s="88" t="str">
        <f t="shared" si="25"/>
        <v/>
      </c>
    </row>
    <row r="113" spans="1:19" x14ac:dyDescent="0.25">
      <c r="A113" s="82">
        <v>8</v>
      </c>
      <c r="B113" t="str">
        <f t="shared" ref="B113:C113" si="31">B26</f>
        <v>Lord of Poxes</v>
      </c>
      <c r="C113" s="6">
        <f t="shared" si="31"/>
        <v>1</v>
      </c>
      <c r="D113" s="88" t="str" cm="1">
        <f t="array" ref="D113">IF(OR($B113="",D$104=""),"",_xlfn.LET(_xlpm.mt,_xlfn.XLOOKUP($B113&amp;" ("&amp;Roster!$C$5&amp;")",_xlfn.CHOOSECOLS(AllTargets,1),AllTargets),_xlpm.tp,_xlfn.HSTACK(_xlfn.CHOOSECOLS(_xlpm.mt,2,3,4,5,6,7),$C113),_xlpm.eds,_xlfn.XLOOKUP(D$104,Roster!$C$36:$C$50,Roster!$L$36:$L$50,0),_xlpm.sc,IF(N(_xlpm.eds)&gt;0,D$105/_xlpm.eds,1),_xlpm.ksh,IF(Roster!$C$6="Fighting",0,INDEX(UNITVS(Roster!$C$13,D$104,"Shooting",_xlpm.tp,"",_xlfn.ANCHORARRAY(Roster!$AX$7)),2)),_xlpm.kfi,IF(Roster!$C$6="Shooting",0,INDEX(UNITVS(Roster!$C$13,D$104,"Fighting",_xlpm.tp,"",_xlfn.ANCHORARRAY(Roster!$AX$8)),2)),MIN(1,(_xlpm.ksh+_xlpm.kfi)*_xlpm.sc/MAX(1,$C113))))</f>
        <v/>
      </c>
      <c r="E113" s="88" t="str" cm="1">
        <f t="array" ref="E113">IF(OR($B113="",E$104=""),"",_xlfn.LET(_xlpm.mt,_xlfn.XLOOKUP($B113&amp;" ("&amp;Roster!$C$5&amp;")",_xlfn.CHOOSECOLS(AllTargets,1),AllTargets),_xlpm.tp,_xlfn.HSTACK(_xlfn.CHOOSECOLS(_xlpm.mt,2,3,4,5,6,7),$C113),_xlpm.eds,_xlfn.XLOOKUP(E$104,Roster!$C$36:$C$50,Roster!$L$36:$L$50,0),_xlpm.sc,IF(N(_xlpm.eds)&gt;0,E$105/_xlpm.eds,1),_xlpm.ksh,IF(Roster!$C$6="Fighting",0,INDEX(UNITVS(Roster!$C$13,E$104,"Shooting",_xlpm.tp,"",_xlfn.ANCHORARRAY(Roster!$AX$7)),2)),_xlpm.kfi,IF(Roster!$C$6="Shooting",0,INDEX(UNITVS(Roster!$C$13,E$104,"Fighting",_xlpm.tp,"",_xlfn.ANCHORARRAY(Roster!$AX$8)),2)),MIN(1,(_xlpm.ksh+_xlpm.kfi)*_xlpm.sc/MAX(1,$C113))))</f>
        <v/>
      </c>
      <c r="F113" s="88" t="str" cm="1">
        <f t="array" ref="F113">IF(OR($B113="",F$104=""),"",_xlfn.LET(_xlpm.mt,_xlfn.XLOOKUP($B113&amp;" ("&amp;Roster!$C$5&amp;")",_xlfn.CHOOSECOLS(AllTargets,1),AllTargets),_xlpm.tp,_xlfn.HSTACK(_xlfn.CHOOSECOLS(_xlpm.mt,2,3,4,5,6,7),$C113),_xlpm.eds,_xlfn.XLOOKUP(F$104,Roster!$C$36:$C$50,Roster!$L$36:$L$50,0),_xlpm.sc,IF(N(_xlpm.eds)&gt;0,F$105/_xlpm.eds,1),_xlpm.ksh,IF(Roster!$C$6="Fighting",0,INDEX(UNITVS(Roster!$C$13,F$104,"Shooting",_xlpm.tp,"",_xlfn.ANCHORARRAY(Roster!$AX$7)),2)),_xlpm.kfi,IF(Roster!$C$6="Shooting",0,INDEX(UNITVS(Roster!$C$13,F$104,"Fighting",_xlpm.tp,"",_xlfn.ANCHORARRAY(Roster!$AX$8)),2)),MIN(1,(_xlpm.ksh+_xlpm.kfi)*_xlpm.sc/MAX(1,$C113))))</f>
        <v/>
      </c>
      <c r="G113" s="88" t="str" cm="1">
        <f t="array" ref="G113">IF(OR($B113="",G$104=""),"",_xlfn.LET(_xlpm.mt,_xlfn.XLOOKUP($B113&amp;" ("&amp;Roster!$C$5&amp;")",_xlfn.CHOOSECOLS(AllTargets,1),AllTargets),_xlpm.tp,_xlfn.HSTACK(_xlfn.CHOOSECOLS(_xlpm.mt,2,3,4,5,6,7),$C113),_xlpm.eds,_xlfn.XLOOKUP(G$104,Roster!$C$36:$C$50,Roster!$L$36:$L$50,0),_xlpm.sc,IF(N(_xlpm.eds)&gt;0,G$105/_xlpm.eds,1),_xlpm.ksh,IF(Roster!$C$6="Fighting",0,INDEX(UNITVS(Roster!$C$13,G$104,"Shooting",_xlpm.tp,"",_xlfn.ANCHORARRAY(Roster!$AX$7)),2)),_xlpm.kfi,IF(Roster!$C$6="Shooting",0,INDEX(UNITVS(Roster!$C$13,G$104,"Fighting",_xlpm.tp,"",_xlfn.ANCHORARRAY(Roster!$AX$8)),2)),MIN(1,(_xlpm.ksh+_xlpm.kfi)*_xlpm.sc/MAX(1,$C113))))</f>
        <v/>
      </c>
      <c r="H113" s="88" t="str" cm="1">
        <f t="array" ref="H113">IF(OR($B113="",H$104=""),"",_xlfn.LET(_xlpm.mt,_xlfn.XLOOKUP($B113&amp;" ("&amp;Roster!$C$5&amp;")",_xlfn.CHOOSECOLS(AllTargets,1),AllTargets),_xlpm.tp,_xlfn.HSTACK(_xlfn.CHOOSECOLS(_xlpm.mt,2,3,4,5,6,7),$C113),_xlpm.eds,_xlfn.XLOOKUP(H$104,Roster!$C$36:$C$50,Roster!$L$36:$L$50,0),_xlpm.sc,IF(N(_xlpm.eds)&gt;0,H$105/_xlpm.eds,1),_xlpm.ksh,IF(Roster!$C$6="Fighting",0,INDEX(UNITVS(Roster!$C$13,H$104,"Shooting",_xlpm.tp,"",_xlfn.ANCHORARRAY(Roster!$AX$7)),2)),_xlpm.kfi,IF(Roster!$C$6="Shooting",0,INDEX(UNITVS(Roster!$C$13,H$104,"Fighting",_xlpm.tp,"",_xlfn.ANCHORARRAY(Roster!$AX$8)),2)),MIN(1,(_xlpm.ksh+_xlpm.kfi)*_xlpm.sc/MAX(1,$C113))))</f>
        <v/>
      </c>
      <c r="I113" s="88" t="str" cm="1">
        <f t="array" ref="I113">IF(OR($B113="",I$104=""),"",_xlfn.LET(_xlpm.mt,_xlfn.XLOOKUP($B113&amp;" ("&amp;Roster!$C$5&amp;")",_xlfn.CHOOSECOLS(AllTargets,1),AllTargets),_xlpm.tp,_xlfn.HSTACK(_xlfn.CHOOSECOLS(_xlpm.mt,2,3,4,5,6,7),$C113),_xlpm.eds,_xlfn.XLOOKUP(I$104,Roster!$C$36:$C$50,Roster!$L$36:$L$50,0),_xlpm.sc,IF(N(_xlpm.eds)&gt;0,I$105/_xlpm.eds,1),_xlpm.ksh,IF(Roster!$C$6="Fighting",0,INDEX(UNITVS(Roster!$C$13,I$104,"Shooting",_xlpm.tp,"",_xlfn.ANCHORARRAY(Roster!$AX$7)),2)),_xlpm.kfi,IF(Roster!$C$6="Shooting",0,INDEX(UNITVS(Roster!$C$13,I$104,"Fighting",_xlpm.tp,"",_xlfn.ANCHORARRAY(Roster!$AX$8)),2)),MIN(1,(_xlpm.ksh+_xlpm.kfi)*_xlpm.sc/MAX(1,$C113))))</f>
        <v/>
      </c>
      <c r="J113" s="88" t="str" cm="1">
        <f t="array" ref="J113">IF(OR($B113="",J$104=""),"",_xlfn.LET(_xlpm.mt,_xlfn.XLOOKUP($B113&amp;" ("&amp;Roster!$C$5&amp;")",_xlfn.CHOOSECOLS(AllTargets,1),AllTargets),_xlpm.tp,_xlfn.HSTACK(_xlfn.CHOOSECOLS(_xlpm.mt,2,3,4,5,6,7),$C113),_xlpm.eds,_xlfn.XLOOKUP(J$104,Roster!$C$36:$C$50,Roster!$L$36:$L$50,0),_xlpm.sc,IF(N(_xlpm.eds)&gt;0,J$105/_xlpm.eds,1),_xlpm.ksh,IF(Roster!$C$6="Fighting",0,INDEX(UNITVS(Roster!$C$13,J$104,"Shooting",_xlpm.tp,"",_xlfn.ANCHORARRAY(Roster!$AX$7)),2)),_xlpm.kfi,IF(Roster!$C$6="Shooting",0,INDEX(UNITVS(Roster!$C$13,J$104,"Fighting",_xlpm.tp,"",_xlfn.ANCHORARRAY(Roster!$AX$8)),2)),MIN(1,(_xlpm.ksh+_xlpm.kfi)*_xlpm.sc/MAX(1,$C113))))</f>
        <v/>
      </c>
      <c r="K113" s="88" t="str" cm="1">
        <f t="array" ref="K113">IF(OR($B113="",K$104=""),"",_xlfn.LET(_xlpm.mt,_xlfn.XLOOKUP($B113&amp;" ("&amp;Roster!$C$5&amp;")",_xlfn.CHOOSECOLS(AllTargets,1),AllTargets),_xlpm.tp,_xlfn.HSTACK(_xlfn.CHOOSECOLS(_xlpm.mt,2,3,4,5,6,7),$C113),_xlpm.eds,_xlfn.XLOOKUP(K$104,Roster!$C$36:$C$50,Roster!$L$36:$L$50,0),_xlpm.sc,IF(N(_xlpm.eds)&gt;0,K$105/_xlpm.eds,1),_xlpm.ksh,IF(Roster!$C$6="Fighting",0,INDEX(UNITVS(Roster!$C$13,K$104,"Shooting",_xlpm.tp,"",_xlfn.ANCHORARRAY(Roster!$AX$7)),2)),_xlpm.kfi,IF(Roster!$C$6="Shooting",0,INDEX(UNITVS(Roster!$C$13,K$104,"Fighting",_xlpm.tp,"",_xlfn.ANCHORARRAY(Roster!$AX$8)),2)),MIN(1,(_xlpm.ksh+_xlpm.kfi)*_xlpm.sc/MAX(1,$C113))))</f>
        <v/>
      </c>
      <c r="L113" s="88" t="str" cm="1">
        <f t="array" ref="L113">IF(OR($B113="",L$104=""),"",_xlfn.LET(_xlpm.mt,_xlfn.XLOOKUP($B113&amp;" ("&amp;Roster!$C$5&amp;")",_xlfn.CHOOSECOLS(AllTargets,1),AllTargets),_xlpm.tp,_xlfn.HSTACK(_xlfn.CHOOSECOLS(_xlpm.mt,2,3,4,5,6,7),$C113),_xlpm.eds,_xlfn.XLOOKUP(L$104,Roster!$C$36:$C$50,Roster!$L$36:$L$50,0),_xlpm.sc,IF(N(_xlpm.eds)&gt;0,L$105/_xlpm.eds,1),_xlpm.ksh,IF(Roster!$C$6="Fighting",0,INDEX(UNITVS(Roster!$C$13,L$104,"Shooting",_xlpm.tp,"",_xlfn.ANCHORARRAY(Roster!$AX$7)),2)),_xlpm.kfi,IF(Roster!$C$6="Shooting",0,INDEX(UNITVS(Roster!$C$13,L$104,"Fighting",_xlpm.tp,"",_xlfn.ANCHORARRAY(Roster!$AX$8)),2)),MIN(1,(_xlpm.ksh+_xlpm.kfi)*_xlpm.sc/MAX(1,$C113))))</f>
        <v/>
      </c>
      <c r="M113" s="88" t="str" cm="1">
        <f t="array" ref="M113">IF(OR($B113="",M$104=""),"",_xlfn.LET(_xlpm.mt,_xlfn.XLOOKUP($B113&amp;" ("&amp;Roster!$C$5&amp;")",_xlfn.CHOOSECOLS(AllTargets,1),AllTargets),_xlpm.tp,_xlfn.HSTACK(_xlfn.CHOOSECOLS(_xlpm.mt,2,3,4,5,6,7),$C113),_xlpm.eds,_xlfn.XLOOKUP(M$104,Roster!$C$36:$C$50,Roster!$L$36:$L$50,0),_xlpm.sc,IF(N(_xlpm.eds)&gt;0,M$105/_xlpm.eds,1),_xlpm.ksh,IF(Roster!$C$6="Fighting",0,INDEX(UNITVS(Roster!$C$13,M$104,"Shooting",_xlpm.tp,"",_xlfn.ANCHORARRAY(Roster!$AX$7)),2)),_xlpm.kfi,IF(Roster!$C$6="Shooting",0,INDEX(UNITVS(Roster!$C$13,M$104,"Fighting",_xlpm.tp,"",_xlfn.ANCHORARRAY(Roster!$AX$8)),2)),MIN(1,(_xlpm.ksh+_xlpm.kfi)*_xlpm.sc/MAX(1,$C113))))</f>
        <v/>
      </c>
      <c r="N113" s="88" t="str" cm="1">
        <f t="array" ref="N113">IF(OR($B113="",N$104=""),"",_xlfn.LET(_xlpm.mt,_xlfn.XLOOKUP($B113&amp;" ("&amp;Roster!$C$5&amp;")",_xlfn.CHOOSECOLS(AllTargets,1),AllTargets),_xlpm.tp,_xlfn.HSTACK(_xlfn.CHOOSECOLS(_xlpm.mt,2,3,4,5,6,7),$C113),_xlpm.eds,_xlfn.XLOOKUP(N$104,Roster!$C$36:$C$50,Roster!$L$36:$L$50,0),_xlpm.sc,IF(N(_xlpm.eds)&gt;0,N$105/_xlpm.eds,1),_xlpm.ksh,IF(Roster!$C$6="Fighting",0,INDEX(UNITVS(Roster!$C$13,N$104,"Shooting",_xlpm.tp,"",_xlfn.ANCHORARRAY(Roster!$AX$7)),2)),_xlpm.kfi,IF(Roster!$C$6="Shooting",0,INDEX(UNITVS(Roster!$C$13,N$104,"Fighting",_xlpm.tp,"",_xlfn.ANCHORARRAY(Roster!$AX$8)),2)),MIN(1,(_xlpm.ksh+_xlpm.kfi)*_xlpm.sc/MAX(1,$C113))))</f>
        <v/>
      </c>
      <c r="O113" s="88" t="str" cm="1">
        <f t="array" ref="O113">IF(OR($B113="",O$104=""),"",_xlfn.LET(_xlpm.mt,_xlfn.XLOOKUP($B113&amp;" ("&amp;Roster!$C$5&amp;")",_xlfn.CHOOSECOLS(AllTargets,1),AllTargets),_xlpm.tp,_xlfn.HSTACK(_xlfn.CHOOSECOLS(_xlpm.mt,2,3,4,5,6,7),$C113),_xlpm.eds,_xlfn.XLOOKUP(O$104,Roster!$C$36:$C$50,Roster!$L$36:$L$50,0),_xlpm.sc,IF(N(_xlpm.eds)&gt;0,O$105/_xlpm.eds,1),_xlpm.ksh,IF(Roster!$C$6="Fighting",0,INDEX(UNITVS(Roster!$C$13,O$104,"Shooting",_xlpm.tp,"",_xlfn.ANCHORARRAY(Roster!$AX$7)),2)),_xlpm.kfi,IF(Roster!$C$6="Shooting",0,INDEX(UNITVS(Roster!$C$13,O$104,"Fighting",_xlpm.tp,"",_xlfn.ANCHORARRAY(Roster!$AX$8)),2)),MIN(1,(_xlpm.ksh+_xlpm.kfi)*_xlpm.sc/MAX(1,$C113))))</f>
        <v/>
      </c>
      <c r="P113" s="88" t="str" cm="1">
        <f t="array" ref="P113">IF(OR($B113="",P$104=""),"",_xlfn.LET(_xlpm.mt,_xlfn.XLOOKUP($B113&amp;" ("&amp;Roster!$C$5&amp;")",_xlfn.CHOOSECOLS(AllTargets,1),AllTargets),_xlpm.tp,_xlfn.HSTACK(_xlfn.CHOOSECOLS(_xlpm.mt,2,3,4,5,6,7),$C113),_xlpm.eds,_xlfn.XLOOKUP(P$104,Roster!$C$36:$C$50,Roster!$L$36:$L$50,0),_xlpm.sc,IF(N(_xlpm.eds)&gt;0,P$105/_xlpm.eds,1),_xlpm.ksh,IF(Roster!$C$6="Fighting",0,INDEX(UNITVS(Roster!$C$13,P$104,"Shooting",_xlpm.tp,"",_xlfn.ANCHORARRAY(Roster!$AX$7)),2)),_xlpm.kfi,IF(Roster!$C$6="Shooting",0,INDEX(UNITVS(Roster!$C$13,P$104,"Fighting",_xlpm.tp,"",_xlfn.ANCHORARRAY(Roster!$AX$8)),2)),MIN(1,(_xlpm.ksh+_xlpm.kfi)*_xlpm.sc/MAX(1,$C113))))</f>
        <v/>
      </c>
      <c r="Q113" s="88" t="str" cm="1">
        <f t="array" ref="Q113">IF(OR($B113="",Q$104=""),"",_xlfn.LET(_xlpm.mt,_xlfn.XLOOKUP($B113&amp;" ("&amp;Roster!$C$5&amp;")",_xlfn.CHOOSECOLS(AllTargets,1),AllTargets),_xlpm.tp,_xlfn.HSTACK(_xlfn.CHOOSECOLS(_xlpm.mt,2,3,4,5,6,7),$C113),_xlpm.eds,_xlfn.XLOOKUP(Q$104,Roster!$C$36:$C$50,Roster!$L$36:$L$50,0),_xlpm.sc,IF(N(_xlpm.eds)&gt;0,Q$105/_xlpm.eds,1),_xlpm.ksh,IF(Roster!$C$6="Fighting",0,INDEX(UNITVS(Roster!$C$13,Q$104,"Shooting",_xlpm.tp,"",_xlfn.ANCHORARRAY(Roster!$AX$7)),2)),_xlpm.kfi,IF(Roster!$C$6="Shooting",0,INDEX(UNITVS(Roster!$C$13,Q$104,"Fighting",_xlpm.tp,"",_xlfn.ANCHORARRAY(Roster!$AX$8)),2)),MIN(1,(_xlpm.ksh+_xlpm.kfi)*_xlpm.sc/MAX(1,$C113))))</f>
        <v/>
      </c>
      <c r="R113" s="88" t="str" cm="1">
        <f t="array" ref="R113">IF(OR($B113="",R$104=""),"",_xlfn.LET(_xlpm.mt,_xlfn.XLOOKUP($B113&amp;" ("&amp;Roster!$C$5&amp;")",_xlfn.CHOOSECOLS(AllTargets,1),AllTargets),_xlpm.tp,_xlfn.HSTACK(_xlfn.CHOOSECOLS(_xlpm.mt,2,3,4,5,6,7),$C113),_xlpm.eds,_xlfn.XLOOKUP(R$104,Roster!$C$36:$C$50,Roster!$L$36:$L$50,0),_xlpm.sc,IF(N(_xlpm.eds)&gt;0,R$105/_xlpm.eds,1),_xlpm.ksh,IF(Roster!$C$6="Fighting",0,INDEX(UNITVS(Roster!$C$13,R$104,"Shooting",_xlpm.tp,"",_xlfn.ANCHORARRAY(Roster!$AX$7)),2)),_xlpm.kfi,IF(Roster!$C$6="Shooting",0,INDEX(UNITVS(Roster!$C$13,R$104,"Fighting",_xlpm.tp,"",_xlfn.ANCHORARRAY(Roster!$AX$8)),2)),MIN(1,(_xlpm.ksh+_xlpm.kfi)*_xlpm.sc/MAX(1,$C113))))</f>
        <v/>
      </c>
      <c r="S113" s="88" t="str">
        <f t="shared" si="25"/>
        <v/>
      </c>
    </row>
    <row r="114" spans="1:19" x14ac:dyDescent="0.25">
      <c r="A114" s="82">
        <v>9</v>
      </c>
      <c r="B114" t="str">
        <f t="shared" ref="B114:C114" si="32">B27</f>
        <v>Chaos Spawn</v>
      </c>
      <c r="C114" s="6">
        <f t="shared" si="32"/>
        <v>2</v>
      </c>
      <c r="D114" s="88" t="str" cm="1">
        <f t="array" ref="D114">IF(OR($B114="",D$104=""),"",_xlfn.LET(_xlpm.mt,_xlfn.XLOOKUP($B114&amp;" ("&amp;Roster!$C$5&amp;")",_xlfn.CHOOSECOLS(AllTargets,1),AllTargets),_xlpm.tp,_xlfn.HSTACK(_xlfn.CHOOSECOLS(_xlpm.mt,2,3,4,5,6,7),$C114),_xlpm.eds,_xlfn.XLOOKUP(D$104,Roster!$C$36:$C$50,Roster!$L$36:$L$50,0),_xlpm.sc,IF(N(_xlpm.eds)&gt;0,D$105/_xlpm.eds,1),_xlpm.ksh,IF(Roster!$C$6="Fighting",0,INDEX(UNITVS(Roster!$C$13,D$104,"Shooting",_xlpm.tp,"",_xlfn.ANCHORARRAY(Roster!$AX$7)),2)),_xlpm.kfi,IF(Roster!$C$6="Shooting",0,INDEX(UNITVS(Roster!$C$13,D$104,"Fighting",_xlpm.tp,"",_xlfn.ANCHORARRAY(Roster!$AX$8)),2)),MIN(1,(_xlpm.ksh+_xlpm.kfi)*_xlpm.sc/MAX(1,$C114))))</f>
        <v/>
      </c>
      <c r="E114" s="88" t="str" cm="1">
        <f t="array" ref="E114">IF(OR($B114="",E$104=""),"",_xlfn.LET(_xlpm.mt,_xlfn.XLOOKUP($B114&amp;" ("&amp;Roster!$C$5&amp;")",_xlfn.CHOOSECOLS(AllTargets,1),AllTargets),_xlpm.tp,_xlfn.HSTACK(_xlfn.CHOOSECOLS(_xlpm.mt,2,3,4,5,6,7),$C114),_xlpm.eds,_xlfn.XLOOKUP(E$104,Roster!$C$36:$C$50,Roster!$L$36:$L$50,0),_xlpm.sc,IF(N(_xlpm.eds)&gt;0,E$105/_xlpm.eds,1),_xlpm.ksh,IF(Roster!$C$6="Fighting",0,INDEX(UNITVS(Roster!$C$13,E$104,"Shooting",_xlpm.tp,"",_xlfn.ANCHORARRAY(Roster!$AX$7)),2)),_xlpm.kfi,IF(Roster!$C$6="Shooting",0,INDEX(UNITVS(Roster!$C$13,E$104,"Fighting",_xlpm.tp,"",_xlfn.ANCHORARRAY(Roster!$AX$8)),2)),MIN(1,(_xlpm.ksh+_xlpm.kfi)*_xlpm.sc/MAX(1,$C114))))</f>
        <v/>
      </c>
      <c r="F114" s="88" t="str" cm="1">
        <f t="array" ref="F114">IF(OR($B114="",F$104=""),"",_xlfn.LET(_xlpm.mt,_xlfn.XLOOKUP($B114&amp;" ("&amp;Roster!$C$5&amp;")",_xlfn.CHOOSECOLS(AllTargets,1),AllTargets),_xlpm.tp,_xlfn.HSTACK(_xlfn.CHOOSECOLS(_xlpm.mt,2,3,4,5,6,7),$C114),_xlpm.eds,_xlfn.XLOOKUP(F$104,Roster!$C$36:$C$50,Roster!$L$36:$L$50,0),_xlpm.sc,IF(N(_xlpm.eds)&gt;0,F$105/_xlpm.eds,1),_xlpm.ksh,IF(Roster!$C$6="Fighting",0,INDEX(UNITVS(Roster!$C$13,F$104,"Shooting",_xlpm.tp,"",_xlfn.ANCHORARRAY(Roster!$AX$7)),2)),_xlpm.kfi,IF(Roster!$C$6="Shooting",0,INDEX(UNITVS(Roster!$C$13,F$104,"Fighting",_xlpm.tp,"",_xlfn.ANCHORARRAY(Roster!$AX$8)),2)),MIN(1,(_xlpm.ksh+_xlpm.kfi)*_xlpm.sc/MAX(1,$C114))))</f>
        <v/>
      </c>
      <c r="G114" s="88" t="str" cm="1">
        <f t="array" ref="G114">IF(OR($B114="",G$104=""),"",_xlfn.LET(_xlpm.mt,_xlfn.XLOOKUP($B114&amp;" ("&amp;Roster!$C$5&amp;")",_xlfn.CHOOSECOLS(AllTargets,1),AllTargets),_xlpm.tp,_xlfn.HSTACK(_xlfn.CHOOSECOLS(_xlpm.mt,2,3,4,5,6,7),$C114),_xlpm.eds,_xlfn.XLOOKUP(G$104,Roster!$C$36:$C$50,Roster!$L$36:$L$50,0),_xlpm.sc,IF(N(_xlpm.eds)&gt;0,G$105/_xlpm.eds,1),_xlpm.ksh,IF(Roster!$C$6="Fighting",0,INDEX(UNITVS(Roster!$C$13,G$104,"Shooting",_xlpm.tp,"",_xlfn.ANCHORARRAY(Roster!$AX$7)),2)),_xlpm.kfi,IF(Roster!$C$6="Shooting",0,INDEX(UNITVS(Roster!$C$13,G$104,"Fighting",_xlpm.tp,"",_xlfn.ANCHORARRAY(Roster!$AX$8)),2)),MIN(1,(_xlpm.ksh+_xlpm.kfi)*_xlpm.sc/MAX(1,$C114))))</f>
        <v/>
      </c>
      <c r="H114" s="88" t="str" cm="1">
        <f t="array" ref="H114">IF(OR($B114="",H$104=""),"",_xlfn.LET(_xlpm.mt,_xlfn.XLOOKUP($B114&amp;" ("&amp;Roster!$C$5&amp;")",_xlfn.CHOOSECOLS(AllTargets,1),AllTargets),_xlpm.tp,_xlfn.HSTACK(_xlfn.CHOOSECOLS(_xlpm.mt,2,3,4,5,6,7),$C114),_xlpm.eds,_xlfn.XLOOKUP(H$104,Roster!$C$36:$C$50,Roster!$L$36:$L$50,0),_xlpm.sc,IF(N(_xlpm.eds)&gt;0,H$105/_xlpm.eds,1),_xlpm.ksh,IF(Roster!$C$6="Fighting",0,INDEX(UNITVS(Roster!$C$13,H$104,"Shooting",_xlpm.tp,"",_xlfn.ANCHORARRAY(Roster!$AX$7)),2)),_xlpm.kfi,IF(Roster!$C$6="Shooting",0,INDEX(UNITVS(Roster!$C$13,H$104,"Fighting",_xlpm.tp,"",_xlfn.ANCHORARRAY(Roster!$AX$8)),2)),MIN(1,(_xlpm.ksh+_xlpm.kfi)*_xlpm.sc/MAX(1,$C114))))</f>
        <v/>
      </c>
      <c r="I114" s="88" t="str" cm="1">
        <f t="array" ref="I114">IF(OR($B114="",I$104=""),"",_xlfn.LET(_xlpm.mt,_xlfn.XLOOKUP($B114&amp;" ("&amp;Roster!$C$5&amp;")",_xlfn.CHOOSECOLS(AllTargets,1),AllTargets),_xlpm.tp,_xlfn.HSTACK(_xlfn.CHOOSECOLS(_xlpm.mt,2,3,4,5,6,7),$C114),_xlpm.eds,_xlfn.XLOOKUP(I$104,Roster!$C$36:$C$50,Roster!$L$36:$L$50,0),_xlpm.sc,IF(N(_xlpm.eds)&gt;0,I$105/_xlpm.eds,1),_xlpm.ksh,IF(Roster!$C$6="Fighting",0,INDEX(UNITVS(Roster!$C$13,I$104,"Shooting",_xlpm.tp,"",_xlfn.ANCHORARRAY(Roster!$AX$7)),2)),_xlpm.kfi,IF(Roster!$C$6="Shooting",0,INDEX(UNITVS(Roster!$C$13,I$104,"Fighting",_xlpm.tp,"",_xlfn.ANCHORARRAY(Roster!$AX$8)),2)),MIN(1,(_xlpm.ksh+_xlpm.kfi)*_xlpm.sc/MAX(1,$C114))))</f>
        <v/>
      </c>
      <c r="J114" s="88" t="str" cm="1">
        <f t="array" ref="J114">IF(OR($B114="",J$104=""),"",_xlfn.LET(_xlpm.mt,_xlfn.XLOOKUP($B114&amp;" ("&amp;Roster!$C$5&amp;")",_xlfn.CHOOSECOLS(AllTargets,1),AllTargets),_xlpm.tp,_xlfn.HSTACK(_xlfn.CHOOSECOLS(_xlpm.mt,2,3,4,5,6,7),$C114),_xlpm.eds,_xlfn.XLOOKUP(J$104,Roster!$C$36:$C$50,Roster!$L$36:$L$50,0),_xlpm.sc,IF(N(_xlpm.eds)&gt;0,J$105/_xlpm.eds,1),_xlpm.ksh,IF(Roster!$C$6="Fighting",0,INDEX(UNITVS(Roster!$C$13,J$104,"Shooting",_xlpm.tp,"",_xlfn.ANCHORARRAY(Roster!$AX$7)),2)),_xlpm.kfi,IF(Roster!$C$6="Shooting",0,INDEX(UNITVS(Roster!$C$13,J$104,"Fighting",_xlpm.tp,"",_xlfn.ANCHORARRAY(Roster!$AX$8)),2)),MIN(1,(_xlpm.ksh+_xlpm.kfi)*_xlpm.sc/MAX(1,$C114))))</f>
        <v/>
      </c>
      <c r="K114" s="88" t="str" cm="1">
        <f t="array" ref="K114">IF(OR($B114="",K$104=""),"",_xlfn.LET(_xlpm.mt,_xlfn.XLOOKUP($B114&amp;" ("&amp;Roster!$C$5&amp;")",_xlfn.CHOOSECOLS(AllTargets,1),AllTargets),_xlpm.tp,_xlfn.HSTACK(_xlfn.CHOOSECOLS(_xlpm.mt,2,3,4,5,6,7),$C114),_xlpm.eds,_xlfn.XLOOKUP(K$104,Roster!$C$36:$C$50,Roster!$L$36:$L$50,0),_xlpm.sc,IF(N(_xlpm.eds)&gt;0,K$105/_xlpm.eds,1),_xlpm.ksh,IF(Roster!$C$6="Fighting",0,INDEX(UNITVS(Roster!$C$13,K$104,"Shooting",_xlpm.tp,"",_xlfn.ANCHORARRAY(Roster!$AX$7)),2)),_xlpm.kfi,IF(Roster!$C$6="Shooting",0,INDEX(UNITVS(Roster!$C$13,K$104,"Fighting",_xlpm.tp,"",_xlfn.ANCHORARRAY(Roster!$AX$8)),2)),MIN(1,(_xlpm.ksh+_xlpm.kfi)*_xlpm.sc/MAX(1,$C114))))</f>
        <v/>
      </c>
      <c r="L114" s="88" t="str" cm="1">
        <f t="array" ref="L114">IF(OR($B114="",L$104=""),"",_xlfn.LET(_xlpm.mt,_xlfn.XLOOKUP($B114&amp;" ("&amp;Roster!$C$5&amp;")",_xlfn.CHOOSECOLS(AllTargets,1),AllTargets),_xlpm.tp,_xlfn.HSTACK(_xlfn.CHOOSECOLS(_xlpm.mt,2,3,4,5,6,7),$C114),_xlpm.eds,_xlfn.XLOOKUP(L$104,Roster!$C$36:$C$50,Roster!$L$36:$L$50,0),_xlpm.sc,IF(N(_xlpm.eds)&gt;0,L$105/_xlpm.eds,1),_xlpm.ksh,IF(Roster!$C$6="Fighting",0,INDEX(UNITVS(Roster!$C$13,L$104,"Shooting",_xlpm.tp,"",_xlfn.ANCHORARRAY(Roster!$AX$7)),2)),_xlpm.kfi,IF(Roster!$C$6="Shooting",0,INDEX(UNITVS(Roster!$C$13,L$104,"Fighting",_xlpm.tp,"",_xlfn.ANCHORARRAY(Roster!$AX$8)),2)),MIN(1,(_xlpm.ksh+_xlpm.kfi)*_xlpm.sc/MAX(1,$C114))))</f>
        <v/>
      </c>
      <c r="M114" s="88" t="str" cm="1">
        <f t="array" ref="M114">IF(OR($B114="",M$104=""),"",_xlfn.LET(_xlpm.mt,_xlfn.XLOOKUP($B114&amp;" ("&amp;Roster!$C$5&amp;")",_xlfn.CHOOSECOLS(AllTargets,1),AllTargets),_xlpm.tp,_xlfn.HSTACK(_xlfn.CHOOSECOLS(_xlpm.mt,2,3,4,5,6,7),$C114),_xlpm.eds,_xlfn.XLOOKUP(M$104,Roster!$C$36:$C$50,Roster!$L$36:$L$50,0),_xlpm.sc,IF(N(_xlpm.eds)&gt;0,M$105/_xlpm.eds,1),_xlpm.ksh,IF(Roster!$C$6="Fighting",0,INDEX(UNITVS(Roster!$C$13,M$104,"Shooting",_xlpm.tp,"",_xlfn.ANCHORARRAY(Roster!$AX$7)),2)),_xlpm.kfi,IF(Roster!$C$6="Shooting",0,INDEX(UNITVS(Roster!$C$13,M$104,"Fighting",_xlpm.tp,"",_xlfn.ANCHORARRAY(Roster!$AX$8)),2)),MIN(1,(_xlpm.ksh+_xlpm.kfi)*_xlpm.sc/MAX(1,$C114))))</f>
        <v/>
      </c>
      <c r="N114" s="88" t="str" cm="1">
        <f t="array" ref="N114">IF(OR($B114="",N$104=""),"",_xlfn.LET(_xlpm.mt,_xlfn.XLOOKUP($B114&amp;" ("&amp;Roster!$C$5&amp;")",_xlfn.CHOOSECOLS(AllTargets,1),AllTargets),_xlpm.tp,_xlfn.HSTACK(_xlfn.CHOOSECOLS(_xlpm.mt,2,3,4,5,6,7),$C114),_xlpm.eds,_xlfn.XLOOKUP(N$104,Roster!$C$36:$C$50,Roster!$L$36:$L$50,0),_xlpm.sc,IF(N(_xlpm.eds)&gt;0,N$105/_xlpm.eds,1),_xlpm.ksh,IF(Roster!$C$6="Fighting",0,INDEX(UNITVS(Roster!$C$13,N$104,"Shooting",_xlpm.tp,"",_xlfn.ANCHORARRAY(Roster!$AX$7)),2)),_xlpm.kfi,IF(Roster!$C$6="Shooting",0,INDEX(UNITVS(Roster!$C$13,N$104,"Fighting",_xlpm.tp,"",_xlfn.ANCHORARRAY(Roster!$AX$8)),2)),MIN(1,(_xlpm.ksh+_xlpm.kfi)*_xlpm.sc/MAX(1,$C114))))</f>
        <v/>
      </c>
      <c r="O114" s="88" t="str" cm="1">
        <f t="array" ref="O114">IF(OR($B114="",O$104=""),"",_xlfn.LET(_xlpm.mt,_xlfn.XLOOKUP($B114&amp;" ("&amp;Roster!$C$5&amp;")",_xlfn.CHOOSECOLS(AllTargets,1),AllTargets),_xlpm.tp,_xlfn.HSTACK(_xlfn.CHOOSECOLS(_xlpm.mt,2,3,4,5,6,7),$C114),_xlpm.eds,_xlfn.XLOOKUP(O$104,Roster!$C$36:$C$50,Roster!$L$36:$L$50,0),_xlpm.sc,IF(N(_xlpm.eds)&gt;0,O$105/_xlpm.eds,1),_xlpm.ksh,IF(Roster!$C$6="Fighting",0,INDEX(UNITVS(Roster!$C$13,O$104,"Shooting",_xlpm.tp,"",_xlfn.ANCHORARRAY(Roster!$AX$7)),2)),_xlpm.kfi,IF(Roster!$C$6="Shooting",0,INDEX(UNITVS(Roster!$C$13,O$104,"Fighting",_xlpm.tp,"",_xlfn.ANCHORARRAY(Roster!$AX$8)),2)),MIN(1,(_xlpm.ksh+_xlpm.kfi)*_xlpm.sc/MAX(1,$C114))))</f>
        <v/>
      </c>
      <c r="P114" s="88" t="str" cm="1">
        <f t="array" ref="P114">IF(OR($B114="",P$104=""),"",_xlfn.LET(_xlpm.mt,_xlfn.XLOOKUP($B114&amp;" ("&amp;Roster!$C$5&amp;")",_xlfn.CHOOSECOLS(AllTargets,1),AllTargets),_xlpm.tp,_xlfn.HSTACK(_xlfn.CHOOSECOLS(_xlpm.mt,2,3,4,5,6,7),$C114),_xlpm.eds,_xlfn.XLOOKUP(P$104,Roster!$C$36:$C$50,Roster!$L$36:$L$50,0),_xlpm.sc,IF(N(_xlpm.eds)&gt;0,P$105/_xlpm.eds,1),_xlpm.ksh,IF(Roster!$C$6="Fighting",0,INDEX(UNITVS(Roster!$C$13,P$104,"Shooting",_xlpm.tp,"",_xlfn.ANCHORARRAY(Roster!$AX$7)),2)),_xlpm.kfi,IF(Roster!$C$6="Shooting",0,INDEX(UNITVS(Roster!$C$13,P$104,"Fighting",_xlpm.tp,"",_xlfn.ANCHORARRAY(Roster!$AX$8)),2)),MIN(1,(_xlpm.ksh+_xlpm.kfi)*_xlpm.sc/MAX(1,$C114))))</f>
        <v/>
      </c>
      <c r="Q114" s="88" t="str" cm="1">
        <f t="array" ref="Q114">IF(OR($B114="",Q$104=""),"",_xlfn.LET(_xlpm.mt,_xlfn.XLOOKUP($B114&amp;" ("&amp;Roster!$C$5&amp;")",_xlfn.CHOOSECOLS(AllTargets,1),AllTargets),_xlpm.tp,_xlfn.HSTACK(_xlfn.CHOOSECOLS(_xlpm.mt,2,3,4,5,6,7),$C114),_xlpm.eds,_xlfn.XLOOKUP(Q$104,Roster!$C$36:$C$50,Roster!$L$36:$L$50,0),_xlpm.sc,IF(N(_xlpm.eds)&gt;0,Q$105/_xlpm.eds,1),_xlpm.ksh,IF(Roster!$C$6="Fighting",0,INDEX(UNITVS(Roster!$C$13,Q$104,"Shooting",_xlpm.tp,"",_xlfn.ANCHORARRAY(Roster!$AX$7)),2)),_xlpm.kfi,IF(Roster!$C$6="Shooting",0,INDEX(UNITVS(Roster!$C$13,Q$104,"Fighting",_xlpm.tp,"",_xlfn.ANCHORARRAY(Roster!$AX$8)),2)),MIN(1,(_xlpm.ksh+_xlpm.kfi)*_xlpm.sc/MAX(1,$C114))))</f>
        <v/>
      </c>
      <c r="R114" s="88" t="str" cm="1">
        <f t="array" ref="R114">IF(OR($B114="",R$104=""),"",_xlfn.LET(_xlpm.mt,_xlfn.XLOOKUP($B114&amp;" ("&amp;Roster!$C$5&amp;")",_xlfn.CHOOSECOLS(AllTargets,1),AllTargets),_xlpm.tp,_xlfn.HSTACK(_xlfn.CHOOSECOLS(_xlpm.mt,2,3,4,5,6,7),$C114),_xlpm.eds,_xlfn.XLOOKUP(R$104,Roster!$C$36:$C$50,Roster!$L$36:$L$50,0),_xlpm.sc,IF(N(_xlpm.eds)&gt;0,R$105/_xlpm.eds,1),_xlpm.ksh,IF(Roster!$C$6="Fighting",0,INDEX(UNITVS(Roster!$C$13,R$104,"Shooting",_xlpm.tp,"",_xlfn.ANCHORARRAY(Roster!$AX$7)),2)),_xlpm.kfi,IF(Roster!$C$6="Shooting",0,INDEX(UNITVS(Roster!$C$13,R$104,"Fighting",_xlpm.tp,"",_xlfn.ANCHORARRAY(Roster!$AX$8)),2)),MIN(1,(_xlpm.ksh+_xlpm.kfi)*_xlpm.sc/MAX(1,$C114))))</f>
        <v/>
      </c>
      <c r="S114" s="88" t="str">
        <f t="shared" si="25"/>
        <v/>
      </c>
    </row>
    <row r="115" spans="1:19" x14ac:dyDescent="0.25">
      <c r="A115" s="82">
        <v>10</v>
      </c>
      <c r="B115" t="str">
        <f t="shared" ref="B115:C115" si="33">B28</f>
        <v/>
      </c>
      <c r="C115" s="6" t="str">
        <f t="shared" si="33"/>
        <v/>
      </c>
      <c r="D115" s="88" t="str" cm="1">
        <f t="array" ref="D115">IF(OR($B115="",D$104=""),"",_xlfn.LET(_xlpm.mt,_xlfn.XLOOKUP($B115&amp;" ("&amp;Roster!$C$5&amp;")",_xlfn.CHOOSECOLS(AllTargets,1),AllTargets),_xlpm.tp,_xlfn.HSTACK(_xlfn.CHOOSECOLS(_xlpm.mt,2,3,4,5,6,7),$C115),_xlpm.eds,_xlfn.XLOOKUP(D$104,Roster!$C$36:$C$50,Roster!$L$36:$L$50,0),_xlpm.sc,IF(N(_xlpm.eds)&gt;0,D$105/_xlpm.eds,1),_xlpm.ksh,IF(Roster!$C$6="Fighting",0,INDEX(UNITVS(Roster!$C$13,D$104,"Shooting",_xlpm.tp,"",_xlfn.ANCHORARRAY(Roster!$AX$7)),2)),_xlpm.kfi,IF(Roster!$C$6="Shooting",0,INDEX(UNITVS(Roster!$C$13,D$104,"Fighting",_xlpm.tp,"",_xlfn.ANCHORARRAY(Roster!$AX$8)),2)),MIN(1,(_xlpm.ksh+_xlpm.kfi)*_xlpm.sc/MAX(1,$C115))))</f>
        <v/>
      </c>
      <c r="E115" s="88" t="str" cm="1">
        <f t="array" ref="E115">IF(OR($B115="",E$104=""),"",_xlfn.LET(_xlpm.mt,_xlfn.XLOOKUP($B115&amp;" ("&amp;Roster!$C$5&amp;")",_xlfn.CHOOSECOLS(AllTargets,1),AllTargets),_xlpm.tp,_xlfn.HSTACK(_xlfn.CHOOSECOLS(_xlpm.mt,2,3,4,5,6,7),$C115),_xlpm.eds,_xlfn.XLOOKUP(E$104,Roster!$C$36:$C$50,Roster!$L$36:$L$50,0),_xlpm.sc,IF(N(_xlpm.eds)&gt;0,E$105/_xlpm.eds,1),_xlpm.ksh,IF(Roster!$C$6="Fighting",0,INDEX(UNITVS(Roster!$C$13,E$104,"Shooting",_xlpm.tp,"",_xlfn.ANCHORARRAY(Roster!$AX$7)),2)),_xlpm.kfi,IF(Roster!$C$6="Shooting",0,INDEX(UNITVS(Roster!$C$13,E$104,"Fighting",_xlpm.tp,"",_xlfn.ANCHORARRAY(Roster!$AX$8)),2)),MIN(1,(_xlpm.ksh+_xlpm.kfi)*_xlpm.sc/MAX(1,$C115))))</f>
        <v/>
      </c>
      <c r="F115" s="88" t="str" cm="1">
        <f t="array" ref="F115">IF(OR($B115="",F$104=""),"",_xlfn.LET(_xlpm.mt,_xlfn.XLOOKUP($B115&amp;" ("&amp;Roster!$C$5&amp;")",_xlfn.CHOOSECOLS(AllTargets,1),AllTargets),_xlpm.tp,_xlfn.HSTACK(_xlfn.CHOOSECOLS(_xlpm.mt,2,3,4,5,6,7),$C115),_xlpm.eds,_xlfn.XLOOKUP(F$104,Roster!$C$36:$C$50,Roster!$L$36:$L$50,0),_xlpm.sc,IF(N(_xlpm.eds)&gt;0,F$105/_xlpm.eds,1),_xlpm.ksh,IF(Roster!$C$6="Fighting",0,INDEX(UNITVS(Roster!$C$13,F$104,"Shooting",_xlpm.tp,"",_xlfn.ANCHORARRAY(Roster!$AX$7)),2)),_xlpm.kfi,IF(Roster!$C$6="Shooting",0,INDEX(UNITVS(Roster!$C$13,F$104,"Fighting",_xlpm.tp,"",_xlfn.ANCHORARRAY(Roster!$AX$8)),2)),MIN(1,(_xlpm.ksh+_xlpm.kfi)*_xlpm.sc/MAX(1,$C115))))</f>
        <v/>
      </c>
      <c r="G115" s="88" t="str" cm="1">
        <f t="array" ref="G115">IF(OR($B115="",G$104=""),"",_xlfn.LET(_xlpm.mt,_xlfn.XLOOKUP($B115&amp;" ("&amp;Roster!$C$5&amp;")",_xlfn.CHOOSECOLS(AllTargets,1),AllTargets),_xlpm.tp,_xlfn.HSTACK(_xlfn.CHOOSECOLS(_xlpm.mt,2,3,4,5,6,7),$C115),_xlpm.eds,_xlfn.XLOOKUP(G$104,Roster!$C$36:$C$50,Roster!$L$36:$L$50,0),_xlpm.sc,IF(N(_xlpm.eds)&gt;0,G$105/_xlpm.eds,1),_xlpm.ksh,IF(Roster!$C$6="Fighting",0,INDEX(UNITVS(Roster!$C$13,G$104,"Shooting",_xlpm.tp,"",_xlfn.ANCHORARRAY(Roster!$AX$7)),2)),_xlpm.kfi,IF(Roster!$C$6="Shooting",0,INDEX(UNITVS(Roster!$C$13,G$104,"Fighting",_xlpm.tp,"",_xlfn.ANCHORARRAY(Roster!$AX$8)),2)),MIN(1,(_xlpm.ksh+_xlpm.kfi)*_xlpm.sc/MAX(1,$C115))))</f>
        <v/>
      </c>
      <c r="H115" s="88" t="str" cm="1">
        <f t="array" ref="H115">IF(OR($B115="",H$104=""),"",_xlfn.LET(_xlpm.mt,_xlfn.XLOOKUP($B115&amp;" ("&amp;Roster!$C$5&amp;")",_xlfn.CHOOSECOLS(AllTargets,1),AllTargets),_xlpm.tp,_xlfn.HSTACK(_xlfn.CHOOSECOLS(_xlpm.mt,2,3,4,5,6,7),$C115),_xlpm.eds,_xlfn.XLOOKUP(H$104,Roster!$C$36:$C$50,Roster!$L$36:$L$50,0),_xlpm.sc,IF(N(_xlpm.eds)&gt;0,H$105/_xlpm.eds,1),_xlpm.ksh,IF(Roster!$C$6="Fighting",0,INDEX(UNITVS(Roster!$C$13,H$104,"Shooting",_xlpm.tp,"",_xlfn.ANCHORARRAY(Roster!$AX$7)),2)),_xlpm.kfi,IF(Roster!$C$6="Shooting",0,INDEX(UNITVS(Roster!$C$13,H$104,"Fighting",_xlpm.tp,"",_xlfn.ANCHORARRAY(Roster!$AX$8)),2)),MIN(1,(_xlpm.ksh+_xlpm.kfi)*_xlpm.sc/MAX(1,$C115))))</f>
        <v/>
      </c>
      <c r="I115" s="88" t="str" cm="1">
        <f t="array" ref="I115">IF(OR($B115="",I$104=""),"",_xlfn.LET(_xlpm.mt,_xlfn.XLOOKUP($B115&amp;" ("&amp;Roster!$C$5&amp;")",_xlfn.CHOOSECOLS(AllTargets,1),AllTargets),_xlpm.tp,_xlfn.HSTACK(_xlfn.CHOOSECOLS(_xlpm.mt,2,3,4,5,6,7),$C115),_xlpm.eds,_xlfn.XLOOKUP(I$104,Roster!$C$36:$C$50,Roster!$L$36:$L$50,0),_xlpm.sc,IF(N(_xlpm.eds)&gt;0,I$105/_xlpm.eds,1),_xlpm.ksh,IF(Roster!$C$6="Fighting",0,INDEX(UNITVS(Roster!$C$13,I$104,"Shooting",_xlpm.tp,"",_xlfn.ANCHORARRAY(Roster!$AX$7)),2)),_xlpm.kfi,IF(Roster!$C$6="Shooting",0,INDEX(UNITVS(Roster!$C$13,I$104,"Fighting",_xlpm.tp,"",_xlfn.ANCHORARRAY(Roster!$AX$8)),2)),MIN(1,(_xlpm.ksh+_xlpm.kfi)*_xlpm.sc/MAX(1,$C115))))</f>
        <v/>
      </c>
      <c r="J115" s="88" t="str" cm="1">
        <f t="array" ref="J115">IF(OR($B115="",J$104=""),"",_xlfn.LET(_xlpm.mt,_xlfn.XLOOKUP($B115&amp;" ("&amp;Roster!$C$5&amp;")",_xlfn.CHOOSECOLS(AllTargets,1),AllTargets),_xlpm.tp,_xlfn.HSTACK(_xlfn.CHOOSECOLS(_xlpm.mt,2,3,4,5,6,7),$C115),_xlpm.eds,_xlfn.XLOOKUP(J$104,Roster!$C$36:$C$50,Roster!$L$36:$L$50,0),_xlpm.sc,IF(N(_xlpm.eds)&gt;0,J$105/_xlpm.eds,1),_xlpm.ksh,IF(Roster!$C$6="Fighting",0,INDEX(UNITVS(Roster!$C$13,J$104,"Shooting",_xlpm.tp,"",_xlfn.ANCHORARRAY(Roster!$AX$7)),2)),_xlpm.kfi,IF(Roster!$C$6="Shooting",0,INDEX(UNITVS(Roster!$C$13,J$104,"Fighting",_xlpm.tp,"",_xlfn.ANCHORARRAY(Roster!$AX$8)),2)),MIN(1,(_xlpm.ksh+_xlpm.kfi)*_xlpm.sc/MAX(1,$C115))))</f>
        <v/>
      </c>
      <c r="K115" s="88" t="str" cm="1">
        <f t="array" ref="K115">IF(OR($B115="",K$104=""),"",_xlfn.LET(_xlpm.mt,_xlfn.XLOOKUP($B115&amp;" ("&amp;Roster!$C$5&amp;")",_xlfn.CHOOSECOLS(AllTargets,1),AllTargets),_xlpm.tp,_xlfn.HSTACK(_xlfn.CHOOSECOLS(_xlpm.mt,2,3,4,5,6,7),$C115),_xlpm.eds,_xlfn.XLOOKUP(K$104,Roster!$C$36:$C$50,Roster!$L$36:$L$50,0),_xlpm.sc,IF(N(_xlpm.eds)&gt;0,K$105/_xlpm.eds,1),_xlpm.ksh,IF(Roster!$C$6="Fighting",0,INDEX(UNITVS(Roster!$C$13,K$104,"Shooting",_xlpm.tp,"",_xlfn.ANCHORARRAY(Roster!$AX$7)),2)),_xlpm.kfi,IF(Roster!$C$6="Shooting",0,INDEX(UNITVS(Roster!$C$13,K$104,"Fighting",_xlpm.tp,"",_xlfn.ANCHORARRAY(Roster!$AX$8)),2)),MIN(1,(_xlpm.ksh+_xlpm.kfi)*_xlpm.sc/MAX(1,$C115))))</f>
        <v/>
      </c>
      <c r="L115" s="88" t="str" cm="1">
        <f t="array" ref="L115">IF(OR($B115="",L$104=""),"",_xlfn.LET(_xlpm.mt,_xlfn.XLOOKUP($B115&amp;" ("&amp;Roster!$C$5&amp;")",_xlfn.CHOOSECOLS(AllTargets,1),AllTargets),_xlpm.tp,_xlfn.HSTACK(_xlfn.CHOOSECOLS(_xlpm.mt,2,3,4,5,6,7),$C115),_xlpm.eds,_xlfn.XLOOKUP(L$104,Roster!$C$36:$C$50,Roster!$L$36:$L$50,0),_xlpm.sc,IF(N(_xlpm.eds)&gt;0,L$105/_xlpm.eds,1),_xlpm.ksh,IF(Roster!$C$6="Fighting",0,INDEX(UNITVS(Roster!$C$13,L$104,"Shooting",_xlpm.tp,"",_xlfn.ANCHORARRAY(Roster!$AX$7)),2)),_xlpm.kfi,IF(Roster!$C$6="Shooting",0,INDEX(UNITVS(Roster!$C$13,L$104,"Fighting",_xlpm.tp,"",_xlfn.ANCHORARRAY(Roster!$AX$8)),2)),MIN(1,(_xlpm.ksh+_xlpm.kfi)*_xlpm.sc/MAX(1,$C115))))</f>
        <v/>
      </c>
      <c r="M115" s="88" t="str" cm="1">
        <f t="array" ref="M115">IF(OR($B115="",M$104=""),"",_xlfn.LET(_xlpm.mt,_xlfn.XLOOKUP($B115&amp;" ("&amp;Roster!$C$5&amp;")",_xlfn.CHOOSECOLS(AllTargets,1),AllTargets),_xlpm.tp,_xlfn.HSTACK(_xlfn.CHOOSECOLS(_xlpm.mt,2,3,4,5,6,7),$C115),_xlpm.eds,_xlfn.XLOOKUP(M$104,Roster!$C$36:$C$50,Roster!$L$36:$L$50,0),_xlpm.sc,IF(N(_xlpm.eds)&gt;0,M$105/_xlpm.eds,1),_xlpm.ksh,IF(Roster!$C$6="Fighting",0,INDEX(UNITVS(Roster!$C$13,M$104,"Shooting",_xlpm.tp,"",_xlfn.ANCHORARRAY(Roster!$AX$7)),2)),_xlpm.kfi,IF(Roster!$C$6="Shooting",0,INDEX(UNITVS(Roster!$C$13,M$104,"Fighting",_xlpm.tp,"",_xlfn.ANCHORARRAY(Roster!$AX$8)),2)),MIN(1,(_xlpm.ksh+_xlpm.kfi)*_xlpm.sc/MAX(1,$C115))))</f>
        <v/>
      </c>
      <c r="N115" s="88" t="str" cm="1">
        <f t="array" ref="N115">IF(OR($B115="",N$104=""),"",_xlfn.LET(_xlpm.mt,_xlfn.XLOOKUP($B115&amp;" ("&amp;Roster!$C$5&amp;")",_xlfn.CHOOSECOLS(AllTargets,1),AllTargets),_xlpm.tp,_xlfn.HSTACK(_xlfn.CHOOSECOLS(_xlpm.mt,2,3,4,5,6,7),$C115),_xlpm.eds,_xlfn.XLOOKUP(N$104,Roster!$C$36:$C$50,Roster!$L$36:$L$50,0),_xlpm.sc,IF(N(_xlpm.eds)&gt;0,N$105/_xlpm.eds,1),_xlpm.ksh,IF(Roster!$C$6="Fighting",0,INDEX(UNITVS(Roster!$C$13,N$104,"Shooting",_xlpm.tp,"",_xlfn.ANCHORARRAY(Roster!$AX$7)),2)),_xlpm.kfi,IF(Roster!$C$6="Shooting",0,INDEX(UNITVS(Roster!$C$13,N$104,"Fighting",_xlpm.tp,"",_xlfn.ANCHORARRAY(Roster!$AX$8)),2)),MIN(1,(_xlpm.ksh+_xlpm.kfi)*_xlpm.sc/MAX(1,$C115))))</f>
        <v/>
      </c>
      <c r="O115" s="88" t="str" cm="1">
        <f t="array" ref="O115">IF(OR($B115="",O$104=""),"",_xlfn.LET(_xlpm.mt,_xlfn.XLOOKUP($B115&amp;" ("&amp;Roster!$C$5&amp;")",_xlfn.CHOOSECOLS(AllTargets,1),AllTargets),_xlpm.tp,_xlfn.HSTACK(_xlfn.CHOOSECOLS(_xlpm.mt,2,3,4,5,6,7),$C115),_xlpm.eds,_xlfn.XLOOKUP(O$104,Roster!$C$36:$C$50,Roster!$L$36:$L$50,0),_xlpm.sc,IF(N(_xlpm.eds)&gt;0,O$105/_xlpm.eds,1),_xlpm.ksh,IF(Roster!$C$6="Fighting",0,INDEX(UNITVS(Roster!$C$13,O$104,"Shooting",_xlpm.tp,"",_xlfn.ANCHORARRAY(Roster!$AX$7)),2)),_xlpm.kfi,IF(Roster!$C$6="Shooting",0,INDEX(UNITVS(Roster!$C$13,O$104,"Fighting",_xlpm.tp,"",_xlfn.ANCHORARRAY(Roster!$AX$8)),2)),MIN(1,(_xlpm.ksh+_xlpm.kfi)*_xlpm.sc/MAX(1,$C115))))</f>
        <v/>
      </c>
      <c r="P115" s="88" t="str" cm="1">
        <f t="array" ref="P115">IF(OR($B115="",P$104=""),"",_xlfn.LET(_xlpm.mt,_xlfn.XLOOKUP($B115&amp;" ("&amp;Roster!$C$5&amp;")",_xlfn.CHOOSECOLS(AllTargets,1),AllTargets),_xlpm.tp,_xlfn.HSTACK(_xlfn.CHOOSECOLS(_xlpm.mt,2,3,4,5,6,7),$C115),_xlpm.eds,_xlfn.XLOOKUP(P$104,Roster!$C$36:$C$50,Roster!$L$36:$L$50,0),_xlpm.sc,IF(N(_xlpm.eds)&gt;0,P$105/_xlpm.eds,1),_xlpm.ksh,IF(Roster!$C$6="Fighting",0,INDEX(UNITVS(Roster!$C$13,P$104,"Shooting",_xlpm.tp,"",_xlfn.ANCHORARRAY(Roster!$AX$7)),2)),_xlpm.kfi,IF(Roster!$C$6="Shooting",0,INDEX(UNITVS(Roster!$C$13,P$104,"Fighting",_xlpm.tp,"",_xlfn.ANCHORARRAY(Roster!$AX$8)),2)),MIN(1,(_xlpm.ksh+_xlpm.kfi)*_xlpm.sc/MAX(1,$C115))))</f>
        <v/>
      </c>
      <c r="Q115" s="88" t="str" cm="1">
        <f t="array" ref="Q115">IF(OR($B115="",Q$104=""),"",_xlfn.LET(_xlpm.mt,_xlfn.XLOOKUP($B115&amp;" ("&amp;Roster!$C$5&amp;")",_xlfn.CHOOSECOLS(AllTargets,1),AllTargets),_xlpm.tp,_xlfn.HSTACK(_xlfn.CHOOSECOLS(_xlpm.mt,2,3,4,5,6,7),$C115),_xlpm.eds,_xlfn.XLOOKUP(Q$104,Roster!$C$36:$C$50,Roster!$L$36:$L$50,0),_xlpm.sc,IF(N(_xlpm.eds)&gt;0,Q$105/_xlpm.eds,1),_xlpm.ksh,IF(Roster!$C$6="Fighting",0,INDEX(UNITVS(Roster!$C$13,Q$104,"Shooting",_xlpm.tp,"",_xlfn.ANCHORARRAY(Roster!$AX$7)),2)),_xlpm.kfi,IF(Roster!$C$6="Shooting",0,INDEX(UNITVS(Roster!$C$13,Q$104,"Fighting",_xlpm.tp,"",_xlfn.ANCHORARRAY(Roster!$AX$8)),2)),MIN(1,(_xlpm.ksh+_xlpm.kfi)*_xlpm.sc/MAX(1,$C115))))</f>
        <v/>
      </c>
      <c r="R115" s="88" t="str" cm="1">
        <f t="array" ref="R115">IF(OR($B115="",R$104=""),"",_xlfn.LET(_xlpm.mt,_xlfn.XLOOKUP($B115&amp;" ("&amp;Roster!$C$5&amp;")",_xlfn.CHOOSECOLS(AllTargets,1),AllTargets),_xlpm.tp,_xlfn.HSTACK(_xlfn.CHOOSECOLS(_xlpm.mt,2,3,4,5,6,7),$C115),_xlpm.eds,_xlfn.XLOOKUP(R$104,Roster!$C$36:$C$50,Roster!$L$36:$L$50,0),_xlpm.sc,IF(N(_xlpm.eds)&gt;0,R$105/_xlpm.eds,1),_xlpm.ksh,IF(Roster!$C$6="Fighting",0,INDEX(UNITVS(Roster!$C$13,R$104,"Shooting",_xlpm.tp,"",_xlfn.ANCHORARRAY(Roster!$AX$7)),2)),_xlpm.kfi,IF(Roster!$C$6="Shooting",0,INDEX(UNITVS(Roster!$C$13,R$104,"Fighting",_xlpm.tp,"",_xlfn.ANCHORARRAY(Roster!$AX$8)),2)),MIN(1,(_xlpm.ksh+_xlpm.kfi)*_xlpm.sc/MAX(1,$C115))))</f>
        <v/>
      </c>
      <c r="S115" s="88" t="str">
        <f t="shared" si="25"/>
        <v/>
      </c>
    </row>
    <row r="116" spans="1:19" x14ac:dyDescent="0.25">
      <c r="A116" s="82">
        <v>11</v>
      </c>
      <c r="B116" t="str">
        <f t="shared" ref="B116:C116" si="34">B29</f>
        <v/>
      </c>
      <c r="C116" s="6" t="str">
        <f t="shared" si="34"/>
        <v/>
      </c>
      <c r="D116" s="88" t="str" cm="1">
        <f t="array" ref="D116">IF(OR($B116="",D$104=""),"",_xlfn.LET(_xlpm.mt,_xlfn.XLOOKUP($B116&amp;" ("&amp;Roster!$C$5&amp;")",_xlfn.CHOOSECOLS(AllTargets,1),AllTargets),_xlpm.tp,_xlfn.HSTACK(_xlfn.CHOOSECOLS(_xlpm.mt,2,3,4,5,6,7),$C116),_xlpm.eds,_xlfn.XLOOKUP(D$104,Roster!$C$36:$C$50,Roster!$L$36:$L$50,0),_xlpm.sc,IF(N(_xlpm.eds)&gt;0,D$105/_xlpm.eds,1),_xlpm.ksh,IF(Roster!$C$6="Fighting",0,INDEX(UNITVS(Roster!$C$13,D$104,"Shooting",_xlpm.tp,"",_xlfn.ANCHORARRAY(Roster!$AX$7)),2)),_xlpm.kfi,IF(Roster!$C$6="Shooting",0,INDEX(UNITVS(Roster!$C$13,D$104,"Fighting",_xlpm.tp,"",_xlfn.ANCHORARRAY(Roster!$AX$8)),2)),MIN(1,(_xlpm.ksh+_xlpm.kfi)*_xlpm.sc/MAX(1,$C116))))</f>
        <v/>
      </c>
      <c r="E116" s="88" t="str" cm="1">
        <f t="array" ref="E116">IF(OR($B116="",E$104=""),"",_xlfn.LET(_xlpm.mt,_xlfn.XLOOKUP($B116&amp;" ("&amp;Roster!$C$5&amp;")",_xlfn.CHOOSECOLS(AllTargets,1),AllTargets),_xlpm.tp,_xlfn.HSTACK(_xlfn.CHOOSECOLS(_xlpm.mt,2,3,4,5,6,7),$C116),_xlpm.eds,_xlfn.XLOOKUP(E$104,Roster!$C$36:$C$50,Roster!$L$36:$L$50,0),_xlpm.sc,IF(N(_xlpm.eds)&gt;0,E$105/_xlpm.eds,1),_xlpm.ksh,IF(Roster!$C$6="Fighting",0,INDEX(UNITVS(Roster!$C$13,E$104,"Shooting",_xlpm.tp,"",_xlfn.ANCHORARRAY(Roster!$AX$7)),2)),_xlpm.kfi,IF(Roster!$C$6="Shooting",0,INDEX(UNITVS(Roster!$C$13,E$104,"Fighting",_xlpm.tp,"",_xlfn.ANCHORARRAY(Roster!$AX$8)),2)),MIN(1,(_xlpm.ksh+_xlpm.kfi)*_xlpm.sc/MAX(1,$C116))))</f>
        <v/>
      </c>
      <c r="F116" s="88" t="str" cm="1">
        <f t="array" ref="F116">IF(OR($B116="",F$104=""),"",_xlfn.LET(_xlpm.mt,_xlfn.XLOOKUP($B116&amp;" ("&amp;Roster!$C$5&amp;")",_xlfn.CHOOSECOLS(AllTargets,1),AllTargets),_xlpm.tp,_xlfn.HSTACK(_xlfn.CHOOSECOLS(_xlpm.mt,2,3,4,5,6,7),$C116),_xlpm.eds,_xlfn.XLOOKUP(F$104,Roster!$C$36:$C$50,Roster!$L$36:$L$50,0),_xlpm.sc,IF(N(_xlpm.eds)&gt;0,F$105/_xlpm.eds,1),_xlpm.ksh,IF(Roster!$C$6="Fighting",0,INDEX(UNITVS(Roster!$C$13,F$104,"Shooting",_xlpm.tp,"",_xlfn.ANCHORARRAY(Roster!$AX$7)),2)),_xlpm.kfi,IF(Roster!$C$6="Shooting",0,INDEX(UNITVS(Roster!$C$13,F$104,"Fighting",_xlpm.tp,"",_xlfn.ANCHORARRAY(Roster!$AX$8)),2)),MIN(1,(_xlpm.ksh+_xlpm.kfi)*_xlpm.sc/MAX(1,$C116))))</f>
        <v/>
      </c>
      <c r="G116" s="88" t="str" cm="1">
        <f t="array" ref="G116">IF(OR($B116="",G$104=""),"",_xlfn.LET(_xlpm.mt,_xlfn.XLOOKUP($B116&amp;" ("&amp;Roster!$C$5&amp;")",_xlfn.CHOOSECOLS(AllTargets,1),AllTargets),_xlpm.tp,_xlfn.HSTACK(_xlfn.CHOOSECOLS(_xlpm.mt,2,3,4,5,6,7),$C116),_xlpm.eds,_xlfn.XLOOKUP(G$104,Roster!$C$36:$C$50,Roster!$L$36:$L$50,0),_xlpm.sc,IF(N(_xlpm.eds)&gt;0,G$105/_xlpm.eds,1),_xlpm.ksh,IF(Roster!$C$6="Fighting",0,INDEX(UNITVS(Roster!$C$13,G$104,"Shooting",_xlpm.tp,"",_xlfn.ANCHORARRAY(Roster!$AX$7)),2)),_xlpm.kfi,IF(Roster!$C$6="Shooting",0,INDEX(UNITVS(Roster!$C$13,G$104,"Fighting",_xlpm.tp,"",_xlfn.ANCHORARRAY(Roster!$AX$8)),2)),MIN(1,(_xlpm.ksh+_xlpm.kfi)*_xlpm.sc/MAX(1,$C116))))</f>
        <v/>
      </c>
      <c r="H116" s="88" t="str" cm="1">
        <f t="array" ref="H116">IF(OR($B116="",H$104=""),"",_xlfn.LET(_xlpm.mt,_xlfn.XLOOKUP($B116&amp;" ("&amp;Roster!$C$5&amp;")",_xlfn.CHOOSECOLS(AllTargets,1),AllTargets),_xlpm.tp,_xlfn.HSTACK(_xlfn.CHOOSECOLS(_xlpm.mt,2,3,4,5,6,7),$C116),_xlpm.eds,_xlfn.XLOOKUP(H$104,Roster!$C$36:$C$50,Roster!$L$36:$L$50,0),_xlpm.sc,IF(N(_xlpm.eds)&gt;0,H$105/_xlpm.eds,1),_xlpm.ksh,IF(Roster!$C$6="Fighting",0,INDEX(UNITVS(Roster!$C$13,H$104,"Shooting",_xlpm.tp,"",_xlfn.ANCHORARRAY(Roster!$AX$7)),2)),_xlpm.kfi,IF(Roster!$C$6="Shooting",0,INDEX(UNITVS(Roster!$C$13,H$104,"Fighting",_xlpm.tp,"",_xlfn.ANCHORARRAY(Roster!$AX$8)),2)),MIN(1,(_xlpm.ksh+_xlpm.kfi)*_xlpm.sc/MAX(1,$C116))))</f>
        <v/>
      </c>
      <c r="I116" s="88" t="str" cm="1">
        <f t="array" ref="I116">IF(OR($B116="",I$104=""),"",_xlfn.LET(_xlpm.mt,_xlfn.XLOOKUP($B116&amp;" ("&amp;Roster!$C$5&amp;")",_xlfn.CHOOSECOLS(AllTargets,1),AllTargets),_xlpm.tp,_xlfn.HSTACK(_xlfn.CHOOSECOLS(_xlpm.mt,2,3,4,5,6,7),$C116),_xlpm.eds,_xlfn.XLOOKUP(I$104,Roster!$C$36:$C$50,Roster!$L$36:$L$50,0),_xlpm.sc,IF(N(_xlpm.eds)&gt;0,I$105/_xlpm.eds,1),_xlpm.ksh,IF(Roster!$C$6="Fighting",0,INDEX(UNITVS(Roster!$C$13,I$104,"Shooting",_xlpm.tp,"",_xlfn.ANCHORARRAY(Roster!$AX$7)),2)),_xlpm.kfi,IF(Roster!$C$6="Shooting",0,INDEX(UNITVS(Roster!$C$13,I$104,"Fighting",_xlpm.tp,"",_xlfn.ANCHORARRAY(Roster!$AX$8)),2)),MIN(1,(_xlpm.ksh+_xlpm.kfi)*_xlpm.sc/MAX(1,$C116))))</f>
        <v/>
      </c>
      <c r="J116" s="88" t="str" cm="1">
        <f t="array" ref="J116">IF(OR($B116="",J$104=""),"",_xlfn.LET(_xlpm.mt,_xlfn.XLOOKUP($B116&amp;" ("&amp;Roster!$C$5&amp;")",_xlfn.CHOOSECOLS(AllTargets,1),AllTargets),_xlpm.tp,_xlfn.HSTACK(_xlfn.CHOOSECOLS(_xlpm.mt,2,3,4,5,6,7),$C116),_xlpm.eds,_xlfn.XLOOKUP(J$104,Roster!$C$36:$C$50,Roster!$L$36:$L$50,0),_xlpm.sc,IF(N(_xlpm.eds)&gt;0,J$105/_xlpm.eds,1),_xlpm.ksh,IF(Roster!$C$6="Fighting",0,INDEX(UNITVS(Roster!$C$13,J$104,"Shooting",_xlpm.tp,"",_xlfn.ANCHORARRAY(Roster!$AX$7)),2)),_xlpm.kfi,IF(Roster!$C$6="Shooting",0,INDEX(UNITVS(Roster!$C$13,J$104,"Fighting",_xlpm.tp,"",_xlfn.ANCHORARRAY(Roster!$AX$8)),2)),MIN(1,(_xlpm.ksh+_xlpm.kfi)*_xlpm.sc/MAX(1,$C116))))</f>
        <v/>
      </c>
      <c r="K116" s="88" t="str" cm="1">
        <f t="array" ref="K116">IF(OR($B116="",K$104=""),"",_xlfn.LET(_xlpm.mt,_xlfn.XLOOKUP($B116&amp;" ("&amp;Roster!$C$5&amp;")",_xlfn.CHOOSECOLS(AllTargets,1),AllTargets),_xlpm.tp,_xlfn.HSTACK(_xlfn.CHOOSECOLS(_xlpm.mt,2,3,4,5,6,7),$C116),_xlpm.eds,_xlfn.XLOOKUP(K$104,Roster!$C$36:$C$50,Roster!$L$36:$L$50,0),_xlpm.sc,IF(N(_xlpm.eds)&gt;0,K$105/_xlpm.eds,1),_xlpm.ksh,IF(Roster!$C$6="Fighting",0,INDEX(UNITVS(Roster!$C$13,K$104,"Shooting",_xlpm.tp,"",_xlfn.ANCHORARRAY(Roster!$AX$7)),2)),_xlpm.kfi,IF(Roster!$C$6="Shooting",0,INDEX(UNITVS(Roster!$C$13,K$104,"Fighting",_xlpm.tp,"",_xlfn.ANCHORARRAY(Roster!$AX$8)),2)),MIN(1,(_xlpm.ksh+_xlpm.kfi)*_xlpm.sc/MAX(1,$C116))))</f>
        <v/>
      </c>
      <c r="L116" s="88" t="str" cm="1">
        <f t="array" ref="L116">IF(OR($B116="",L$104=""),"",_xlfn.LET(_xlpm.mt,_xlfn.XLOOKUP($B116&amp;" ("&amp;Roster!$C$5&amp;")",_xlfn.CHOOSECOLS(AllTargets,1),AllTargets),_xlpm.tp,_xlfn.HSTACK(_xlfn.CHOOSECOLS(_xlpm.mt,2,3,4,5,6,7),$C116),_xlpm.eds,_xlfn.XLOOKUP(L$104,Roster!$C$36:$C$50,Roster!$L$36:$L$50,0),_xlpm.sc,IF(N(_xlpm.eds)&gt;0,L$105/_xlpm.eds,1),_xlpm.ksh,IF(Roster!$C$6="Fighting",0,INDEX(UNITVS(Roster!$C$13,L$104,"Shooting",_xlpm.tp,"",_xlfn.ANCHORARRAY(Roster!$AX$7)),2)),_xlpm.kfi,IF(Roster!$C$6="Shooting",0,INDEX(UNITVS(Roster!$C$13,L$104,"Fighting",_xlpm.tp,"",_xlfn.ANCHORARRAY(Roster!$AX$8)),2)),MIN(1,(_xlpm.ksh+_xlpm.kfi)*_xlpm.sc/MAX(1,$C116))))</f>
        <v/>
      </c>
      <c r="M116" s="88" t="str" cm="1">
        <f t="array" ref="M116">IF(OR($B116="",M$104=""),"",_xlfn.LET(_xlpm.mt,_xlfn.XLOOKUP($B116&amp;" ("&amp;Roster!$C$5&amp;")",_xlfn.CHOOSECOLS(AllTargets,1),AllTargets),_xlpm.tp,_xlfn.HSTACK(_xlfn.CHOOSECOLS(_xlpm.mt,2,3,4,5,6,7),$C116),_xlpm.eds,_xlfn.XLOOKUP(M$104,Roster!$C$36:$C$50,Roster!$L$36:$L$50,0),_xlpm.sc,IF(N(_xlpm.eds)&gt;0,M$105/_xlpm.eds,1),_xlpm.ksh,IF(Roster!$C$6="Fighting",0,INDEX(UNITVS(Roster!$C$13,M$104,"Shooting",_xlpm.tp,"",_xlfn.ANCHORARRAY(Roster!$AX$7)),2)),_xlpm.kfi,IF(Roster!$C$6="Shooting",0,INDEX(UNITVS(Roster!$C$13,M$104,"Fighting",_xlpm.tp,"",_xlfn.ANCHORARRAY(Roster!$AX$8)),2)),MIN(1,(_xlpm.ksh+_xlpm.kfi)*_xlpm.sc/MAX(1,$C116))))</f>
        <v/>
      </c>
      <c r="N116" s="88" t="str" cm="1">
        <f t="array" ref="N116">IF(OR($B116="",N$104=""),"",_xlfn.LET(_xlpm.mt,_xlfn.XLOOKUP($B116&amp;" ("&amp;Roster!$C$5&amp;")",_xlfn.CHOOSECOLS(AllTargets,1),AllTargets),_xlpm.tp,_xlfn.HSTACK(_xlfn.CHOOSECOLS(_xlpm.mt,2,3,4,5,6,7),$C116),_xlpm.eds,_xlfn.XLOOKUP(N$104,Roster!$C$36:$C$50,Roster!$L$36:$L$50,0),_xlpm.sc,IF(N(_xlpm.eds)&gt;0,N$105/_xlpm.eds,1),_xlpm.ksh,IF(Roster!$C$6="Fighting",0,INDEX(UNITVS(Roster!$C$13,N$104,"Shooting",_xlpm.tp,"",_xlfn.ANCHORARRAY(Roster!$AX$7)),2)),_xlpm.kfi,IF(Roster!$C$6="Shooting",0,INDEX(UNITVS(Roster!$C$13,N$104,"Fighting",_xlpm.tp,"",_xlfn.ANCHORARRAY(Roster!$AX$8)),2)),MIN(1,(_xlpm.ksh+_xlpm.kfi)*_xlpm.sc/MAX(1,$C116))))</f>
        <v/>
      </c>
      <c r="O116" s="88" t="str" cm="1">
        <f t="array" ref="O116">IF(OR($B116="",O$104=""),"",_xlfn.LET(_xlpm.mt,_xlfn.XLOOKUP($B116&amp;" ("&amp;Roster!$C$5&amp;")",_xlfn.CHOOSECOLS(AllTargets,1),AllTargets),_xlpm.tp,_xlfn.HSTACK(_xlfn.CHOOSECOLS(_xlpm.mt,2,3,4,5,6,7),$C116),_xlpm.eds,_xlfn.XLOOKUP(O$104,Roster!$C$36:$C$50,Roster!$L$36:$L$50,0),_xlpm.sc,IF(N(_xlpm.eds)&gt;0,O$105/_xlpm.eds,1),_xlpm.ksh,IF(Roster!$C$6="Fighting",0,INDEX(UNITVS(Roster!$C$13,O$104,"Shooting",_xlpm.tp,"",_xlfn.ANCHORARRAY(Roster!$AX$7)),2)),_xlpm.kfi,IF(Roster!$C$6="Shooting",0,INDEX(UNITVS(Roster!$C$13,O$104,"Fighting",_xlpm.tp,"",_xlfn.ANCHORARRAY(Roster!$AX$8)),2)),MIN(1,(_xlpm.ksh+_xlpm.kfi)*_xlpm.sc/MAX(1,$C116))))</f>
        <v/>
      </c>
      <c r="P116" s="88" t="str" cm="1">
        <f t="array" ref="P116">IF(OR($B116="",P$104=""),"",_xlfn.LET(_xlpm.mt,_xlfn.XLOOKUP($B116&amp;" ("&amp;Roster!$C$5&amp;")",_xlfn.CHOOSECOLS(AllTargets,1),AllTargets),_xlpm.tp,_xlfn.HSTACK(_xlfn.CHOOSECOLS(_xlpm.mt,2,3,4,5,6,7),$C116),_xlpm.eds,_xlfn.XLOOKUP(P$104,Roster!$C$36:$C$50,Roster!$L$36:$L$50,0),_xlpm.sc,IF(N(_xlpm.eds)&gt;0,P$105/_xlpm.eds,1),_xlpm.ksh,IF(Roster!$C$6="Fighting",0,INDEX(UNITVS(Roster!$C$13,P$104,"Shooting",_xlpm.tp,"",_xlfn.ANCHORARRAY(Roster!$AX$7)),2)),_xlpm.kfi,IF(Roster!$C$6="Shooting",0,INDEX(UNITVS(Roster!$C$13,P$104,"Fighting",_xlpm.tp,"",_xlfn.ANCHORARRAY(Roster!$AX$8)),2)),MIN(1,(_xlpm.ksh+_xlpm.kfi)*_xlpm.sc/MAX(1,$C116))))</f>
        <v/>
      </c>
      <c r="Q116" s="88" t="str" cm="1">
        <f t="array" ref="Q116">IF(OR($B116="",Q$104=""),"",_xlfn.LET(_xlpm.mt,_xlfn.XLOOKUP($B116&amp;" ("&amp;Roster!$C$5&amp;")",_xlfn.CHOOSECOLS(AllTargets,1),AllTargets),_xlpm.tp,_xlfn.HSTACK(_xlfn.CHOOSECOLS(_xlpm.mt,2,3,4,5,6,7),$C116),_xlpm.eds,_xlfn.XLOOKUP(Q$104,Roster!$C$36:$C$50,Roster!$L$36:$L$50,0),_xlpm.sc,IF(N(_xlpm.eds)&gt;0,Q$105/_xlpm.eds,1),_xlpm.ksh,IF(Roster!$C$6="Fighting",0,INDEX(UNITVS(Roster!$C$13,Q$104,"Shooting",_xlpm.tp,"",_xlfn.ANCHORARRAY(Roster!$AX$7)),2)),_xlpm.kfi,IF(Roster!$C$6="Shooting",0,INDEX(UNITVS(Roster!$C$13,Q$104,"Fighting",_xlpm.tp,"",_xlfn.ANCHORARRAY(Roster!$AX$8)),2)),MIN(1,(_xlpm.ksh+_xlpm.kfi)*_xlpm.sc/MAX(1,$C116))))</f>
        <v/>
      </c>
      <c r="R116" s="88" t="str" cm="1">
        <f t="array" ref="R116">IF(OR($B116="",R$104=""),"",_xlfn.LET(_xlpm.mt,_xlfn.XLOOKUP($B116&amp;" ("&amp;Roster!$C$5&amp;")",_xlfn.CHOOSECOLS(AllTargets,1),AllTargets),_xlpm.tp,_xlfn.HSTACK(_xlfn.CHOOSECOLS(_xlpm.mt,2,3,4,5,6,7),$C116),_xlpm.eds,_xlfn.XLOOKUP(R$104,Roster!$C$36:$C$50,Roster!$L$36:$L$50,0),_xlpm.sc,IF(N(_xlpm.eds)&gt;0,R$105/_xlpm.eds,1),_xlpm.ksh,IF(Roster!$C$6="Fighting",0,INDEX(UNITVS(Roster!$C$13,R$104,"Shooting",_xlpm.tp,"",_xlfn.ANCHORARRAY(Roster!$AX$7)),2)),_xlpm.kfi,IF(Roster!$C$6="Shooting",0,INDEX(UNITVS(Roster!$C$13,R$104,"Fighting",_xlpm.tp,"",_xlfn.ANCHORARRAY(Roster!$AX$8)),2)),MIN(1,(_xlpm.ksh+_xlpm.kfi)*_xlpm.sc/MAX(1,$C116))))</f>
        <v/>
      </c>
      <c r="S116" s="88" t="str">
        <f t="shared" si="25"/>
        <v/>
      </c>
    </row>
    <row r="117" spans="1:19" x14ac:dyDescent="0.25">
      <c r="A117" s="82">
        <v>12</v>
      </c>
      <c r="B117" t="str">
        <f t="shared" ref="B117:C117" si="35">B30</f>
        <v/>
      </c>
      <c r="C117" s="6" t="str">
        <f t="shared" si="35"/>
        <v/>
      </c>
      <c r="D117" s="88" t="str" cm="1">
        <f t="array" ref="D117">IF(OR($B117="",D$104=""),"",_xlfn.LET(_xlpm.mt,_xlfn.XLOOKUP($B117&amp;" ("&amp;Roster!$C$5&amp;")",_xlfn.CHOOSECOLS(AllTargets,1),AllTargets),_xlpm.tp,_xlfn.HSTACK(_xlfn.CHOOSECOLS(_xlpm.mt,2,3,4,5,6,7),$C117),_xlpm.eds,_xlfn.XLOOKUP(D$104,Roster!$C$36:$C$50,Roster!$L$36:$L$50,0),_xlpm.sc,IF(N(_xlpm.eds)&gt;0,D$105/_xlpm.eds,1),_xlpm.ksh,IF(Roster!$C$6="Fighting",0,INDEX(UNITVS(Roster!$C$13,D$104,"Shooting",_xlpm.tp,"",_xlfn.ANCHORARRAY(Roster!$AX$7)),2)),_xlpm.kfi,IF(Roster!$C$6="Shooting",0,INDEX(UNITVS(Roster!$C$13,D$104,"Fighting",_xlpm.tp,"",_xlfn.ANCHORARRAY(Roster!$AX$8)),2)),MIN(1,(_xlpm.ksh+_xlpm.kfi)*_xlpm.sc/MAX(1,$C117))))</f>
        <v/>
      </c>
      <c r="E117" s="88" t="str" cm="1">
        <f t="array" ref="E117">IF(OR($B117="",E$104=""),"",_xlfn.LET(_xlpm.mt,_xlfn.XLOOKUP($B117&amp;" ("&amp;Roster!$C$5&amp;")",_xlfn.CHOOSECOLS(AllTargets,1),AllTargets),_xlpm.tp,_xlfn.HSTACK(_xlfn.CHOOSECOLS(_xlpm.mt,2,3,4,5,6,7),$C117),_xlpm.eds,_xlfn.XLOOKUP(E$104,Roster!$C$36:$C$50,Roster!$L$36:$L$50,0),_xlpm.sc,IF(N(_xlpm.eds)&gt;0,E$105/_xlpm.eds,1),_xlpm.ksh,IF(Roster!$C$6="Fighting",0,INDEX(UNITVS(Roster!$C$13,E$104,"Shooting",_xlpm.tp,"",_xlfn.ANCHORARRAY(Roster!$AX$7)),2)),_xlpm.kfi,IF(Roster!$C$6="Shooting",0,INDEX(UNITVS(Roster!$C$13,E$104,"Fighting",_xlpm.tp,"",_xlfn.ANCHORARRAY(Roster!$AX$8)),2)),MIN(1,(_xlpm.ksh+_xlpm.kfi)*_xlpm.sc/MAX(1,$C117))))</f>
        <v/>
      </c>
      <c r="F117" s="88" t="str" cm="1">
        <f t="array" ref="F117">IF(OR($B117="",F$104=""),"",_xlfn.LET(_xlpm.mt,_xlfn.XLOOKUP($B117&amp;" ("&amp;Roster!$C$5&amp;")",_xlfn.CHOOSECOLS(AllTargets,1),AllTargets),_xlpm.tp,_xlfn.HSTACK(_xlfn.CHOOSECOLS(_xlpm.mt,2,3,4,5,6,7),$C117),_xlpm.eds,_xlfn.XLOOKUP(F$104,Roster!$C$36:$C$50,Roster!$L$36:$L$50,0),_xlpm.sc,IF(N(_xlpm.eds)&gt;0,F$105/_xlpm.eds,1),_xlpm.ksh,IF(Roster!$C$6="Fighting",0,INDEX(UNITVS(Roster!$C$13,F$104,"Shooting",_xlpm.tp,"",_xlfn.ANCHORARRAY(Roster!$AX$7)),2)),_xlpm.kfi,IF(Roster!$C$6="Shooting",0,INDEX(UNITVS(Roster!$C$13,F$104,"Fighting",_xlpm.tp,"",_xlfn.ANCHORARRAY(Roster!$AX$8)),2)),MIN(1,(_xlpm.ksh+_xlpm.kfi)*_xlpm.sc/MAX(1,$C117))))</f>
        <v/>
      </c>
      <c r="G117" s="88" t="str" cm="1">
        <f t="array" ref="G117">IF(OR($B117="",G$104=""),"",_xlfn.LET(_xlpm.mt,_xlfn.XLOOKUP($B117&amp;" ("&amp;Roster!$C$5&amp;")",_xlfn.CHOOSECOLS(AllTargets,1),AllTargets),_xlpm.tp,_xlfn.HSTACK(_xlfn.CHOOSECOLS(_xlpm.mt,2,3,4,5,6,7),$C117),_xlpm.eds,_xlfn.XLOOKUP(G$104,Roster!$C$36:$C$50,Roster!$L$36:$L$50,0),_xlpm.sc,IF(N(_xlpm.eds)&gt;0,G$105/_xlpm.eds,1),_xlpm.ksh,IF(Roster!$C$6="Fighting",0,INDEX(UNITVS(Roster!$C$13,G$104,"Shooting",_xlpm.tp,"",_xlfn.ANCHORARRAY(Roster!$AX$7)),2)),_xlpm.kfi,IF(Roster!$C$6="Shooting",0,INDEX(UNITVS(Roster!$C$13,G$104,"Fighting",_xlpm.tp,"",_xlfn.ANCHORARRAY(Roster!$AX$8)),2)),MIN(1,(_xlpm.ksh+_xlpm.kfi)*_xlpm.sc/MAX(1,$C117))))</f>
        <v/>
      </c>
      <c r="H117" s="88" t="str" cm="1">
        <f t="array" ref="H117">IF(OR($B117="",H$104=""),"",_xlfn.LET(_xlpm.mt,_xlfn.XLOOKUP($B117&amp;" ("&amp;Roster!$C$5&amp;")",_xlfn.CHOOSECOLS(AllTargets,1),AllTargets),_xlpm.tp,_xlfn.HSTACK(_xlfn.CHOOSECOLS(_xlpm.mt,2,3,4,5,6,7),$C117),_xlpm.eds,_xlfn.XLOOKUP(H$104,Roster!$C$36:$C$50,Roster!$L$36:$L$50,0),_xlpm.sc,IF(N(_xlpm.eds)&gt;0,H$105/_xlpm.eds,1),_xlpm.ksh,IF(Roster!$C$6="Fighting",0,INDEX(UNITVS(Roster!$C$13,H$104,"Shooting",_xlpm.tp,"",_xlfn.ANCHORARRAY(Roster!$AX$7)),2)),_xlpm.kfi,IF(Roster!$C$6="Shooting",0,INDEX(UNITVS(Roster!$C$13,H$104,"Fighting",_xlpm.tp,"",_xlfn.ANCHORARRAY(Roster!$AX$8)),2)),MIN(1,(_xlpm.ksh+_xlpm.kfi)*_xlpm.sc/MAX(1,$C117))))</f>
        <v/>
      </c>
      <c r="I117" s="88" t="str" cm="1">
        <f t="array" ref="I117">IF(OR($B117="",I$104=""),"",_xlfn.LET(_xlpm.mt,_xlfn.XLOOKUP($B117&amp;" ("&amp;Roster!$C$5&amp;")",_xlfn.CHOOSECOLS(AllTargets,1),AllTargets),_xlpm.tp,_xlfn.HSTACK(_xlfn.CHOOSECOLS(_xlpm.mt,2,3,4,5,6,7),$C117),_xlpm.eds,_xlfn.XLOOKUP(I$104,Roster!$C$36:$C$50,Roster!$L$36:$L$50,0),_xlpm.sc,IF(N(_xlpm.eds)&gt;0,I$105/_xlpm.eds,1),_xlpm.ksh,IF(Roster!$C$6="Fighting",0,INDEX(UNITVS(Roster!$C$13,I$104,"Shooting",_xlpm.tp,"",_xlfn.ANCHORARRAY(Roster!$AX$7)),2)),_xlpm.kfi,IF(Roster!$C$6="Shooting",0,INDEX(UNITVS(Roster!$C$13,I$104,"Fighting",_xlpm.tp,"",_xlfn.ANCHORARRAY(Roster!$AX$8)),2)),MIN(1,(_xlpm.ksh+_xlpm.kfi)*_xlpm.sc/MAX(1,$C117))))</f>
        <v/>
      </c>
      <c r="J117" s="88" t="str" cm="1">
        <f t="array" ref="J117">IF(OR($B117="",J$104=""),"",_xlfn.LET(_xlpm.mt,_xlfn.XLOOKUP($B117&amp;" ("&amp;Roster!$C$5&amp;")",_xlfn.CHOOSECOLS(AllTargets,1),AllTargets),_xlpm.tp,_xlfn.HSTACK(_xlfn.CHOOSECOLS(_xlpm.mt,2,3,4,5,6,7),$C117),_xlpm.eds,_xlfn.XLOOKUP(J$104,Roster!$C$36:$C$50,Roster!$L$36:$L$50,0),_xlpm.sc,IF(N(_xlpm.eds)&gt;0,J$105/_xlpm.eds,1),_xlpm.ksh,IF(Roster!$C$6="Fighting",0,INDEX(UNITVS(Roster!$C$13,J$104,"Shooting",_xlpm.tp,"",_xlfn.ANCHORARRAY(Roster!$AX$7)),2)),_xlpm.kfi,IF(Roster!$C$6="Shooting",0,INDEX(UNITVS(Roster!$C$13,J$104,"Fighting",_xlpm.tp,"",_xlfn.ANCHORARRAY(Roster!$AX$8)),2)),MIN(1,(_xlpm.ksh+_xlpm.kfi)*_xlpm.sc/MAX(1,$C117))))</f>
        <v/>
      </c>
      <c r="K117" s="88" t="str" cm="1">
        <f t="array" ref="K117">IF(OR($B117="",K$104=""),"",_xlfn.LET(_xlpm.mt,_xlfn.XLOOKUP($B117&amp;" ("&amp;Roster!$C$5&amp;")",_xlfn.CHOOSECOLS(AllTargets,1),AllTargets),_xlpm.tp,_xlfn.HSTACK(_xlfn.CHOOSECOLS(_xlpm.mt,2,3,4,5,6,7),$C117),_xlpm.eds,_xlfn.XLOOKUP(K$104,Roster!$C$36:$C$50,Roster!$L$36:$L$50,0),_xlpm.sc,IF(N(_xlpm.eds)&gt;0,K$105/_xlpm.eds,1),_xlpm.ksh,IF(Roster!$C$6="Fighting",0,INDEX(UNITVS(Roster!$C$13,K$104,"Shooting",_xlpm.tp,"",_xlfn.ANCHORARRAY(Roster!$AX$7)),2)),_xlpm.kfi,IF(Roster!$C$6="Shooting",0,INDEX(UNITVS(Roster!$C$13,K$104,"Fighting",_xlpm.tp,"",_xlfn.ANCHORARRAY(Roster!$AX$8)),2)),MIN(1,(_xlpm.ksh+_xlpm.kfi)*_xlpm.sc/MAX(1,$C117))))</f>
        <v/>
      </c>
      <c r="L117" s="88" t="str" cm="1">
        <f t="array" ref="L117">IF(OR($B117="",L$104=""),"",_xlfn.LET(_xlpm.mt,_xlfn.XLOOKUP($B117&amp;" ("&amp;Roster!$C$5&amp;")",_xlfn.CHOOSECOLS(AllTargets,1),AllTargets),_xlpm.tp,_xlfn.HSTACK(_xlfn.CHOOSECOLS(_xlpm.mt,2,3,4,5,6,7),$C117),_xlpm.eds,_xlfn.XLOOKUP(L$104,Roster!$C$36:$C$50,Roster!$L$36:$L$50,0),_xlpm.sc,IF(N(_xlpm.eds)&gt;0,L$105/_xlpm.eds,1),_xlpm.ksh,IF(Roster!$C$6="Fighting",0,INDEX(UNITVS(Roster!$C$13,L$104,"Shooting",_xlpm.tp,"",_xlfn.ANCHORARRAY(Roster!$AX$7)),2)),_xlpm.kfi,IF(Roster!$C$6="Shooting",0,INDEX(UNITVS(Roster!$C$13,L$104,"Fighting",_xlpm.tp,"",_xlfn.ANCHORARRAY(Roster!$AX$8)),2)),MIN(1,(_xlpm.ksh+_xlpm.kfi)*_xlpm.sc/MAX(1,$C117))))</f>
        <v/>
      </c>
      <c r="M117" s="88" t="str" cm="1">
        <f t="array" ref="M117">IF(OR($B117="",M$104=""),"",_xlfn.LET(_xlpm.mt,_xlfn.XLOOKUP($B117&amp;" ("&amp;Roster!$C$5&amp;")",_xlfn.CHOOSECOLS(AllTargets,1),AllTargets),_xlpm.tp,_xlfn.HSTACK(_xlfn.CHOOSECOLS(_xlpm.mt,2,3,4,5,6,7),$C117),_xlpm.eds,_xlfn.XLOOKUP(M$104,Roster!$C$36:$C$50,Roster!$L$36:$L$50,0),_xlpm.sc,IF(N(_xlpm.eds)&gt;0,M$105/_xlpm.eds,1),_xlpm.ksh,IF(Roster!$C$6="Fighting",0,INDEX(UNITVS(Roster!$C$13,M$104,"Shooting",_xlpm.tp,"",_xlfn.ANCHORARRAY(Roster!$AX$7)),2)),_xlpm.kfi,IF(Roster!$C$6="Shooting",0,INDEX(UNITVS(Roster!$C$13,M$104,"Fighting",_xlpm.tp,"",_xlfn.ANCHORARRAY(Roster!$AX$8)),2)),MIN(1,(_xlpm.ksh+_xlpm.kfi)*_xlpm.sc/MAX(1,$C117))))</f>
        <v/>
      </c>
      <c r="N117" s="88" t="str" cm="1">
        <f t="array" ref="N117">IF(OR($B117="",N$104=""),"",_xlfn.LET(_xlpm.mt,_xlfn.XLOOKUP($B117&amp;" ("&amp;Roster!$C$5&amp;")",_xlfn.CHOOSECOLS(AllTargets,1),AllTargets),_xlpm.tp,_xlfn.HSTACK(_xlfn.CHOOSECOLS(_xlpm.mt,2,3,4,5,6,7),$C117),_xlpm.eds,_xlfn.XLOOKUP(N$104,Roster!$C$36:$C$50,Roster!$L$36:$L$50,0),_xlpm.sc,IF(N(_xlpm.eds)&gt;0,N$105/_xlpm.eds,1),_xlpm.ksh,IF(Roster!$C$6="Fighting",0,INDEX(UNITVS(Roster!$C$13,N$104,"Shooting",_xlpm.tp,"",_xlfn.ANCHORARRAY(Roster!$AX$7)),2)),_xlpm.kfi,IF(Roster!$C$6="Shooting",0,INDEX(UNITVS(Roster!$C$13,N$104,"Fighting",_xlpm.tp,"",_xlfn.ANCHORARRAY(Roster!$AX$8)),2)),MIN(1,(_xlpm.ksh+_xlpm.kfi)*_xlpm.sc/MAX(1,$C117))))</f>
        <v/>
      </c>
      <c r="O117" s="88" t="str" cm="1">
        <f t="array" ref="O117">IF(OR($B117="",O$104=""),"",_xlfn.LET(_xlpm.mt,_xlfn.XLOOKUP($B117&amp;" ("&amp;Roster!$C$5&amp;")",_xlfn.CHOOSECOLS(AllTargets,1),AllTargets),_xlpm.tp,_xlfn.HSTACK(_xlfn.CHOOSECOLS(_xlpm.mt,2,3,4,5,6,7),$C117),_xlpm.eds,_xlfn.XLOOKUP(O$104,Roster!$C$36:$C$50,Roster!$L$36:$L$50,0),_xlpm.sc,IF(N(_xlpm.eds)&gt;0,O$105/_xlpm.eds,1),_xlpm.ksh,IF(Roster!$C$6="Fighting",0,INDEX(UNITVS(Roster!$C$13,O$104,"Shooting",_xlpm.tp,"",_xlfn.ANCHORARRAY(Roster!$AX$7)),2)),_xlpm.kfi,IF(Roster!$C$6="Shooting",0,INDEX(UNITVS(Roster!$C$13,O$104,"Fighting",_xlpm.tp,"",_xlfn.ANCHORARRAY(Roster!$AX$8)),2)),MIN(1,(_xlpm.ksh+_xlpm.kfi)*_xlpm.sc/MAX(1,$C117))))</f>
        <v/>
      </c>
      <c r="P117" s="88" t="str" cm="1">
        <f t="array" ref="P117">IF(OR($B117="",P$104=""),"",_xlfn.LET(_xlpm.mt,_xlfn.XLOOKUP($B117&amp;" ("&amp;Roster!$C$5&amp;")",_xlfn.CHOOSECOLS(AllTargets,1),AllTargets),_xlpm.tp,_xlfn.HSTACK(_xlfn.CHOOSECOLS(_xlpm.mt,2,3,4,5,6,7),$C117),_xlpm.eds,_xlfn.XLOOKUP(P$104,Roster!$C$36:$C$50,Roster!$L$36:$L$50,0),_xlpm.sc,IF(N(_xlpm.eds)&gt;0,P$105/_xlpm.eds,1),_xlpm.ksh,IF(Roster!$C$6="Fighting",0,INDEX(UNITVS(Roster!$C$13,P$104,"Shooting",_xlpm.tp,"",_xlfn.ANCHORARRAY(Roster!$AX$7)),2)),_xlpm.kfi,IF(Roster!$C$6="Shooting",0,INDEX(UNITVS(Roster!$C$13,P$104,"Fighting",_xlpm.tp,"",_xlfn.ANCHORARRAY(Roster!$AX$8)),2)),MIN(1,(_xlpm.ksh+_xlpm.kfi)*_xlpm.sc/MAX(1,$C117))))</f>
        <v/>
      </c>
      <c r="Q117" s="88" t="str" cm="1">
        <f t="array" ref="Q117">IF(OR($B117="",Q$104=""),"",_xlfn.LET(_xlpm.mt,_xlfn.XLOOKUP($B117&amp;" ("&amp;Roster!$C$5&amp;")",_xlfn.CHOOSECOLS(AllTargets,1),AllTargets),_xlpm.tp,_xlfn.HSTACK(_xlfn.CHOOSECOLS(_xlpm.mt,2,3,4,5,6,7),$C117),_xlpm.eds,_xlfn.XLOOKUP(Q$104,Roster!$C$36:$C$50,Roster!$L$36:$L$50,0),_xlpm.sc,IF(N(_xlpm.eds)&gt;0,Q$105/_xlpm.eds,1),_xlpm.ksh,IF(Roster!$C$6="Fighting",0,INDEX(UNITVS(Roster!$C$13,Q$104,"Shooting",_xlpm.tp,"",_xlfn.ANCHORARRAY(Roster!$AX$7)),2)),_xlpm.kfi,IF(Roster!$C$6="Shooting",0,INDEX(UNITVS(Roster!$C$13,Q$104,"Fighting",_xlpm.tp,"",_xlfn.ANCHORARRAY(Roster!$AX$8)),2)),MIN(1,(_xlpm.ksh+_xlpm.kfi)*_xlpm.sc/MAX(1,$C117))))</f>
        <v/>
      </c>
      <c r="R117" s="88" t="str" cm="1">
        <f t="array" ref="R117">IF(OR($B117="",R$104=""),"",_xlfn.LET(_xlpm.mt,_xlfn.XLOOKUP($B117&amp;" ("&amp;Roster!$C$5&amp;")",_xlfn.CHOOSECOLS(AllTargets,1),AllTargets),_xlpm.tp,_xlfn.HSTACK(_xlfn.CHOOSECOLS(_xlpm.mt,2,3,4,5,6,7),$C117),_xlpm.eds,_xlfn.XLOOKUP(R$104,Roster!$C$36:$C$50,Roster!$L$36:$L$50,0),_xlpm.sc,IF(N(_xlpm.eds)&gt;0,R$105/_xlpm.eds,1),_xlpm.ksh,IF(Roster!$C$6="Fighting",0,INDEX(UNITVS(Roster!$C$13,R$104,"Shooting",_xlpm.tp,"",_xlfn.ANCHORARRAY(Roster!$AX$7)),2)),_xlpm.kfi,IF(Roster!$C$6="Shooting",0,INDEX(UNITVS(Roster!$C$13,R$104,"Fighting",_xlpm.tp,"",_xlfn.ANCHORARRAY(Roster!$AX$8)),2)),MIN(1,(_xlpm.ksh+_xlpm.kfi)*_xlpm.sc/MAX(1,$C117))))</f>
        <v/>
      </c>
      <c r="S117" s="88" t="str">
        <f t="shared" si="25"/>
        <v/>
      </c>
    </row>
    <row r="118" spans="1:19" x14ac:dyDescent="0.25">
      <c r="A118" s="82">
        <v>13</v>
      </c>
      <c r="B118" t="str">
        <f t="shared" ref="B118:C118" si="36">B31</f>
        <v/>
      </c>
      <c r="C118" s="6" t="str">
        <f t="shared" si="36"/>
        <v/>
      </c>
      <c r="D118" s="88" t="str" cm="1">
        <f t="array" ref="D118">IF(OR($B118="",D$104=""),"",_xlfn.LET(_xlpm.mt,_xlfn.XLOOKUP($B118&amp;" ("&amp;Roster!$C$5&amp;")",_xlfn.CHOOSECOLS(AllTargets,1),AllTargets),_xlpm.tp,_xlfn.HSTACK(_xlfn.CHOOSECOLS(_xlpm.mt,2,3,4,5,6,7),$C118),_xlpm.eds,_xlfn.XLOOKUP(D$104,Roster!$C$36:$C$50,Roster!$L$36:$L$50,0),_xlpm.sc,IF(N(_xlpm.eds)&gt;0,D$105/_xlpm.eds,1),_xlpm.ksh,IF(Roster!$C$6="Fighting",0,INDEX(UNITVS(Roster!$C$13,D$104,"Shooting",_xlpm.tp,"",_xlfn.ANCHORARRAY(Roster!$AX$7)),2)),_xlpm.kfi,IF(Roster!$C$6="Shooting",0,INDEX(UNITVS(Roster!$C$13,D$104,"Fighting",_xlpm.tp,"",_xlfn.ANCHORARRAY(Roster!$AX$8)),2)),MIN(1,(_xlpm.ksh+_xlpm.kfi)*_xlpm.sc/MAX(1,$C118))))</f>
        <v/>
      </c>
      <c r="E118" s="88" t="str" cm="1">
        <f t="array" ref="E118">IF(OR($B118="",E$104=""),"",_xlfn.LET(_xlpm.mt,_xlfn.XLOOKUP($B118&amp;" ("&amp;Roster!$C$5&amp;")",_xlfn.CHOOSECOLS(AllTargets,1),AllTargets),_xlpm.tp,_xlfn.HSTACK(_xlfn.CHOOSECOLS(_xlpm.mt,2,3,4,5,6,7),$C118),_xlpm.eds,_xlfn.XLOOKUP(E$104,Roster!$C$36:$C$50,Roster!$L$36:$L$50,0),_xlpm.sc,IF(N(_xlpm.eds)&gt;0,E$105/_xlpm.eds,1),_xlpm.ksh,IF(Roster!$C$6="Fighting",0,INDEX(UNITVS(Roster!$C$13,E$104,"Shooting",_xlpm.tp,"",_xlfn.ANCHORARRAY(Roster!$AX$7)),2)),_xlpm.kfi,IF(Roster!$C$6="Shooting",0,INDEX(UNITVS(Roster!$C$13,E$104,"Fighting",_xlpm.tp,"",_xlfn.ANCHORARRAY(Roster!$AX$8)),2)),MIN(1,(_xlpm.ksh+_xlpm.kfi)*_xlpm.sc/MAX(1,$C118))))</f>
        <v/>
      </c>
      <c r="F118" s="88" t="str" cm="1">
        <f t="array" ref="F118">IF(OR($B118="",F$104=""),"",_xlfn.LET(_xlpm.mt,_xlfn.XLOOKUP($B118&amp;" ("&amp;Roster!$C$5&amp;")",_xlfn.CHOOSECOLS(AllTargets,1),AllTargets),_xlpm.tp,_xlfn.HSTACK(_xlfn.CHOOSECOLS(_xlpm.mt,2,3,4,5,6,7),$C118),_xlpm.eds,_xlfn.XLOOKUP(F$104,Roster!$C$36:$C$50,Roster!$L$36:$L$50,0),_xlpm.sc,IF(N(_xlpm.eds)&gt;0,F$105/_xlpm.eds,1),_xlpm.ksh,IF(Roster!$C$6="Fighting",0,INDEX(UNITVS(Roster!$C$13,F$104,"Shooting",_xlpm.tp,"",_xlfn.ANCHORARRAY(Roster!$AX$7)),2)),_xlpm.kfi,IF(Roster!$C$6="Shooting",0,INDEX(UNITVS(Roster!$C$13,F$104,"Fighting",_xlpm.tp,"",_xlfn.ANCHORARRAY(Roster!$AX$8)),2)),MIN(1,(_xlpm.ksh+_xlpm.kfi)*_xlpm.sc/MAX(1,$C118))))</f>
        <v/>
      </c>
      <c r="G118" s="88" t="str" cm="1">
        <f t="array" ref="G118">IF(OR($B118="",G$104=""),"",_xlfn.LET(_xlpm.mt,_xlfn.XLOOKUP($B118&amp;" ("&amp;Roster!$C$5&amp;")",_xlfn.CHOOSECOLS(AllTargets,1),AllTargets),_xlpm.tp,_xlfn.HSTACK(_xlfn.CHOOSECOLS(_xlpm.mt,2,3,4,5,6,7),$C118),_xlpm.eds,_xlfn.XLOOKUP(G$104,Roster!$C$36:$C$50,Roster!$L$36:$L$50,0),_xlpm.sc,IF(N(_xlpm.eds)&gt;0,G$105/_xlpm.eds,1),_xlpm.ksh,IF(Roster!$C$6="Fighting",0,INDEX(UNITVS(Roster!$C$13,G$104,"Shooting",_xlpm.tp,"",_xlfn.ANCHORARRAY(Roster!$AX$7)),2)),_xlpm.kfi,IF(Roster!$C$6="Shooting",0,INDEX(UNITVS(Roster!$C$13,G$104,"Fighting",_xlpm.tp,"",_xlfn.ANCHORARRAY(Roster!$AX$8)),2)),MIN(1,(_xlpm.ksh+_xlpm.kfi)*_xlpm.sc/MAX(1,$C118))))</f>
        <v/>
      </c>
      <c r="H118" s="88" t="str" cm="1">
        <f t="array" ref="H118">IF(OR($B118="",H$104=""),"",_xlfn.LET(_xlpm.mt,_xlfn.XLOOKUP($B118&amp;" ("&amp;Roster!$C$5&amp;")",_xlfn.CHOOSECOLS(AllTargets,1),AllTargets),_xlpm.tp,_xlfn.HSTACK(_xlfn.CHOOSECOLS(_xlpm.mt,2,3,4,5,6,7),$C118),_xlpm.eds,_xlfn.XLOOKUP(H$104,Roster!$C$36:$C$50,Roster!$L$36:$L$50,0),_xlpm.sc,IF(N(_xlpm.eds)&gt;0,H$105/_xlpm.eds,1),_xlpm.ksh,IF(Roster!$C$6="Fighting",0,INDEX(UNITVS(Roster!$C$13,H$104,"Shooting",_xlpm.tp,"",_xlfn.ANCHORARRAY(Roster!$AX$7)),2)),_xlpm.kfi,IF(Roster!$C$6="Shooting",0,INDEX(UNITVS(Roster!$C$13,H$104,"Fighting",_xlpm.tp,"",_xlfn.ANCHORARRAY(Roster!$AX$8)),2)),MIN(1,(_xlpm.ksh+_xlpm.kfi)*_xlpm.sc/MAX(1,$C118))))</f>
        <v/>
      </c>
      <c r="I118" s="88" t="str" cm="1">
        <f t="array" ref="I118">IF(OR($B118="",I$104=""),"",_xlfn.LET(_xlpm.mt,_xlfn.XLOOKUP($B118&amp;" ("&amp;Roster!$C$5&amp;")",_xlfn.CHOOSECOLS(AllTargets,1),AllTargets),_xlpm.tp,_xlfn.HSTACK(_xlfn.CHOOSECOLS(_xlpm.mt,2,3,4,5,6,7),$C118),_xlpm.eds,_xlfn.XLOOKUP(I$104,Roster!$C$36:$C$50,Roster!$L$36:$L$50,0),_xlpm.sc,IF(N(_xlpm.eds)&gt;0,I$105/_xlpm.eds,1),_xlpm.ksh,IF(Roster!$C$6="Fighting",0,INDEX(UNITVS(Roster!$C$13,I$104,"Shooting",_xlpm.tp,"",_xlfn.ANCHORARRAY(Roster!$AX$7)),2)),_xlpm.kfi,IF(Roster!$C$6="Shooting",0,INDEX(UNITVS(Roster!$C$13,I$104,"Fighting",_xlpm.tp,"",_xlfn.ANCHORARRAY(Roster!$AX$8)),2)),MIN(1,(_xlpm.ksh+_xlpm.kfi)*_xlpm.sc/MAX(1,$C118))))</f>
        <v/>
      </c>
      <c r="J118" s="88" t="str" cm="1">
        <f t="array" ref="J118">IF(OR($B118="",J$104=""),"",_xlfn.LET(_xlpm.mt,_xlfn.XLOOKUP($B118&amp;" ("&amp;Roster!$C$5&amp;")",_xlfn.CHOOSECOLS(AllTargets,1),AllTargets),_xlpm.tp,_xlfn.HSTACK(_xlfn.CHOOSECOLS(_xlpm.mt,2,3,4,5,6,7),$C118),_xlpm.eds,_xlfn.XLOOKUP(J$104,Roster!$C$36:$C$50,Roster!$L$36:$L$50,0),_xlpm.sc,IF(N(_xlpm.eds)&gt;0,J$105/_xlpm.eds,1),_xlpm.ksh,IF(Roster!$C$6="Fighting",0,INDEX(UNITVS(Roster!$C$13,J$104,"Shooting",_xlpm.tp,"",_xlfn.ANCHORARRAY(Roster!$AX$7)),2)),_xlpm.kfi,IF(Roster!$C$6="Shooting",0,INDEX(UNITVS(Roster!$C$13,J$104,"Fighting",_xlpm.tp,"",_xlfn.ANCHORARRAY(Roster!$AX$8)),2)),MIN(1,(_xlpm.ksh+_xlpm.kfi)*_xlpm.sc/MAX(1,$C118))))</f>
        <v/>
      </c>
      <c r="K118" s="88" t="str" cm="1">
        <f t="array" ref="K118">IF(OR($B118="",K$104=""),"",_xlfn.LET(_xlpm.mt,_xlfn.XLOOKUP($B118&amp;" ("&amp;Roster!$C$5&amp;")",_xlfn.CHOOSECOLS(AllTargets,1),AllTargets),_xlpm.tp,_xlfn.HSTACK(_xlfn.CHOOSECOLS(_xlpm.mt,2,3,4,5,6,7),$C118),_xlpm.eds,_xlfn.XLOOKUP(K$104,Roster!$C$36:$C$50,Roster!$L$36:$L$50,0),_xlpm.sc,IF(N(_xlpm.eds)&gt;0,K$105/_xlpm.eds,1),_xlpm.ksh,IF(Roster!$C$6="Fighting",0,INDEX(UNITVS(Roster!$C$13,K$104,"Shooting",_xlpm.tp,"",_xlfn.ANCHORARRAY(Roster!$AX$7)),2)),_xlpm.kfi,IF(Roster!$C$6="Shooting",0,INDEX(UNITVS(Roster!$C$13,K$104,"Fighting",_xlpm.tp,"",_xlfn.ANCHORARRAY(Roster!$AX$8)),2)),MIN(1,(_xlpm.ksh+_xlpm.kfi)*_xlpm.sc/MAX(1,$C118))))</f>
        <v/>
      </c>
      <c r="L118" s="88" t="str" cm="1">
        <f t="array" ref="L118">IF(OR($B118="",L$104=""),"",_xlfn.LET(_xlpm.mt,_xlfn.XLOOKUP($B118&amp;" ("&amp;Roster!$C$5&amp;")",_xlfn.CHOOSECOLS(AllTargets,1),AllTargets),_xlpm.tp,_xlfn.HSTACK(_xlfn.CHOOSECOLS(_xlpm.mt,2,3,4,5,6,7),$C118),_xlpm.eds,_xlfn.XLOOKUP(L$104,Roster!$C$36:$C$50,Roster!$L$36:$L$50,0),_xlpm.sc,IF(N(_xlpm.eds)&gt;0,L$105/_xlpm.eds,1),_xlpm.ksh,IF(Roster!$C$6="Fighting",0,INDEX(UNITVS(Roster!$C$13,L$104,"Shooting",_xlpm.tp,"",_xlfn.ANCHORARRAY(Roster!$AX$7)),2)),_xlpm.kfi,IF(Roster!$C$6="Shooting",0,INDEX(UNITVS(Roster!$C$13,L$104,"Fighting",_xlpm.tp,"",_xlfn.ANCHORARRAY(Roster!$AX$8)),2)),MIN(1,(_xlpm.ksh+_xlpm.kfi)*_xlpm.sc/MAX(1,$C118))))</f>
        <v/>
      </c>
      <c r="M118" s="88" t="str" cm="1">
        <f t="array" ref="M118">IF(OR($B118="",M$104=""),"",_xlfn.LET(_xlpm.mt,_xlfn.XLOOKUP($B118&amp;" ("&amp;Roster!$C$5&amp;")",_xlfn.CHOOSECOLS(AllTargets,1),AllTargets),_xlpm.tp,_xlfn.HSTACK(_xlfn.CHOOSECOLS(_xlpm.mt,2,3,4,5,6,7),$C118),_xlpm.eds,_xlfn.XLOOKUP(M$104,Roster!$C$36:$C$50,Roster!$L$36:$L$50,0),_xlpm.sc,IF(N(_xlpm.eds)&gt;0,M$105/_xlpm.eds,1),_xlpm.ksh,IF(Roster!$C$6="Fighting",0,INDEX(UNITVS(Roster!$C$13,M$104,"Shooting",_xlpm.tp,"",_xlfn.ANCHORARRAY(Roster!$AX$7)),2)),_xlpm.kfi,IF(Roster!$C$6="Shooting",0,INDEX(UNITVS(Roster!$C$13,M$104,"Fighting",_xlpm.tp,"",_xlfn.ANCHORARRAY(Roster!$AX$8)),2)),MIN(1,(_xlpm.ksh+_xlpm.kfi)*_xlpm.sc/MAX(1,$C118))))</f>
        <v/>
      </c>
      <c r="N118" s="88" t="str" cm="1">
        <f t="array" ref="N118">IF(OR($B118="",N$104=""),"",_xlfn.LET(_xlpm.mt,_xlfn.XLOOKUP($B118&amp;" ("&amp;Roster!$C$5&amp;")",_xlfn.CHOOSECOLS(AllTargets,1),AllTargets),_xlpm.tp,_xlfn.HSTACK(_xlfn.CHOOSECOLS(_xlpm.mt,2,3,4,5,6,7),$C118),_xlpm.eds,_xlfn.XLOOKUP(N$104,Roster!$C$36:$C$50,Roster!$L$36:$L$50,0),_xlpm.sc,IF(N(_xlpm.eds)&gt;0,N$105/_xlpm.eds,1),_xlpm.ksh,IF(Roster!$C$6="Fighting",0,INDEX(UNITVS(Roster!$C$13,N$104,"Shooting",_xlpm.tp,"",_xlfn.ANCHORARRAY(Roster!$AX$7)),2)),_xlpm.kfi,IF(Roster!$C$6="Shooting",0,INDEX(UNITVS(Roster!$C$13,N$104,"Fighting",_xlpm.tp,"",_xlfn.ANCHORARRAY(Roster!$AX$8)),2)),MIN(1,(_xlpm.ksh+_xlpm.kfi)*_xlpm.sc/MAX(1,$C118))))</f>
        <v/>
      </c>
      <c r="O118" s="88" t="str" cm="1">
        <f t="array" ref="O118">IF(OR($B118="",O$104=""),"",_xlfn.LET(_xlpm.mt,_xlfn.XLOOKUP($B118&amp;" ("&amp;Roster!$C$5&amp;")",_xlfn.CHOOSECOLS(AllTargets,1),AllTargets),_xlpm.tp,_xlfn.HSTACK(_xlfn.CHOOSECOLS(_xlpm.mt,2,3,4,5,6,7),$C118),_xlpm.eds,_xlfn.XLOOKUP(O$104,Roster!$C$36:$C$50,Roster!$L$36:$L$50,0),_xlpm.sc,IF(N(_xlpm.eds)&gt;0,O$105/_xlpm.eds,1),_xlpm.ksh,IF(Roster!$C$6="Fighting",0,INDEX(UNITVS(Roster!$C$13,O$104,"Shooting",_xlpm.tp,"",_xlfn.ANCHORARRAY(Roster!$AX$7)),2)),_xlpm.kfi,IF(Roster!$C$6="Shooting",0,INDEX(UNITVS(Roster!$C$13,O$104,"Fighting",_xlpm.tp,"",_xlfn.ANCHORARRAY(Roster!$AX$8)),2)),MIN(1,(_xlpm.ksh+_xlpm.kfi)*_xlpm.sc/MAX(1,$C118))))</f>
        <v/>
      </c>
      <c r="P118" s="88" t="str" cm="1">
        <f t="array" ref="P118">IF(OR($B118="",P$104=""),"",_xlfn.LET(_xlpm.mt,_xlfn.XLOOKUP($B118&amp;" ("&amp;Roster!$C$5&amp;")",_xlfn.CHOOSECOLS(AllTargets,1),AllTargets),_xlpm.tp,_xlfn.HSTACK(_xlfn.CHOOSECOLS(_xlpm.mt,2,3,4,5,6,7),$C118),_xlpm.eds,_xlfn.XLOOKUP(P$104,Roster!$C$36:$C$50,Roster!$L$36:$L$50,0),_xlpm.sc,IF(N(_xlpm.eds)&gt;0,P$105/_xlpm.eds,1),_xlpm.ksh,IF(Roster!$C$6="Fighting",0,INDEX(UNITVS(Roster!$C$13,P$104,"Shooting",_xlpm.tp,"",_xlfn.ANCHORARRAY(Roster!$AX$7)),2)),_xlpm.kfi,IF(Roster!$C$6="Shooting",0,INDEX(UNITVS(Roster!$C$13,P$104,"Fighting",_xlpm.tp,"",_xlfn.ANCHORARRAY(Roster!$AX$8)),2)),MIN(1,(_xlpm.ksh+_xlpm.kfi)*_xlpm.sc/MAX(1,$C118))))</f>
        <v/>
      </c>
      <c r="Q118" s="88" t="str" cm="1">
        <f t="array" ref="Q118">IF(OR($B118="",Q$104=""),"",_xlfn.LET(_xlpm.mt,_xlfn.XLOOKUP($B118&amp;" ("&amp;Roster!$C$5&amp;")",_xlfn.CHOOSECOLS(AllTargets,1),AllTargets),_xlpm.tp,_xlfn.HSTACK(_xlfn.CHOOSECOLS(_xlpm.mt,2,3,4,5,6,7),$C118),_xlpm.eds,_xlfn.XLOOKUP(Q$104,Roster!$C$36:$C$50,Roster!$L$36:$L$50,0),_xlpm.sc,IF(N(_xlpm.eds)&gt;0,Q$105/_xlpm.eds,1),_xlpm.ksh,IF(Roster!$C$6="Fighting",0,INDEX(UNITVS(Roster!$C$13,Q$104,"Shooting",_xlpm.tp,"",_xlfn.ANCHORARRAY(Roster!$AX$7)),2)),_xlpm.kfi,IF(Roster!$C$6="Shooting",0,INDEX(UNITVS(Roster!$C$13,Q$104,"Fighting",_xlpm.tp,"",_xlfn.ANCHORARRAY(Roster!$AX$8)),2)),MIN(1,(_xlpm.ksh+_xlpm.kfi)*_xlpm.sc/MAX(1,$C118))))</f>
        <v/>
      </c>
      <c r="R118" s="88" t="str" cm="1">
        <f t="array" ref="R118">IF(OR($B118="",R$104=""),"",_xlfn.LET(_xlpm.mt,_xlfn.XLOOKUP($B118&amp;" ("&amp;Roster!$C$5&amp;")",_xlfn.CHOOSECOLS(AllTargets,1),AllTargets),_xlpm.tp,_xlfn.HSTACK(_xlfn.CHOOSECOLS(_xlpm.mt,2,3,4,5,6,7),$C118),_xlpm.eds,_xlfn.XLOOKUP(R$104,Roster!$C$36:$C$50,Roster!$L$36:$L$50,0),_xlpm.sc,IF(N(_xlpm.eds)&gt;0,R$105/_xlpm.eds,1),_xlpm.ksh,IF(Roster!$C$6="Fighting",0,INDEX(UNITVS(Roster!$C$13,R$104,"Shooting",_xlpm.tp,"",_xlfn.ANCHORARRAY(Roster!$AX$7)),2)),_xlpm.kfi,IF(Roster!$C$6="Shooting",0,INDEX(UNITVS(Roster!$C$13,R$104,"Fighting",_xlpm.tp,"",_xlfn.ANCHORARRAY(Roster!$AX$8)),2)),MIN(1,(_xlpm.ksh+_xlpm.kfi)*_xlpm.sc/MAX(1,$C118))))</f>
        <v/>
      </c>
      <c r="S118" s="88" t="str">
        <f t="shared" si="25"/>
        <v/>
      </c>
    </row>
    <row r="119" spans="1:19" x14ac:dyDescent="0.25">
      <c r="A119" s="82">
        <v>14</v>
      </c>
      <c r="B119" t="str">
        <f t="shared" ref="B119:C119" si="37">B32</f>
        <v/>
      </c>
      <c r="C119" s="6" t="str">
        <f t="shared" si="37"/>
        <v/>
      </c>
      <c r="D119" s="88" t="str" cm="1">
        <f t="array" ref="D119">IF(OR($B119="",D$104=""),"",_xlfn.LET(_xlpm.mt,_xlfn.XLOOKUP($B119&amp;" ("&amp;Roster!$C$5&amp;")",_xlfn.CHOOSECOLS(AllTargets,1),AllTargets),_xlpm.tp,_xlfn.HSTACK(_xlfn.CHOOSECOLS(_xlpm.mt,2,3,4,5,6,7),$C119),_xlpm.eds,_xlfn.XLOOKUP(D$104,Roster!$C$36:$C$50,Roster!$L$36:$L$50,0),_xlpm.sc,IF(N(_xlpm.eds)&gt;0,D$105/_xlpm.eds,1),_xlpm.ksh,IF(Roster!$C$6="Fighting",0,INDEX(UNITVS(Roster!$C$13,D$104,"Shooting",_xlpm.tp,"",_xlfn.ANCHORARRAY(Roster!$AX$7)),2)),_xlpm.kfi,IF(Roster!$C$6="Shooting",0,INDEX(UNITVS(Roster!$C$13,D$104,"Fighting",_xlpm.tp,"",_xlfn.ANCHORARRAY(Roster!$AX$8)),2)),MIN(1,(_xlpm.ksh+_xlpm.kfi)*_xlpm.sc/MAX(1,$C119))))</f>
        <v/>
      </c>
      <c r="E119" s="88" t="str" cm="1">
        <f t="array" ref="E119">IF(OR($B119="",E$104=""),"",_xlfn.LET(_xlpm.mt,_xlfn.XLOOKUP($B119&amp;" ("&amp;Roster!$C$5&amp;")",_xlfn.CHOOSECOLS(AllTargets,1),AllTargets),_xlpm.tp,_xlfn.HSTACK(_xlfn.CHOOSECOLS(_xlpm.mt,2,3,4,5,6,7),$C119),_xlpm.eds,_xlfn.XLOOKUP(E$104,Roster!$C$36:$C$50,Roster!$L$36:$L$50,0),_xlpm.sc,IF(N(_xlpm.eds)&gt;0,E$105/_xlpm.eds,1),_xlpm.ksh,IF(Roster!$C$6="Fighting",0,INDEX(UNITVS(Roster!$C$13,E$104,"Shooting",_xlpm.tp,"",_xlfn.ANCHORARRAY(Roster!$AX$7)),2)),_xlpm.kfi,IF(Roster!$C$6="Shooting",0,INDEX(UNITVS(Roster!$C$13,E$104,"Fighting",_xlpm.tp,"",_xlfn.ANCHORARRAY(Roster!$AX$8)),2)),MIN(1,(_xlpm.ksh+_xlpm.kfi)*_xlpm.sc/MAX(1,$C119))))</f>
        <v/>
      </c>
      <c r="F119" s="88" t="str" cm="1">
        <f t="array" ref="F119">IF(OR($B119="",F$104=""),"",_xlfn.LET(_xlpm.mt,_xlfn.XLOOKUP($B119&amp;" ("&amp;Roster!$C$5&amp;")",_xlfn.CHOOSECOLS(AllTargets,1),AllTargets),_xlpm.tp,_xlfn.HSTACK(_xlfn.CHOOSECOLS(_xlpm.mt,2,3,4,5,6,7),$C119),_xlpm.eds,_xlfn.XLOOKUP(F$104,Roster!$C$36:$C$50,Roster!$L$36:$L$50,0),_xlpm.sc,IF(N(_xlpm.eds)&gt;0,F$105/_xlpm.eds,1),_xlpm.ksh,IF(Roster!$C$6="Fighting",0,INDEX(UNITVS(Roster!$C$13,F$104,"Shooting",_xlpm.tp,"",_xlfn.ANCHORARRAY(Roster!$AX$7)),2)),_xlpm.kfi,IF(Roster!$C$6="Shooting",0,INDEX(UNITVS(Roster!$C$13,F$104,"Fighting",_xlpm.tp,"",_xlfn.ANCHORARRAY(Roster!$AX$8)),2)),MIN(1,(_xlpm.ksh+_xlpm.kfi)*_xlpm.sc/MAX(1,$C119))))</f>
        <v/>
      </c>
      <c r="G119" s="88" t="str" cm="1">
        <f t="array" ref="G119">IF(OR($B119="",G$104=""),"",_xlfn.LET(_xlpm.mt,_xlfn.XLOOKUP($B119&amp;" ("&amp;Roster!$C$5&amp;")",_xlfn.CHOOSECOLS(AllTargets,1),AllTargets),_xlpm.tp,_xlfn.HSTACK(_xlfn.CHOOSECOLS(_xlpm.mt,2,3,4,5,6,7),$C119),_xlpm.eds,_xlfn.XLOOKUP(G$104,Roster!$C$36:$C$50,Roster!$L$36:$L$50,0),_xlpm.sc,IF(N(_xlpm.eds)&gt;0,G$105/_xlpm.eds,1),_xlpm.ksh,IF(Roster!$C$6="Fighting",0,INDEX(UNITVS(Roster!$C$13,G$104,"Shooting",_xlpm.tp,"",_xlfn.ANCHORARRAY(Roster!$AX$7)),2)),_xlpm.kfi,IF(Roster!$C$6="Shooting",0,INDEX(UNITVS(Roster!$C$13,G$104,"Fighting",_xlpm.tp,"",_xlfn.ANCHORARRAY(Roster!$AX$8)),2)),MIN(1,(_xlpm.ksh+_xlpm.kfi)*_xlpm.sc/MAX(1,$C119))))</f>
        <v/>
      </c>
      <c r="H119" s="88" t="str" cm="1">
        <f t="array" ref="H119">IF(OR($B119="",H$104=""),"",_xlfn.LET(_xlpm.mt,_xlfn.XLOOKUP($B119&amp;" ("&amp;Roster!$C$5&amp;")",_xlfn.CHOOSECOLS(AllTargets,1),AllTargets),_xlpm.tp,_xlfn.HSTACK(_xlfn.CHOOSECOLS(_xlpm.mt,2,3,4,5,6,7),$C119),_xlpm.eds,_xlfn.XLOOKUP(H$104,Roster!$C$36:$C$50,Roster!$L$36:$L$50,0),_xlpm.sc,IF(N(_xlpm.eds)&gt;0,H$105/_xlpm.eds,1),_xlpm.ksh,IF(Roster!$C$6="Fighting",0,INDEX(UNITVS(Roster!$C$13,H$104,"Shooting",_xlpm.tp,"",_xlfn.ANCHORARRAY(Roster!$AX$7)),2)),_xlpm.kfi,IF(Roster!$C$6="Shooting",0,INDEX(UNITVS(Roster!$C$13,H$104,"Fighting",_xlpm.tp,"",_xlfn.ANCHORARRAY(Roster!$AX$8)),2)),MIN(1,(_xlpm.ksh+_xlpm.kfi)*_xlpm.sc/MAX(1,$C119))))</f>
        <v/>
      </c>
      <c r="I119" s="88" t="str" cm="1">
        <f t="array" ref="I119">IF(OR($B119="",I$104=""),"",_xlfn.LET(_xlpm.mt,_xlfn.XLOOKUP($B119&amp;" ("&amp;Roster!$C$5&amp;")",_xlfn.CHOOSECOLS(AllTargets,1),AllTargets),_xlpm.tp,_xlfn.HSTACK(_xlfn.CHOOSECOLS(_xlpm.mt,2,3,4,5,6,7),$C119),_xlpm.eds,_xlfn.XLOOKUP(I$104,Roster!$C$36:$C$50,Roster!$L$36:$L$50,0),_xlpm.sc,IF(N(_xlpm.eds)&gt;0,I$105/_xlpm.eds,1),_xlpm.ksh,IF(Roster!$C$6="Fighting",0,INDEX(UNITVS(Roster!$C$13,I$104,"Shooting",_xlpm.tp,"",_xlfn.ANCHORARRAY(Roster!$AX$7)),2)),_xlpm.kfi,IF(Roster!$C$6="Shooting",0,INDEX(UNITVS(Roster!$C$13,I$104,"Fighting",_xlpm.tp,"",_xlfn.ANCHORARRAY(Roster!$AX$8)),2)),MIN(1,(_xlpm.ksh+_xlpm.kfi)*_xlpm.sc/MAX(1,$C119))))</f>
        <v/>
      </c>
      <c r="J119" s="88" t="str" cm="1">
        <f t="array" ref="J119">IF(OR($B119="",J$104=""),"",_xlfn.LET(_xlpm.mt,_xlfn.XLOOKUP($B119&amp;" ("&amp;Roster!$C$5&amp;")",_xlfn.CHOOSECOLS(AllTargets,1),AllTargets),_xlpm.tp,_xlfn.HSTACK(_xlfn.CHOOSECOLS(_xlpm.mt,2,3,4,5,6,7),$C119),_xlpm.eds,_xlfn.XLOOKUP(J$104,Roster!$C$36:$C$50,Roster!$L$36:$L$50,0),_xlpm.sc,IF(N(_xlpm.eds)&gt;0,J$105/_xlpm.eds,1),_xlpm.ksh,IF(Roster!$C$6="Fighting",0,INDEX(UNITVS(Roster!$C$13,J$104,"Shooting",_xlpm.tp,"",_xlfn.ANCHORARRAY(Roster!$AX$7)),2)),_xlpm.kfi,IF(Roster!$C$6="Shooting",0,INDEX(UNITVS(Roster!$C$13,J$104,"Fighting",_xlpm.tp,"",_xlfn.ANCHORARRAY(Roster!$AX$8)),2)),MIN(1,(_xlpm.ksh+_xlpm.kfi)*_xlpm.sc/MAX(1,$C119))))</f>
        <v/>
      </c>
      <c r="K119" s="88" t="str" cm="1">
        <f t="array" ref="K119">IF(OR($B119="",K$104=""),"",_xlfn.LET(_xlpm.mt,_xlfn.XLOOKUP($B119&amp;" ("&amp;Roster!$C$5&amp;")",_xlfn.CHOOSECOLS(AllTargets,1),AllTargets),_xlpm.tp,_xlfn.HSTACK(_xlfn.CHOOSECOLS(_xlpm.mt,2,3,4,5,6,7),$C119),_xlpm.eds,_xlfn.XLOOKUP(K$104,Roster!$C$36:$C$50,Roster!$L$36:$L$50,0),_xlpm.sc,IF(N(_xlpm.eds)&gt;0,K$105/_xlpm.eds,1),_xlpm.ksh,IF(Roster!$C$6="Fighting",0,INDEX(UNITVS(Roster!$C$13,K$104,"Shooting",_xlpm.tp,"",_xlfn.ANCHORARRAY(Roster!$AX$7)),2)),_xlpm.kfi,IF(Roster!$C$6="Shooting",0,INDEX(UNITVS(Roster!$C$13,K$104,"Fighting",_xlpm.tp,"",_xlfn.ANCHORARRAY(Roster!$AX$8)),2)),MIN(1,(_xlpm.ksh+_xlpm.kfi)*_xlpm.sc/MAX(1,$C119))))</f>
        <v/>
      </c>
      <c r="L119" s="88" t="str" cm="1">
        <f t="array" ref="L119">IF(OR($B119="",L$104=""),"",_xlfn.LET(_xlpm.mt,_xlfn.XLOOKUP($B119&amp;" ("&amp;Roster!$C$5&amp;")",_xlfn.CHOOSECOLS(AllTargets,1),AllTargets),_xlpm.tp,_xlfn.HSTACK(_xlfn.CHOOSECOLS(_xlpm.mt,2,3,4,5,6,7),$C119),_xlpm.eds,_xlfn.XLOOKUP(L$104,Roster!$C$36:$C$50,Roster!$L$36:$L$50,0),_xlpm.sc,IF(N(_xlpm.eds)&gt;0,L$105/_xlpm.eds,1),_xlpm.ksh,IF(Roster!$C$6="Fighting",0,INDEX(UNITVS(Roster!$C$13,L$104,"Shooting",_xlpm.tp,"",_xlfn.ANCHORARRAY(Roster!$AX$7)),2)),_xlpm.kfi,IF(Roster!$C$6="Shooting",0,INDEX(UNITVS(Roster!$C$13,L$104,"Fighting",_xlpm.tp,"",_xlfn.ANCHORARRAY(Roster!$AX$8)),2)),MIN(1,(_xlpm.ksh+_xlpm.kfi)*_xlpm.sc/MAX(1,$C119))))</f>
        <v/>
      </c>
      <c r="M119" s="88" t="str" cm="1">
        <f t="array" ref="M119">IF(OR($B119="",M$104=""),"",_xlfn.LET(_xlpm.mt,_xlfn.XLOOKUP($B119&amp;" ("&amp;Roster!$C$5&amp;")",_xlfn.CHOOSECOLS(AllTargets,1),AllTargets),_xlpm.tp,_xlfn.HSTACK(_xlfn.CHOOSECOLS(_xlpm.mt,2,3,4,5,6,7),$C119),_xlpm.eds,_xlfn.XLOOKUP(M$104,Roster!$C$36:$C$50,Roster!$L$36:$L$50,0),_xlpm.sc,IF(N(_xlpm.eds)&gt;0,M$105/_xlpm.eds,1),_xlpm.ksh,IF(Roster!$C$6="Fighting",0,INDEX(UNITVS(Roster!$C$13,M$104,"Shooting",_xlpm.tp,"",_xlfn.ANCHORARRAY(Roster!$AX$7)),2)),_xlpm.kfi,IF(Roster!$C$6="Shooting",0,INDEX(UNITVS(Roster!$C$13,M$104,"Fighting",_xlpm.tp,"",_xlfn.ANCHORARRAY(Roster!$AX$8)),2)),MIN(1,(_xlpm.ksh+_xlpm.kfi)*_xlpm.sc/MAX(1,$C119))))</f>
        <v/>
      </c>
      <c r="N119" s="88" t="str" cm="1">
        <f t="array" ref="N119">IF(OR($B119="",N$104=""),"",_xlfn.LET(_xlpm.mt,_xlfn.XLOOKUP($B119&amp;" ("&amp;Roster!$C$5&amp;")",_xlfn.CHOOSECOLS(AllTargets,1),AllTargets),_xlpm.tp,_xlfn.HSTACK(_xlfn.CHOOSECOLS(_xlpm.mt,2,3,4,5,6,7),$C119),_xlpm.eds,_xlfn.XLOOKUP(N$104,Roster!$C$36:$C$50,Roster!$L$36:$L$50,0),_xlpm.sc,IF(N(_xlpm.eds)&gt;0,N$105/_xlpm.eds,1),_xlpm.ksh,IF(Roster!$C$6="Fighting",0,INDEX(UNITVS(Roster!$C$13,N$104,"Shooting",_xlpm.tp,"",_xlfn.ANCHORARRAY(Roster!$AX$7)),2)),_xlpm.kfi,IF(Roster!$C$6="Shooting",0,INDEX(UNITVS(Roster!$C$13,N$104,"Fighting",_xlpm.tp,"",_xlfn.ANCHORARRAY(Roster!$AX$8)),2)),MIN(1,(_xlpm.ksh+_xlpm.kfi)*_xlpm.sc/MAX(1,$C119))))</f>
        <v/>
      </c>
      <c r="O119" s="88" t="str" cm="1">
        <f t="array" ref="O119">IF(OR($B119="",O$104=""),"",_xlfn.LET(_xlpm.mt,_xlfn.XLOOKUP($B119&amp;" ("&amp;Roster!$C$5&amp;")",_xlfn.CHOOSECOLS(AllTargets,1),AllTargets),_xlpm.tp,_xlfn.HSTACK(_xlfn.CHOOSECOLS(_xlpm.mt,2,3,4,5,6,7),$C119),_xlpm.eds,_xlfn.XLOOKUP(O$104,Roster!$C$36:$C$50,Roster!$L$36:$L$50,0),_xlpm.sc,IF(N(_xlpm.eds)&gt;0,O$105/_xlpm.eds,1),_xlpm.ksh,IF(Roster!$C$6="Fighting",0,INDEX(UNITVS(Roster!$C$13,O$104,"Shooting",_xlpm.tp,"",_xlfn.ANCHORARRAY(Roster!$AX$7)),2)),_xlpm.kfi,IF(Roster!$C$6="Shooting",0,INDEX(UNITVS(Roster!$C$13,O$104,"Fighting",_xlpm.tp,"",_xlfn.ANCHORARRAY(Roster!$AX$8)),2)),MIN(1,(_xlpm.ksh+_xlpm.kfi)*_xlpm.sc/MAX(1,$C119))))</f>
        <v/>
      </c>
      <c r="P119" s="88" t="str" cm="1">
        <f t="array" ref="P119">IF(OR($B119="",P$104=""),"",_xlfn.LET(_xlpm.mt,_xlfn.XLOOKUP($B119&amp;" ("&amp;Roster!$C$5&amp;")",_xlfn.CHOOSECOLS(AllTargets,1),AllTargets),_xlpm.tp,_xlfn.HSTACK(_xlfn.CHOOSECOLS(_xlpm.mt,2,3,4,5,6,7),$C119),_xlpm.eds,_xlfn.XLOOKUP(P$104,Roster!$C$36:$C$50,Roster!$L$36:$L$50,0),_xlpm.sc,IF(N(_xlpm.eds)&gt;0,P$105/_xlpm.eds,1),_xlpm.ksh,IF(Roster!$C$6="Fighting",0,INDEX(UNITVS(Roster!$C$13,P$104,"Shooting",_xlpm.tp,"",_xlfn.ANCHORARRAY(Roster!$AX$7)),2)),_xlpm.kfi,IF(Roster!$C$6="Shooting",0,INDEX(UNITVS(Roster!$C$13,P$104,"Fighting",_xlpm.tp,"",_xlfn.ANCHORARRAY(Roster!$AX$8)),2)),MIN(1,(_xlpm.ksh+_xlpm.kfi)*_xlpm.sc/MAX(1,$C119))))</f>
        <v/>
      </c>
      <c r="Q119" s="88" t="str" cm="1">
        <f t="array" ref="Q119">IF(OR($B119="",Q$104=""),"",_xlfn.LET(_xlpm.mt,_xlfn.XLOOKUP($B119&amp;" ("&amp;Roster!$C$5&amp;")",_xlfn.CHOOSECOLS(AllTargets,1),AllTargets),_xlpm.tp,_xlfn.HSTACK(_xlfn.CHOOSECOLS(_xlpm.mt,2,3,4,5,6,7),$C119),_xlpm.eds,_xlfn.XLOOKUP(Q$104,Roster!$C$36:$C$50,Roster!$L$36:$L$50,0),_xlpm.sc,IF(N(_xlpm.eds)&gt;0,Q$105/_xlpm.eds,1),_xlpm.ksh,IF(Roster!$C$6="Fighting",0,INDEX(UNITVS(Roster!$C$13,Q$104,"Shooting",_xlpm.tp,"",_xlfn.ANCHORARRAY(Roster!$AX$7)),2)),_xlpm.kfi,IF(Roster!$C$6="Shooting",0,INDEX(UNITVS(Roster!$C$13,Q$104,"Fighting",_xlpm.tp,"",_xlfn.ANCHORARRAY(Roster!$AX$8)),2)),MIN(1,(_xlpm.ksh+_xlpm.kfi)*_xlpm.sc/MAX(1,$C119))))</f>
        <v/>
      </c>
      <c r="R119" s="88" t="str" cm="1">
        <f t="array" ref="R119">IF(OR($B119="",R$104=""),"",_xlfn.LET(_xlpm.mt,_xlfn.XLOOKUP($B119&amp;" ("&amp;Roster!$C$5&amp;")",_xlfn.CHOOSECOLS(AllTargets,1),AllTargets),_xlpm.tp,_xlfn.HSTACK(_xlfn.CHOOSECOLS(_xlpm.mt,2,3,4,5,6,7),$C119),_xlpm.eds,_xlfn.XLOOKUP(R$104,Roster!$C$36:$C$50,Roster!$L$36:$L$50,0),_xlpm.sc,IF(N(_xlpm.eds)&gt;0,R$105/_xlpm.eds,1),_xlpm.ksh,IF(Roster!$C$6="Fighting",0,INDEX(UNITVS(Roster!$C$13,R$104,"Shooting",_xlpm.tp,"",_xlfn.ANCHORARRAY(Roster!$AX$7)),2)),_xlpm.kfi,IF(Roster!$C$6="Shooting",0,INDEX(UNITVS(Roster!$C$13,R$104,"Fighting",_xlpm.tp,"",_xlfn.ANCHORARRAY(Roster!$AX$8)),2)),MIN(1,(_xlpm.ksh+_xlpm.kfi)*_xlpm.sc/MAX(1,$C119))))</f>
        <v/>
      </c>
      <c r="S119" s="88" t="str">
        <f t="shared" si="25"/>
        <v/>
      </c>
    </row>
    <row r="120" spans="1:19" x14ac:dyDescent="0.25">
      <c r="A120" s="82">
        <v>15</v>
      </c>
      <c r="B120" t="str">
        <f t="shared" ref="B120:C120" si="38">B33</f>
        <v/>
      </c>
      <c r="C120" s="6" t="str">
        <f t="shared" si="38"/>
        <v/>
      </c>
      <c r="D120" s="88" t="str" cm="1">
        <f t="array" ref="D120">IF(OR($B120="",D$104=""),"",_xlfn.LET(_xlpm.mt,_xlfn.XLOOKUP($B120&amp;" ("&amp;Roster!$C$5&amp;")",_xlfn.CHOOSECOLS(AllTargets,1),AllTargets),_xlpm.tp,_xlfn.HSTACK(_xlfn.CHOOSECOLS(_xlpm.mt,2,3,4,5,6,7),$C120),_xlpm.eds,_xlfn.XLOOKUP(D$104,Roster!$C$36:$C$50,Roster!$L$36:$L$50,0),_xlpm.sc,IF(N(_xlpm.eds)&gt;0,D$105/_xlpm.eds,1),_xlpm.ksh,IF(Roster!$C$6="Fighting",0,INDEX(UNITVS(Roster!$C$13,D$104,"Shooting",_xlpm.tp,"",_xlfn.ANCHORARRAY(Roster!$AX$7)),2)),_xlpm.kfi,IF(Roster!$C$6="Shooting",0,INDEX(UNITVS(Roster!$C$13,D$104,"Fighting",_xlpm.tp,"",_xlfn.ANCHORARRAY(Roster!$AX$8)),2)),MIN(1,(_xlpm.ksh+_xlpm.kfi)*_xlpm.sc/MAX(1,$C120))))</f>
        <v/>
      </c>
      <c r="E120" s="88" t="str" cm="1">
        <f t="array" ref="E120">IF(OR($B120="",E$104=""),"",_xlfn.LET(_xlpm.mt,_xlfn.XLOOKUP($B120&amp;" ("&amp;Roster!$C$5&amp;")",_xlfn.CHOOSECOLS(AllTargets,1),AllTargets),_xlpm.tp,_xlfn.HSTACK(_xlfn.CHOOSECOLS(_xlpm.mt,2,3,4,5,6,7),$C120),_xlpm.eds,_xlfn.XLOOKUP(E$104,Roster!$C$36:$C$50,Roster!$L$36:$L$50,0),_xlpm.sc,IF(N(_xlpm.eds)&gt;0,E$105/_xlpm.eds,1),_xlpm.ksh,IF(Roster!$C$6="Fighting",0,INDEX(UNITVS(Roster!$C$13,E$104,"Shooting",_xlpm.tp,"",_xlfn.ANCHORARRAY(Roster!$AX$7)),2)),_xlpm.kfi,IF(Roster!$C$6="Shooting",0,INDEX(UNITVS(Roster!$C$13,E$104,"Fighting",_xlpm.tp,"",_xlfn.ANCHORARRAY(Roster!$AX$8)),2)),MIN(1,(_xlpm.ksh+_xlpm.kfi)*_xlpm.sc/MAX(1,$C120))))</f>
        <v/>
      </c>
      <c r="F120" s="88" t="str" cm="1">
        <f t="array" ref="F120">IF(OR($B120="",F$104=""),"",_xlfn.LET(_xlpm.mt,_xlfn.XLOOKUP($B120&amp;" ("&amp;Roster!$C$5&amp;")",_xlfn.CHOOSECOLS(AllTargets,1),AllTargets),_xlpm.tp,_xlfn.HSTACK(_xlfn.CHOOSECOLS(_xlpm.mt,2,3,4,5,6,7),$C120),_xlpm.eds,_xlfn.XLOOKUP(F$104,Roster!$C$36:$C$50,Roster!$L$36:$L$50,0),_xlpm.sc,IF(N(_xlpm.eds)&gt;0,F$105/_xlpm.eds,1),_xlpm.ksh,IF(Roster!$C$6="Fighting",0,INDEX(UNITVS(Roster!$C$13,F$104,"Shooting",_xlpm.tp,"",_xlfn.ANCHORARRAY(Roster!$AX$7)),2)),_xlpm.kfi,IF(Roster!$C$6="Shooting",0,INDEX(UNITVS(Roster!$C$13,F$104,"Fighting",_xlpm.tp,"",_xlfn.ANCHORARRAY(Roster!$AX$8)),2)),MIN(1,(_xlpm.ksh+_xlpm.kfi)*_xlpm.sc/MAX(1,$C120))))</f>
        <v/>
      </c>
      <c r="G120" s="88" t="str" cm="1">
        <f t="array" ref="G120">IF(OR($B120="",G$104=""),"",_xlfn.LET(_xlpm.mt,_xlfn.XLOOKUP($B120&amp;" ("&amp;Roster!$C$5&amp;")",_xlfn.CHOOSECOLS(AllTargets,1),AllTargets),_xlpm.tp,_xlfn.HSTACK(_xlfn.CHOOSECOLS(_xlpm.mt,2,3,4,5,6,7),$C120),_xlpm.eds,_xlfn.XLOOKUP(G$104,Roster!$C$36:$C$50,Roster!$L$36:$L$50,0),_xlpm.sc,IF(N(_xlpm.eds)&gt;0,G$105/_xlpm.eds,1),_xlpm.ksh,IF(Roster!$C$6="Fighting",0,INDEX(UNITVS(Roster!$C$13,G$104,"Shooting",_xlpm.tp,"",_xlfn.ANCHORARRAY(Roster!$AX$7)),2)),_xlpm.kfi,IF(Roster!$C$6="Shooting",0,INDEX(UNITVS(Roster!$C$13,G$104,"Fighting",_xlpm.tp,"",_xlfn.ANCHORARRAY(Roster!$AX$8)),2)),MIN(1,(_xlpm.ksh+_xlpm.kfi)*_xlpm.sc/MAX(1,$C120))))</f>
        <v/>
      </c>
      <c r="H120" s="88" t="str" cm="1">
        <f t="array" ref="H120">IF(OR($B120="",H$104=""),"",_xlfn.LET(_xlpm.mt,_xlfn.XLOOKUP($B120&amp;" ("&amp;Roster!$C$5&amp;")",_xlfn.CHOOSECOLS(AllTargets,1),AllTargets),_xlpm.tp,_xlfn.HSTACK(_xlfn.CHOOSECOLS(_xlpm.mt,2,3,4,5,6,7),$C120),_xlpm.eds,_xlfn.XLOOKUP(H$104,Roster!$C$36:$C$50,Roster!$L$36:$L$50,0),_xlpm.sc,IF(N(_xlpm.eds)&gt;0,H$105/_xlpm.eds,1),_xlpm.ksh,IF(Roster!$C$6="Fighting",0,INDEX(UNITVS(Roster!$C$13,H$104,"Shooting",_xlpm.tp,"",_xlfn.ANCHORARRAY(Roster!$AX$7)),2)),_xlpm.kfi,IF(Roster!$C$6="Shooting",0,INDEX(UNITVS(Roster!$C$13,H$104,"Fighting",_xlpm.tp,"",_xlfn.ANCHORARRAY(Roster!$AX$8)),2)),MIN(1,(_xlpm.ksh+_xlpm.kfi)*_xlpm.sc/MAX(1,$C120))))</f>
        <v/>
      </c>
      <c r="I120" s="88" t="str" cm="1">
        <f t="array" ref="I120">IF(OR($B120="",I$104=""),"",_xlfn.LET(_xlpm.mt,_xlfn.XLOOKUP($B120&amp;" ("&amp;Roster!$C$5&amp;")",_xlfn.CHOOSECOLS(AllTargets,1),AllTargets),_xlpm.tp,_xlfn.HSTACK(_xlfn.CHOOSECOLS(_xlpm.mt,2,3,4,5,6,7),$C120),_xlpm.eds,_xlfn.XLOOKUP(I$104,Roster!$C$36:$C$50,Roster!$L$36:$L$50,0),_xlpm.sc,IF(N(_xlpm.eds)&gt;0,I$105/_xlpm.eds,1),_xlpm.ksh,IF(Roster!$C$6="Fighting",0,INDEX(UNITVS(Roster!$C$13,I$104,"Shooting",_xlpm.tp,"",_xlfn.ANCHORARRAY(Roster!$AX$7)),2)),_xlpm.kfi,IF(Roster!$C$6="Shooting",0,INDEX(UNITVS(Roster!$C$13,I$104,"Fighting",_xlpm.tp,"",_xlfn.ANCHORARRAY(Roster!$AX$8)),2)),MIN(1,(_xlpm.ksh+_xlpm.kfi)*_xlpm.sc/MAX(1,$C120))))</f>
        <v/>
      </c>
      <c r="J120" s="88" t="str" cm="1">
        <f t="array" ref="J120">IF(OR($B120="",J$104=""),"",_xlfn.LET(_xlpm.mt,_xlfn.XLOOKUP($B120&amp;" ("&amp;Roster!$C$5&amp;")",_xlfn.CHOOSECOLS(AllTargets,1),AllTargets),_xlpm.tp,_xlfn.HSTACK(_xlfn.CHOOSECOLS(_xlpm.mt,2,3,4,5,6,7),$C120),_xlpm.eds,_xlfn.XLOOKUP(J$104,Roster!$C$36:$C$50,Roster!$L$36:$L$50,0),_xlpm.sc,IF(N(_xlpm.eds)&gt;0,J$105/_xlpm.eds,1),_xlpm.ksh,IF(Roster!$C$6="Fighting",0,INDEX(UNITVS(Roster!$C$13,J$104,"Shooting",_xlpm.tp,"",_xlfn.ANCHORARRAY(Roster!$AX$7)),2)),_xlpm.kfi,IF(Roster!$C$6="Shooting",0,INDEX(UNITVS(Roster!$C$13,J$104,"Fighting",_xlpm.tp,"",_xlfn.ANCHORARRAY(Roster!$AX$8)),2)),MIN(1,(_xlpm.ksh+_xlpm.kfi)*_xlpm.sc/MAX(1,$C120))))</f>
        <v/>
      </c>
      <c r="K120" s="88" t="str" cm="1">
        <f t="array" ref="K120">IF(OR($B120="",K$104=""),"",_xlfn.LET(_xlpm.mt,_xlfn.XLOOKUP($B120&amp;" ("&amp;Roster!$C$5&amp;")",_xlfn.CHOOSECOLS(AllTargets,1),AllTargets),_xlpm.tp,_xlfn.HSTACK(_xlfn.CHOOSECOLS(_xlpm.mt,2,3,4,5,6,7),$C120),_xlpm.eds,_xlfn.XLOOKUP(K$104,Roster!$C$36:$C$50,Roster!$L$36:$L$50,0),_xlpm.sc,IF(N(_xlpm.eds)&gt;0,K$105/_xlpm.eds,1),_xlpm.ksh,IF(Roster!$C$6="Fighting",0,INDEX(UNITVS(Roster!$C$13,K$104,"Shooting",_xlpm.tp,"",_xlfn.ANCHORARRAY(Roster!$AX$7)),2)),_xlpm.kfi,IF(Roster!$C$6="Shooting",0,INDEX(UNITVS(Roster!$C$13,K$104,"Fighting",_xlpm.tp,"",_xlfn.ANCHORARRAY(Roster!$AX$8)),2)),MIN(1,(_xlpm.ksh+_xlpm.kfi)*_xlpm.sc/MAX(1,$C120))))</f>
        <v/>
      </c>
      <c r="L120" s="88" t="str" cm="1">
        <f t="array" ref="L120">IF(OR($B120="",L$104=""),"",_xlfn.LET(_xlpm.mt,_xlfn.XLOOKUP($B120&amp;" ("&amp;Roster!$C$5&amp;")",_xlfn.CHOOSECOLS(AllTargets,1),AllTargets),_xlpm.tp,_xlfn.HSTACK(_xlfn.CHOOSECOLS(_xlpm.mt,2,3,4,5,6,7),$C120),_xlpm.eds,_xlfn.XLOOKUP(L$104,Roster!$C$36:$C$50,Roster!$L$36:$L$50,0),_xlpm.sc,IF(N(_xlpm.eds)&gt;0,L$105/_xlpm.eds,1),_xlpm.ksh,IF(Roster!$C$6="Fighting",0,INDEX(UNITVS(Roster!$C$13,L$104,"Shooting",_xlpm.tp,"",_xlfn.ANCHORARRAY(Roster!$AX$7)),2)),_xlpm.kfi,IF(Roster!$C$6="Shooting",0,INDEX(UNITVS(Roster!$C$13,L$104,"Fighting",_xlpm.tp,"",_xlfn.ANCHORARRAY(Roster!$AX$8)),2)),MIN(1,(_xlpm.ksh+_xlpm.kfi)*_xlpm.sc/MAX(1,$C120))))</f>
        <v/>
      </c>
      <c r="M120" s="88" t="str" cm="1">
        <f t="array" ref="M120">IF(OR($B120="",M$104=""),"",_xlfn.LET(_xlpm.mt,_xlfn.XLOOKUP($B120&amp;" ("&amp;Roster!$C$5&amp;")",_xlfn.CHOOSECOLS(AllTargets,1),AllTargets),_xlpm.tp,_xlfn.HSTACK(_xlfn.CHOOSECOLS(_xlpm.mt,2,3,4,5,6,7),$C120),_xlpm.eds,_xlfn.XLOOKUP(M$104,Roster!$C$36:$C$50,Roster!$L$36:$L$50,0),_xlpm.sc,IF(N(_xlpm.eds)&gt;0,M$105/_xlpm.eds,1),_xlpm.ksh,IF(Roster!$C$6="Fighting",0,INDEX(UNITVS(Roster!$C$13,M$104,"Shooting",_xlpm.tp,"",_xlfn.ANCHORARRAY(Roster!$AX$7)),2)),_xlpm.kfi,IF(Roster!$C$6="Shooting",0,INDEX(UNITVS(Roster!$C$13,M$104,"Fighting",_xlpm.tp,"",_xlfn.ANCHORARRAY(Roster!$AX$8)),2)),MIN(1,(_xlpm.ksh+_xlpm.kfi)*_xlpm.sc/MAX(1,$C120))))</f>
        <v/>
      </c>
      <c r="N120" s="88" t="str" cm="1">
        <f t="array" ref="N120">IF(OR($B120="",N$104=""),"",_xlfn.LET(_xlpm.mt,_xlfn.XLOOKUP($B120&amp;" ("&amp;Roster!$C$5&amp;")",_xlfn.CHOOSECOLS(AllTargets,1),AllTargets),_xlpm.tp,_xlfn.HSTACK(_xlfn.CHOOSECOLS(_xlpm.mt,2,3,4,5,6,7),$C120),_xlpm.eds,_xlfn.XLOOKUP(N$104,Roster!$C$36:$C$50,Roster!$L$36:$L$50,0),_xlpm.sc,IF(N(_xlpm.eds)&gt;0,N$105/_xlpm.eds,1),_xlpm.ksh,IF(Roster!$C$6="Fighting",0,INDEX(UNITVS(Roster!$C$13,N$104,"Shooting",_xlpm.tp,"",_xlfn.ANCHORARRAY(Roster!$AX$7)),2)),_xlpm.kfi,IF(Roster!$C$6="Shooting",0,INDEX(UNITVS(Roster!$C$13,N$104,"Fighting",_xlpm.tp,"",_xlfn.ANCHORARRAY(Roster!$AX$8)),2)),MIN(1,(_xlpm.ksh+_xlpm.kfi)*_xlpm.sc/MAX(1,$C120))))</f>
        <v/>
      </c>
      <c r="O120" s="88" t="str" cm="1">
        <f t="array" ref="O120">IF(OR($B120="",O$104=""),"",_xlfn.LET(_xlpm.mt,_xlfn.XLOOKUP($B120&amp;" ("&amp;Roster!$C$5&amp;")",_xlfn.CHOOSECOLS(AllTargets,1),AllTargets),_xlpm.tp,_xlfn.HSTACK(_xlfn.CHOOSECOLS(_xlpm.mt,2,3,4,5,6,7),$C120),_xlpm.eds,_xlfn.XLOOKUP(O$104,Roster!$C$36:$C$50,Roster!$L$36:$L$50,0),_xlpm.sc,IF(N(_xlpm.eds)&gt;0,O$105/_xlpm.eds,1),_xlpm.ksh,IF(Roster!$C$6="Fighting",0,INDEX(UNITVS(Roster!$C$13,O$104,"Shooting",_xlpm.tp,"",_xlfn.ANCHORARRAY(Roster!$AX$7)),2)),_xlpm.kfi,IF(Roster!$C$6="Shooting",0,INDEX(UNITVS(Roster!$C$13,O$104,"Fighting",_xlpm.tp,"",_xlfn.ANCHORARRAY(Roster!$AX$8)),2)),MIN(1,(_xlpm.ksh+_xlpm.kfi)*_xlpm.sc/MAX(1,$C120))))</f>
        <v/>
      </c>
      <c r="P120" s="88" t="str" cm="1">
        <f t="array" ref="P120">IF(OR($B120="",P$104=""),"",_xlfn.LET(_xlpm.mt,_xlfn.XLOOKUP($B120&amp;" ("&amp;Roster!$C$5&amp;")",_xlfn.CHOOSECOLS(AllTargets,1),AllTargets),_xlpm.tp,_xlfn.HSTACK(_xlfn.CHOOSECOLS(_xlpm.mt,2,3,4,5,6,7),$C120),_xlpm.eds,_xlfn.XLOOKUP(P$104,Roster!$C$36:$C$50,Roster!$L$36:$L$50,0),_xlpm.sc,IF(N(_xlpm.eds)&gt;0,P$105/_xlpm.eds,1),_xlpm.ksh,IF(Roster!$C$6="Fighting",0,INDEX(UNITVS(Roster!$C$13,P$104,"Shooting",_xlpm.tp,"",_xlfn.ANCHORARRAY(Roster!$AX$7)),2)),_xlpm.kfi,IF(Roster!$C$6="Shooting",0,INDEX(UNITVS(Roster!$C$13,P$104,"Fighting",_xlpm.tp,"",_xlfn.ANCHORARRAY(Roster!$AX$8)),2)),MIN(1,(_xlpm.ksh+_xlpm.kfi)*_xlpm.sc/MAX(1,$C120))))</f>
        <v/>
      </c>
      <c r="Q120" s="88" t="str" cm="1">
        <f t="array" ref="Q120">IF(OR($B120="",Q$104=""),"",_xlfn.LET(_xlpm.mt,_xlfn.XLOOKUP($B120&amp;" ("&amp;Roster!$C$5&amp;")",_xlfn.CHOOSECOLS(AllTargets,1),AllTargets),_xlpm.tp,_xlfn.HSTACK(_xlfn.CHOOSECOLS(_xlpm.mt,2,3,4,5,6,7),$C120),_xlpm.eds,_xlfn.XLOOKUP(Q$104,Roster!$C$36:$C$50,Roster!$L$36:$L$50,0),_xlpm.sc,IF(N(_xlpm.eds)&gt;0,Q$105/_xlpm.eds,1),_xlpm.ksh,IF(Roster!$C$6="Fighting",0,INDEX(UNITVS(Roster!$C$13,Q$104,"Shooting",_xlpm.tp,"",_xlfn.ANCHORARRAY(Roster!$AX$7)),2)),_xlpm.kfi,IF(Roster!$C$6="Shooting",0,INDEX(UNITVS(Roster!$C$13,Q$104,"Fighting",_xlpm.tp,"",_xlfn.ANCHORARRAY(Roster!$AX$8)),2)),MIN(1,(_xlpm.ksh+_xlpm.kfi)*_xlpm.sc/MAX(1,$C120))))</f>
        <v/>
      </c>
      <c r="R120" s="88" t="str" cm="1">
        <f t="array" ref="R120">IF(OR($B120="",R$104=""),"",_xlfn.LET(_xlpm.mt,_xlfn.XLOOKUP($B120&amp;" ("&amp;Roster!$C$5&amp;")",_xlfn.CHOOSECOLS(AllTargets,1),AllTargets),_xlpm.tp,_xlfn.HSTACK(_xlfn.CHOOSECOLS(_xlpm.mt,2,3,4,5,6,7),$C120),_xlpm.eds,_xlfn.XLOOKUP(R$104,Roster!$C$36:$C$50,Roster!$L$36:$L$50,0),_xlpm.sc,IF(N(_xlpm.eds)&gt;0,R$105/_xlpm.eds,1),_xlpm.ksh,IF(Roster!$C$6="Fighting",0,INDEX(UNITVS(Roster!$C$13,R$104,"Shooting",_xlpm.tp,"",_xlfn.ANCHORARRAY(Roster!$AX$7)),2)),_xlpm.kfi,IF(Roster!$C$6="Shooting",0,INDEX(UNITVS(Roster!$C$13,R$104,"Fighting",_xlpm.tp,"",_xlfn.ANCHORARRAY(Roster!$AX$8)),2)),MIN(1,(_xlpm.ksh+_xlpm.kfi)*_xlpm.sc/MAX(1,$C120))))</f>
        <v/>
      </c>
      <c r="S120" s="88" t="str">
        <f t="shared" si="25"/>
        <v/>
      </c>
    </row>
    <row r="121" spans="1:19" x14ac:dyDescent="0.25">
      <c r="B121" s="83" t="s">
        <v>614</v>
      </c>
      <c r="C121" s="6"/>
      <c r="D121" s="88" t="str">
        <f>IF(D$104="","",IF(COUNT(D106:D120)=0,"",SUM(D106:D120)))</f>
        <v/>
      </c>
      <c r="E121" s="88" t="str">
        <f t="shared" ref="E121:R121" si="39">IF(E$104="","",IF(COUNT(E106:E120)=0,"",SUM(E106:E120)))</f>
        <v/>
      </c>
      <c r="F121" s="88" t="str">
        <f t="shared" si="39"/>
        <v/>
      </c>
      <c r="G121" s="88" t="str">
        <f t="shared" si="39"/>
        <v/>
      </c>
      <c r="H121" s="88" t="str">
        <f t="shared" si="39"/>
        <v/>
      </c>
      <c r="I121" s="88" t="str">
        <f t="shared" si="39"/>
        <v/>
      </c>
      <c r="J121" s="88" t="str">
        <f t="shared" si="39"/>
        <v/>
      </c>
      <c r="K121" s="88" t="str">
        <f t="shared" si="39"/>
        <v/>
      </c>
      <c r="L121" s="88" t="str">
        <f t="shared" si="39"/>
        <v/>
      </c>
      <c r="M121" s="88" t="str">
        <f t="shared" si="39"/>
        <v/>
      </c>
      <c r="N121" s="88" t="str">
        <f t="shared" si="39"/>
        <v/>
      </c>
      <c r="O121" s="88" t="str">
        <f t="shared" si="39"/>
        <v/>
      </c>
      <c r="P121" s="88" t="str">
        <f t="shared" si="39"/>
        <v/>
      </c>
      <c r="Q121" s="88" t="str">
        <f t="shared" si="39"/>
        <v/>
      </c>
      <c r="R121" s="88" t="str">
        <f t="shared" si="39"/>
        <v/>
      </c>
      <c r="S121" s="6"/>
    </row>
    <row r="122" spans="1:19" x14ac:dyDescent="0.25">
      <c r="B122" s="96" t="str">
        <f>IF(Roster!$C$12&lt;&gt;"Real roster","Switch Opponent Mode on the Roster to Real roster to see this grid.","")</f>
        <v>Switch Opponent Mode on the Roster to Real roster to see this grid.</v>
      </c>
    </row>
  </sheetData>
  <conditionalFormatting sqref="D92:H99">
    <cfRule type="colorScale" priority="2">
      <colorScale>
        <cfvo type="min"/>
        <cfvo type="percentile" val="50"/>
        <cfvo type="max"/>
        <color rgb="FFF8696B"/>
        <color rgb="FFFFEB84"/>
        <color rgb="FF63BE7B"/>
      </colorScale>
    </cfRule>
  </conditionalFormatting>
  <conditionalFormatting sqref="D36:R36">
    <cfRule type="containsText" dxfId="1" priority="5" operator="containsText" text="Yes">
      <formula>NOT(ISERROR(SEARCH("Yes",D36)))</formula>
    </cfRule>
    <cfRule type="containsText" dxfId="0" priority="6" operator="containsText" text="No">
      <formula>NOT(ISERROR(SEARCH("No",D36)))</formula>
    </cfRule>
  </conditionalFormatting>
  <conditionalFormatting sqref="D42:R56">
    <cfRule type="colorScale" priority="1">
      <colorScale>
        <cfvo type="min"/>
        <cfvo type="percentile" val="50"/>
        <cfvo type="max"/>
        <color rgb="FFF8696B"/>
        <color rgb="FFFFEB84"/>
        <color rgb="FF63BE7B"/>
      </colorScale>
    </cfRule>
  </conditionalFormatting>
  <conditionalFormatting sqref="D106:R120">
    <cfRule type="colorScale" priority="3">
      <colorScale>
        <cfvo type="min"/>
        <cfvo type="percentile" val="50"/>
        <cfvo type="max"/>
        <color rgb="FF63BE7B"/>
        <color rgb="FFFFEB84"/>
        <color rgb="FFF8696B"/>
      </colorScale>
    </cfRule>
  </conditionalFormatting>
  <conditionalFormatting sqref="K81:K87">
    <cfRule type="colorScale" priority="4">
      <colorScale>
        <cfvo type="min"/>
        <cfvo type="percentile" val="50"/>
        <cfvo type="max"/>
        <color rgb="FFF8696B"/>
        <color rgb="FFFFEB84"/>
        <color rgb="FF63BE7B"/>
      </colorScale>
    </cfRule>
  </conditionalFormatting>
  <conditionalFormatting sqref="S42:S56">
    <cfRule type="dataBar" priority="7">
      <dataBar>
        <cfvo type="min"/>
        <cfvo type="max"/>
        <color rgb="FF5B9BD5"/>
      </dataBar>
      <extLst>
        <ext xmlns:x14="http://schemas.microsoft.com/office/spreadsheetml/2009/9/main" uri="{B025F937-C7B1-47D3-B67F-A62EFF666E3E}">
          <x14:id>{C3C5274D-6264-4F68-8064-DA3CF198D777}</x14:id>
        </ext>
      </extLst>
    </cfRule>
  </conditionalFormatting>
  <conditionalFormatting sqref="T42:T56">
    <cfRule type="dataBar" priority="8">
      <dataBar>
        <cfvo type="min"/>
        <cfvo type="max"/>
        <color rgb="FF5B9BD5"/>
      </dataBar>
      <extLst>
        <ext xmlns:x14="http://schemas.microsoft.com/office/spreadsheetml/2009/9/main" uri="{B025F937-C7B1-47D3-B67F-A62EFF666E3E}">
          <x14:id>{5F3F92F0-505E-43EB-90D0-3E778FFE089E}</x14:id>
        </ext>
      </extLst>
    </cfRule>
  </conditionalFormatting>
  <pageMargins left="0.7" right="0.7" top="0.75" bottom="0.75" header="0.3" footer="0.3"/>
  <pageSetup paperSize="0" fitToHeight="0" orientation="landscape" horizontalDpi="0" verticalDpi="0" copies="0"/>
  <drawing r:id="rId1"/>
  <extLst>
    <ext xmlns:x14="http://schemas.microsoft.com/office/spreadsheetml/2009/9/main" uri="{78C0D931-6437-407d-A8EE-F0AAD7539E65}">
      <x14:conditionalFormattings>
        <x14:conditionalFormatting xmlns:xm="http://schemas.microsoft.com/office/excel/2006/main">
          <x14:cfRule type="dataBar" id="{C3C5274D-6264-4F68-8064-DA3CF198D777}">
            <x14:dataBar minLength="0" maxLength="100" gradient="0" direction="leftToRight" negativeBarColorSameAsPositive="1" axisPosition="none">
              <x14:cfvo type="min"/>
              <x14:cfvo type="max"/>
            </x14:dataBar>
          </x14:cfRule>
          <xm:sqref>S42:S56</xm:sqref>
        </x14:conditionalFormatting>
        <x14:conditionalFormatting xmlns:xm="http://schemas.microsoft.com/office/excel/2006/main">
          <x14:cfRule type="dataBar" id="{5F3F92F0-505E-43EB-90D0-3E778FFE089E}">
            <x14:dataBar minLength="0" maxLength="100" gradient="0" direction="leftToRight" negativeBarColorSameAsPositive="1" axisPosition="none">
              <x14:cfvo type="min"/>
              <x14:cfvo type="max"/>
            </x14:dataBar>
          </x14:cfRule>
          <xm:sqref>T42:T56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56164-6743-4910-AA4B-53124B1A3AD4}">
  <sheetPr codeName="Sheet3">
    <tabColor theme="6"/>
  </sheetPr>
  <dimension ref="B2:AW100"/>
  <sheetViews>
    <sheetView topLeftCell="B1" workbookViewId="0">
      <selection activeCell="B1" sqref="B1"/>
    </sheetView>
  </sheetViews>
  <sheetFormatPr defaultColWidth="8.7109375" defaultRowHeight="15" x14ac:dyDescent="0.25"/>
  <cols>
    <col min="2" max="2" width="24" bestFit="1" customWidth="1"/>
    <col min="3" max="3" width="2" bestFit="1" customWidth="1"/>
    <col min="4" max="4" width="3" bestFit="1" customWidth="1"/>
    <col min="5" max="5" width="2.7109375" bestFit="1" customWidth="1"/>
    <col min="6" max="6" width="4.28515625" bestFit="1" customWidth="1"/>
    <col min="7" max="7" width="4.42578125" bestFit="1" customWidth="1"/>
    <col min="8" max="8" width="8.42578125" bestFit="1" customWidth="1"/>
    <col min="9" max="9" width="3" bestFit="1" customWidth="1"/>
    <col min="10" max="10" width="3.5703125" bestFit="1" customWidth="1"/>
    <col min="11" max="11" width="2.85546875" bestFit="1" customWidth="1"/>
    <col min="12" max="12" width="6" bestFit="1" customWidth="1"/>
    <col min="13" max="13" width="6.7109375" bestFit="1" customWidth="1"/>
    <col min="14" max="16" width="46.28515625" style="20" customWidth="1"/>
    <col min="17" max="17" width="23.7109375" bestFit="1" customWidth="1"/>
    <col min="18" max="18" width="7" bestFit="1" customWidth="1"/>
    <col min="19" max="19" width="3.7109375" bestFit="1" customWidth="1"/>
    <col min="21" max="21" width="23.7109375" bestFit="1" customWidth="1"/>
    <col min="22" max="22" width="3.28515625" bestFit="1" customWidth="1"/>
    <col min="23" max="23" width="3.140625" bestFit="1" customWidth="1"/>
    <col min="24" max="24" width="2" bestFit="1" customWidth="1"/>
    <col min="25" max="26" width="3.28515625" bestFit="1" customWidth="1"/>
    <col min="27" max="27" width="20" style="20" bestFit="1" customWidth="1"/>
    <col min="30" max="30" width="19.42578125" bestFit="1" customWidth="1"/>
    <col min="31" max="31" width="5.28515625" bestFit="1" customWidth="1"/>
    <col min="32" max="32" width="3.140625" bestFit="1" customWidth="1"/>
    <col min="33" max="33" width="2" bestFit="1" customWidth="1"/>
    <col min="34" max="34" width="3.28515625" bestFit="1" customWidth="1"/>
    <col min="35" max="35" width="2.28515625" bestFit="1" customWidth="1"/>
    <col min="36" max="36" width="26.7109375" style="20" bestFit="1" customWidth="1"/>
    <col min="39" max="39" width="15.28515625" bestFit="1" customWidth="1"/>
    <col min="40" max="40" width="9.140625" bestFit="1" customWidth="1"/>
    <col min="41" max="41" width="7.28515625" bestFit="1" customWidth="1"/>
    <col min="42" max="42" width="19.7109375" bestFit="1" customWidth="1"/>
    <col min="44" max="44" width="9.28515625" bestFit="1" customWidth="1"/>
    <col min="45" max="45" width="3.28515625" bestFit="1" customWidth="1"/>
    <col min="46" max="46" width="9.140625" bestFit="1" customWidth="1"/>
    <col min="47" max="47" width="6" bestFit="1" customWidth="1"/>
    <col min="48" max="48" width="7.5703125" bestFit="1" customWidth="1"/>
    <col min="49" max="49" width="5.7109375" bestFit="1" customWidth="1"/>
  </cols>
  <sheetData>
    <row r="2" spans="2:49" x14ac:dyDescent="0.25">
      <c r="B2" s="131" t="s">
        <v>185</v>
      </c>
      <c r="C2" s="131"/>
      <c r="D2" s="131"/>
      <c r="E2" s="131"/>
      <c r="F2" s="131"/>
      <c r="G2" s="131"/>
      <c r="H2" s="131"/>
      <c r="I2" s="131"/>
      <c r="J2" s="131"/>
      <c r="K2" s="131"/>
      <c r="L2" s="131"/>
      <c r="M2" s="131"/>
      <c r="N2" s="131"/>
      <c r="O2" s="131"/>
      <c r="P2" s="131"/>
      <c r="Q2" s="131"/>
      <c r="R2" s="131"/>
      <c r="S2" s="131"/>
      <c r="U2" s="131" t="s">
        <v>186</v>
      </c>
      <c r="V2" s="131"/>
      <c r="W2" s="131"/>
      <c r="X2" s="131"/>
      <c r="Y2" s="131"/>
      <c r="Z2" s="131"/>
      <c r="AA2" s="131"/>
      <c r="AD2" s="131" t="s">
        <v>187</v>
      </c>
      <c r="AE2" s="131"/>
      <c r="AF2" s="131"/>
      <c r="AG2" s="131"/>
      <c r="AH2" s="131"/>
      <c r="AI2" s="131"/>
      <c r="AJ2" s="131"/>
      <c r="AM2" s="134" t="s">
        <v>188</v>
      </c>
      <c r="AN2" s="134"/>
      <c r="AO2" s="134"/>
      <c r="AP2" s="134"/>
      <c r="AR2" s="132" t="s">
        <v>189</v>
      </c>
      <c r="AS2" s="133"/>
      <c r="AT2" s="133"/>
      <c r="AU2" s="133"/>
      <c r="AV2" s="133"/>
      <c r="AW2" s="133"/>
    </row>
    <row r="3" spans="2:49" x14ac:dyDescent="0.25">
      <c r="B3" t="s">
        <v>190</v>
      </c>
      <c r="C3" t="s">
        <v>129</v>
      </c>
      <c r="D3" t="s">
        <v>130</v>
      </c>
      <c r="E3" t="s">
        <v>131</v>
      </c>
      <c r="F3" t="s">
        <v>132</v>
      </c>
      <c r="G3" t="s">
        <v>133</v>
      </c>
      <c r="H3" t="s">
        <v>134</v>
      </c>
      <c r="I3" t="s">
        <v>496</v>
      </c>
      <c r="J3" t="s">
        <v>497</v>
      </c>
      <c r="K3" t="s">
        <v>498</v>
      </c>
      <c r="L3" t="s">
        <v>499</v>
      </c>
      <c r="M3" t="s">
        <v>500</v>
      </c>
      <c r="N3" s="20" t="s">
        <v>9</v>
      </c>
      <c r="O3" s="20" t="s">
        <v>501</v>
      </c>
      <c r="P3" s="20" t="s">
        <v>502</v>
      </c>
      <c r="Q3" t="s">
        <v>122</v>
      </c>
      <c r="R3" s="2" t="s">
        <v>177</v>
      </c>
      <c r="S3" s="2" t="s">
        <v>493</v>
      </c>
      <c r="U3" s="3" t="s">
        <v>122</v>
      </c>
      <c r="V3" s="3" t="s">
        <v>123</v>
      </c>
      <c r="W3" s="3" t="s">
        <v>124</v>
      </c>
      <c r="X3" s="3" t="s">
        <v>125</v>
      </c>
      <c r="Y3" s="3" t="s">
        <v>126</v>
      </c>
      <c r="Z3" s="3" t="s">
        <v>127</v>
      </c>
      <c r="AA3" s="51" t="s">
        <v>128</v>
      </c>
      <c r="AB3" s="2"/>
      <c r="AD3" s="3" t="s">
        <v>122</v>
      </c>
      <c r="AE3" s="3" t="s">
        <v>123</v>
      </c>
      <c r="AF3" s="3" t="s">
        <v>124</v>
      </c>
      <c r="AG3" s="3" t="s">
        <v>125</v>
      </c>
      <c r="AH3" s="3" t="s">
        <v>126</v>
      </c>
      <c r="AI3" s="3" t="s">
        <v>127</v>
      </c>
      <c r="AJ3" s="51" t="s">
        <v>128</v>
      </c>
      <c r="AM3" s="3" t="s">
        <v>191</v>
      </c>
      <c r="AN3" s="3" t="s">
        <v>192</v>
      </c>
      <c r="AO3" s="3" t="s">
        <v>193</v>
      </c>
      <c r="AP3" s="3" t="s">
        <v>128</v>
      </c>
      <c r="AR3" s="3" t="s">
        <v>194</v>
      </c>
      <c r="AS3" s="3" t="s">
        <v>195</v>
      </c>
      <c r="AT3" s="3" t="s">
        <v>192</v>
      </c>
      <c r="AU3" s="3" t="s">
        <v>193</v>
      </c>
      <c r="AV3" s="3" t="s">
        <v>128</v>
      </c>
      <c r="AW3" s="3" t="s">
        <v>196</v>
      </c>
    </row>
    <row r="4" spans="2:49" x14ac:dyDescent="0.25">
      <c r="B4" s="122" t="s">
        <v>197</v>
      </c>
      <c r="C4" s="122">
        <v>9</v>
      </c>
      <c r="D4" s="122">
        <v>10</v>
      </c>
      <c r="E4" s="122">
        <v>3</v>
      </c>
      <c r="F4" s="122">
        <v>5</v>
      </c>
      <c r="G4" s="122" t="s">
        <v>198</v>
      </c>
      <c r="H4" s="122" t="s">
        <v>198</v>
      </c>
      <c r="I4" s="122">
        <v>10</v>
      </c>
      <c r="J4" s="122">
        <v>3</v>
      </c>
      <c r="K4" s="122">
        <v>6</v>
      </c>
      <c r="L4" s="122">
        <v>95</v>
      </c>
      <c r="M4" s="122">
        <v>1</v>
      </c>
      <c r="N4" s="130" t="s">
        <v>509</v>
      </c>
      <c r="O4" s="130"/>
      <c r="P4" s="130" t="s">
        <v>513</v>
      </c>
      <c r="Q4" s="3" t="s">
        <v>199</v>
      </c>
      <c r="R4" s="6" t="s">
        <v>200</v>
      </c>
      <c r="S4" s="65">
        <v>1</v>
      </c>
      <c r="U4" s="3" t="s">
        <v>199</v>
      </c>
      <c r="V4" s="2">
        <v>3</v>
      </c>
      <c r="W4" s="2">
        <v>3</v>
      </c>
      <c r="X4" s="2">
        <v>5</v>
      </c>
      <c r="Y4" s="2">
        <v>0</v>
      </c>
      <c r="Z4" s="2">
        <v>1</v>
      </c>
      <c r="AA4" s="52" t="s">
        <v>144</v>
      </c>
      <c r="AB4" s="2"/>
      <c r="AD4" s="3" t="s">
        <v>201</v>
      </c>
      <c r="AE4">
        <v>4</v>
      </c>
      <c r="AF4">
        <v>3</v>
      </c>
      <c r="AG4">
        <v>5</v>
      </c>
      <c r="AH4">
        <v>-2</v>
      </c>
      <c r="AI4">
        <v>1</v>
      </c>
      <c r="AJ4" s="20" t="s">
        <v>202</v>
      </c>
      <c r="AM4" t="s">
        <v>203</v>
      </c>
      <c r="AN4" s="6" t="s">
        <v>204</v>
      </c>
      <c r="AO4" s="6" t="s">
        <v>205</v>
      </c>
      <c r="AP4" t="s">
        <v>206</v>
      </c>
      <c r="AS4" s="6"/>
      <c r="AT4" s="6"/>
      <c r="AU4" s="6"/>
    </row>
    <row r="5" spans="2:49" x14ac:dyDescent="0.25">
      <c r="B5" s="122"/>
      <c r="C5" s="122"/>
      <c r="D5" s="122"/>
      <c r="E5" s="122"/>
      <c r="F5" s="122"/>
      <c r="G5" s="122"/>
      <c r="H5" s="122"/>
      <c r="I5" s="122"/>
      <c r="J5" s="122"/>
      <c r="K5" s="122"/>
      <c r="L5" s="122"/>
      <c r="M5" s="122"/>
      <c r="N5" s="130"/>
      <c r="O5" s="130"/>
      <c r="P5" s="130"/>
      <c r="Q5" s="3" t="s">
        <v>207</v>
      </c>
      <c r="R5" s="6" t="s">
        <v>200</v>
      </c>
      <c r="S5" s="65">
        <v>1</v>
      </c>
      <c r="U5" s="3" t="s">
        <v>207</v>
      </c>
      <c r="V5" s="2" t="s">
        <v>208</v>
      </c>
      <c r="W5" s="2">
        <v>3</v>
      </c>
      <c r="X5" s="2">
        <v>4</v>
      </c>
      <c r="Y5" s="2">
        <v>0</v>
      </c>
      <c r="Z5" s="2">
        <v>1</v>
      </c>
      <c r="AA5" s="52" t="s">
        <v>151</v>
      </c>
      <c r="AB5" s="2"/>
      <c r="AD5" t="s">
        <v>209</v>
      </c>
      <c r="AE5">
        <v>3</v>
      </c>
      <c r="AF5">
        <v>4</v>
      </c>
      <c r="AG5">
        <v>8</v>
      </c>
      <c r="AH5">
        <v>-2</v>
      </c>
      <c r="AI5">
        <v>2</v>
      </c>
      <c r="AJ5" s="20" t="s">
        <v>202</v>
      </c>
      <c r="AN5" s="6"/>
      <c r="AO5" s="6"/>
      <c r="AS5" s="6"/>
      <c r="AT5" s="6"/>
      <c r="AU5" s="6"/>
    </row>
    <row r="6" spans="2:49" x14ac:dyDescent="0.25">
      <c r="B6" s="122"/>
      <c r="C6" s="122"/>
      <c r="D6" s="122"/>
      <c r="E6" s="122"/>
      <c r="F6" s="122"/>
      <c r="G6" s="122"/>
      <c r="H6" s="122"/>
      <c r="I6" s="122"/>
      <c r="J6" s="122"/>
      <c r="K6" s="122"/>
      <c r="L6" s="122"/>
      <c r="M6" s="122"/>
      <c r="N6" s="130"/>
      <c r="O6" s="130"/>
      <c r="P6" s="130"/>
      <c r="Q6" s="3" t="s">
        <v>210</v>
      </c>
      <c r="R6" s="6" t="s">
        <v>200</v>
      </c>
      <c r="S6" s="65">
        <v>1</v>
      </c>
      <c r="U6" s="3" t="s">
        <v>210</v>
      </c>
      <c r="V6" s="2">
        <v>1</v>
      </c>
      <c r="W6" s="2">
        <v>3</v>
      </c>
      <c r="X6" s="2">
        <v>9</v>
      </c>
      <c r="Y6" s="2">
        <v>-2</v>
      </c>
      <c r="Z6" s="2" t="s">
        <v>208</v>
      </c>
      <c r="AA6" s="52"/>
      <c r="AB6" s="2"/>
      <c r="AD6" t="s">
        <v>211</v>
      </c>
      <c r="AE6">
        <v>3</v>
      </c>
      <c r="AF6">
        <v>3</v>
      </c>
      <c r="AG6">
        <v>5</v>
      </c>
      <c r="AH6">
        <v>-1</v>
      </c>
      <c r="AI6">
        <v>1</v>
      </c>
      <c r="AJ6" s="20" t="s">
        <v>202</v>
      </c>
      <c r="AN6" s="6"/>
      <c r="AO6" s="6"/>
      <c r="AS6" s="6"/>
      <c r="AT6" s="6"/>
      <c r="AU6" s="6"/>
    </row>
    <row r="7" spans="2:49" x14ac:dyDescent="0.25">
      <c r="B7" s="122"/>
      <c r="C7" s="122"/>
      <c r="D7" s="122"/>
      <c r="E7" s="122"/>
      <c r="F7" s="122"/>
      <c r="G7" s="122"/>
      <c r="H7" s="122"/>
      <c r="I7" s="122"/>
      <c r="J7" s="122"/>
      <c r="K7" s="122"/>
      <c r="L7" s="122"/>
      <c r="M7" s="122"/>
      <c r="N7" s="130"/>
      <c r="O7" s="130"/>
      <c r="P7" s="130"/>
      <c r="Q7" s="3" t="s">
        <v>212</v>
      </c>
      <c r="R7" s="6" t="s">
        <v>200</v>
      </c>
      <c r="S7" s="65">
        <v>1</v>
      </c>
      <c r="U7" s="3" t="s">
        <v>212</v>
      </c>
      <c r="V7" s="2">
        <v>2</v>
      </c>
      <c r="W7" s="2">
        <v>3</v>
      </c>
      <c r="X7" s="2">
        <v>9</v>
      </c>
      <c r="Y7" s="2">
        <v>-4</v>
      </c>
      <c r="Z7" s="2" t="s">
        <v>208</v>
      </c>
      <c r="AA7" s="52" t="s">
        <v>213</v>
      </c>
      <c r="AB7" s="2"/>
      <c r="AD7" t="s">
        <v>214</v>
      </c>
      <c r="AE7">
        <v>3</v>
      </c>
      <c r="AF7">
        <v>3</v>
      </c>
      <c r="AG7">
        <v>8</v>
      </c>
      <c r="AH7">
        <v>-2</v>
      </c>
      <c r="AI7">
        <v>2</v>
      </c>
      <c r="AJ7" s="20" t="s">
        <v>202</v>
      </c>
      <c r="AN7" s="6"/>
      <c r="AO7" s="6"/>
      <c r="AS7" s="6"/>
      <c r="AT7" s="6"/>
      <c r="AU7" s="6"/>
    </row>
    <row r="8" spans="2:49" x14ac:dyDescent="0.25">
      <c r="B8" s="122"/>
      <c r="C8" s="122"/>
      <c r="D8" s="122"/>
      <c r="E8" s="122"/>
      <c r="F8" s="122"/>
      <c r="G8" s="122"/>
      <c r="H8" s="122"/>
      <c r="I8" s="122"/>
      <c r="J8" s="122"/>
      <c r="K8" s="122"/>
      <c r="L8" s="122"/>
      <c r="M8" s="122"/>
      <c r="N8" s="130"/>
      <c r="O8" s="130"/>
      <c r="P8" s="130"/>
      <c r="Q8" t="s">
        <v>215</v>
      </c>
      <c r="R8" t="s">
        <v>216</v>
      </c>
      <c r="S8" s="65">
        <v>1</v>
      </c>
      <c r="U8" s="3" t="s">
        <v>217</v>
      </c>
      <c r="V8" t="s">
        <v>218</v>
      </c>
      <c r="W8" s="2">
        <v>3</v>
      </c>
      <c r="X8" s="2">
        <v>6</v>
      </c>
      <c r="Y8" s="2">
        <v>-1</v>
      </c>
      <c r="Z8" s="2">
        <v>2</v>
      </c>
      <c r="AA8" s="52" t="s">
        <v>20</v>
      </c>
      <c r="AD8" t="s">
        <v>219</v>
      </c>
      <c r="AE8">
        <v>4</v>
      </c>
      <c r="AF8">
        <v>2</v>
      </c>
      <c r="AG8">
        <v>8</v>
      </c>
      <c r="AH8">
        <v>-2</v>
      </c>
      <c r="AI8">
        <v>2</v>
      </c>
      <c r="AJ8" s="20" t="s">
        <v>202</v>
      </c>
      <c r="AN8" s="6"/>
      <c r="AO8" s="6"/>
      <c r="AS8" s="6"/>
      <c r="AT8" s="6"/>
      <c r="AU8" s="6"/>
    </row>
    <row r="9" spans="2:49" ht="15" customHeight="1" x14ac:dyDescent="0.25">
      <c r="B9" s="122" t="s">
        <v>627</v>
      </c>
      <c r="C9" s="122">
        <v>6</v>
      </c>
      <c r="D9" s="122">
        <v>2</v>
      </c>
      <c r="E9" s="122">
        <v>3</v>
      </c>
      <c r="F9" s="122" t="s">
        <v>198</v>
      </c>
      <c r="G9" s="122" t="s">
        <v>198</v>
      </c>
      <c r="H9" s="122" t="s">
        <v>198</v>
      </c>
      <c r="I9" s="122">
        <v>5</v>
      </c>
      <c r="J9" s="122">
        <v>2</v>
      </c>
      <c r="K9" s="122">
        <v>6</v>
      </c>
      <c r="L9" s="122">
        <v>175</v>
      </c>
      <c r="M9" s="122">
        <v>10</v>
      </c>
      <c r="N9" s="129" t="s">
        <v>514</v>
      </c>
      <c r="O9" s="129"/>
      <c r="P9" s="129" t="s">
        <v>515</v>
      </c>
      <c r="Q9" s="3" t="s">
        <v>217</v>
      </c>
      <c r="R9" s="6" t="s">
        <v>200</v>
      </c>
      <c r="S9" s="65">
        <v>2</v>
      </c>
      <c r="U9" s="3" t="s">
        <v>220</v>
      </c>
      <c r="V9" s="2">
        <v>2</v>
      </c>
      <c r="W9" s="2">
        <v>3</v>
      </c>
      <c r="X9" s="2">
        <v>5</v>
      </c>
      <c r="Y9" s="2">
        <v>-1</v>
      </c>
      <c r="Z9" s="2">
        <v>1</v>
      </c>
      <c r="AA9" s="52" t="s">
        <v>144</v>
      </c>
      <c r="AD9" t="s">
        <v>221</v>
      </c>
      <c r="AE9">
        <v>8</v>
      </c>
      <c r="AF9">
        <v>3</v>
      </c>
      <c r="AG9">
        <v>4</v>
      </c>
      <c r="AH9">
        <v>-1</v>
      </c>
      <c r="AI9">
        <v>1</v>
      </c>
      <c r="AJ9" s="20" t="s">
        <v>202</v>
      </c>
      <c r="AN9" s="6"/>
      <c r="AO9" s="6"/>
      <c r="AS9" s="6"/>
      <c r="AT9" s="6"/>
      <c r="AU9" s="6"/>
    </row>
    <row r="10" spans="2:49" ht="30" x14ac:dyDescent="0.25">
      <c r="B10" s="122"/>
      <c r="C10" s="122"/>
      <c r="D10" s="122"/>
      <c r="E10" s="122"/>
      <c r="F10" s="122"/>
      <c r="G10" s="122"/>
      <c r="H10" s="122"/>
      <c r="I10" s="122"/>
      <c r="J10" s="122"/>
      <c r="K10" s="122"/>
      <c r="L10" s="122"/>
      <c r="M10" s="122"/>
      <c r="N10" s="129"/>
      <c r="O10" s="129"/>
      <c r="P10" s="129"/>
      <c r="Q10" s="3" t="s">
        <v>220</v>
      </c>
      <c r="R10" s="6" t="s">
        <v>200</v>
      </c>
      <c r="S10" s="65">
        <v>3</v>
      </c>
      <c r="U10" s="3" t="s">
        <v>222</v>
      </c>
      <c r="V10" t="s">
        <v>208</v>
      </c>
      <c r="W10" s="22" t="s">
        <v>198</v>
      </c>
      <c r="X10" s="2">
        <v>5</v>
      </c>
      <c r="Y10" s="2">
        <v>-1</v>
      </c>
      <c r="Z10" s="2">
        <v>1</v>
      </c>
      <c r="AA10" s="52" t="s">
        <v>223</v>
      </c>
      <c r="AD10" t="s">
        <v>215</v>
      </c>
      <c r="AE10">
        <v>4</v>
      </c>
      <c r="AF10">
        <v>3</v>
      </c>
      <c r="AG10">
        <v>6</v>
      </c>
      <c r="AH10">
        <v>-1</v>
      </c>
      <c r="AI10">
        <v>1</v>
      </c>
      <c r="AJ10" s="20" t="s">
        <v>202</v>
      </c>
      <c r="AN10" s="6"/>
      <c r="AO10" s="6"/>
      <c r="AS10" s="6"/>
      <c r="AT10" s="6"/>
      <c r="AU10" s="6"/>
    </row>
    <row r="11" spans="2:49" ht="30" x14ac:dyDescent="0.25">
      <c r="B11" s="122"/>
      <c r="C11" s="122"/>
      <c r="D11" s="122"/>
      <c r="E11" s="122"/>
      <c r="F11" s="122"/>
      <c r="G11" s="122"/>
      <c r="H11" s="122"/>
      <c r="I11" s="122"/>
      <c r="J11" s="122"/>
      <c r="K11" s="122"/>
      <c r="L11" s="122"/>
      <c r="M11" s="122"/>
      <c r="N11" s="129"/>
      <c r="O11" s="129"/>
      <c r="P11" s="129"/>
      <c r="Q11" s="3" t="s">
        <v>222</v>
      </c>
      <c r="R11" s="6" t="s">
        <v>200</v>
      </c>
      <c r="S11" s="65">
        <v>2</v>
      </c>
      <c r="U11" s="3" t="s">
        <v>224</v>
      </c>
      <c r="V11" s="2">
        <v>1</v>
      </c>
      <c r="W11" s="2">
        <v>3</v>
      </c>
      <c r="X11" s="2">
        <v>7</v>
      </c>
      <c r="Y11" s="2">
        <v>-2</v>
      </c>
      <c r="Z11" s="2">
        <v>1</v>
      </c>
      <c r="AA11" s="52" t="s">
        <v>225</v>
      </c>
      <c r="AD11" t="s">
        <v>226</v>
      </c>
      <c r="AE11">
        <v>6</v>
      </c>
      <c r="AF11">
        <v>2</v>
      </c>
      <c r="AG11">
        <v>8</v>
      </c>
      <c r="AH11">
        <v>-2</v>
      </c>
      <c r="AI11">
        <v>2</v>
      </c>
      <c r="AJ11" s="20" t="s">
        <v>227</v>
      </c>
      <c r="AN11" s="6"/>
      <c r="AO11" s="6"/>
      <c r="AS11" s="6"/>
      <c r="AT11" s="6"/>
      <c r="AU11" s="6"/>
    </row>
    <row r="12" spans="2:49" x14ac:dyDescent="0.25">
      <c r="B12" s="122"/>
      <c r="C12" s="122"/>
      <c r="D12" s="122"/>
      <c r="E12" s="122"/>
      <c r="F12" s="122"/>
      <c r="G12" s="122"/>
      <c r="H12" s="122"/>
      <c r="I12" s="122"/>
      <c r="J12" s="122"/>
      <c r="K12" s="122"/>
      <c r="L12" s="122"/>
      <c r="M12" s="122"/>
      <c r="N12" s="129"/>
      <c r="O12" s="129"/>
      <c r="P12" s="129"/>
      <c r="Q12" s="3" t="s">
        <v>224</v>
      </c>
      <c r="R12" s="6" t="s">
        <v>200</v>
      </c>
      <c r="S12" s="65">
        <v>2</v>
      </c>
      <c r="U12" s="3" t="s">
        <v>228</v>
      </c>
      <c r="V12">
        <v>1</v>
      </c>
      <c r="W12" s="2">
        <v>3</v>
      </c>
      <c r="X12" s="2">
        <v>8</v>
      </c>
      <c r="Y12" s="2">
        <v>-3</v>
      </c>
      <c r="Z12" s="2">
        <v>2</v>
      </c>
      <c r="AA12" s="52" t="s">
        <v>225</v>
      </c>
      <c r="AD12" t="s">
        <v>229</v>
      </c>
      <c r="AE12">
        <v>4</v>
      </c>
      <c r="AF12">
        <v>3</v>
      </c>
      <c r="AG12">
        <v>5</v>
      </c>
      <c r="AH12">
        <v>0</v>
      </c>
      <c r="AI12">
        <v>1</v>
      </c>
      <c r="AN12" s="6"/>
      <c r="AO12" s="6"/>
      <c r="AS12" s="6"/>
      <c r="AT12" s="6"/>
      <c r="AU12" s="6"/>
    </row>
    <row r="13" spans="2:49" x14ac:dyDescent="0.25">
      <c r="B13" s="122"/>
      <c r="C13" s="122"/>
      <c r="D13" s="122"/>
      <c r="E13" s="122"/>
      <c r="F13" s="122"/>
      <c r="G13" s="122"/>
      <c r="H13" s="122"/>
      <c r="I13" s="122"/>
      <c r="J13" s="122"/>
      <c r="K13" s="122"/>
      <c r="L13" s="122"/>
      <c r="M13" s="122"/>
      <c r="N13" s="129"/>
      <c r="O13" s="129"/>
      <c r="P13" s="129"/>
      <c r="Q13" s="3" t="s">
        <v>228</v>
      </c>
      <c r="R13" s="6" t="s">
        <v>200</v>
      </c>
      <c r="S13" s="65">
        <v>1</v>
      </c>
      <c r="U13" s="3" t="s">
        <v>230</v>
      </c>
      <c r="V13" s="2">
        <v>1</v>
      </c>
      <c r="W13" s="2">
        <v>3</v>
      </c>
      <c r="X13" s="2">
        <v>7</v>
      </c>
      <c r="Y13" s="2">
        <v>-2</v>
      </c>
      <c r="Z13" s="2">
        <v>1</v>
      </c>
      <c r="AD13" t="s">
        <v>231</v>
      </c>
      <c r="AE13">
        <v>6</v>
      </c>
      <c r="AF13">
        <v>2</v>
      </c>
      <c r="AG13">
        <v>9</v>
      </c>
      <c r="AH13">
        <v>-2</v>
      </c>
      <c r="AI13">
        <v>3</v>
      </c>
      <c r="AJ13" s="20" t="s">
        <v>144</v>
      </c>
      <c r="AN13" s="6"/>
      <c r="AO13" s="6"/>
      <c r="AS13" s="6"/>
      <c r="AT13" s="6"/>
      <c r="AU13" s="6"/>
    </row>
    <row r="14" spans="2:49" x14ac:dyDescent="0.25">
      <c r="B14" s="122"/>
      <c r="C14" s="122"/>
      <c r="D14" s="122"/>
      <c r="E14" s="122"/>
      <c r="F14" s="122"/>
      <c r="G14" s="122"/>
      <c r="H14" s="122"/>
      <c r="I14" s="122"/>
      <c r="J14" s="122"/>
      <c r="K14" s="122"/>
      <c r="L14" s="122"/>
      <c r="M14" s="122"/>
      <c r="N14" s="129"/>
      <c r="O14" s="129"/>
      <c r="P14" s="129"/>
      <c r="Q14" s="3" t="s">
        <v>230</v>
      </c>
      <c r="R14" s="6" t="s">
        <v>200</v>
      </c>
      <c r="S14" s="65">
        <v>1</v>
      </c>
      <c r="U14" s="3" t="s">
        <v>232</v>
      </c>
      <c r="V14">
        <v>1</v>
      </c>
      <c r="W14" s="2">
        <v>3</v>
      </c>
      <c r="X14" s="2">
        <v>8</v>
      </c>
      <c r="Y14" s="2">
        <v>-3</v>
      </c>
      <c r="Z14" s="2">
        <v>2</v>
      </c>
      <c r="AD14" t="s">
        <v>233</v>
      </c>
      <c r="AE14">
        <v>12</v>
      </c>
      <c r="AF14">
        <v>2</v>
      </c>
      <c r="AG14">
        <v>6</v>
      </c>
      <c r="AH14">
        <v>-1</v>
      </c>
      <c r="AI14">
        <v>1</v>
      </c>
      <c r="AJ14" s="20" t="s">
        <v>144</v>
      </c>
      <c r="AN14" s="6"/>
      <c r="AO14" s="6"/>
      <c r="AS14" s="6"/>
      <c r="AT14" s="6"/>
      <c r="AU14" s="6"/>
    </row>
    <row r="15" spans="2:49" ht="45" x14ac:dyDescent="0.25">
      <c r="B15" s="122"/>
      <c r="C15" s="122"/>
      <c r="D15" s="122"/>
      <c r="E15" s="122"/>
      <c r="F15" s="122"/>
      <c r="G15" s="122"/>
      <c r="H15" s="122"/>
      <c r="I15" s="122"/>
      <c r="J15" s="122"/>
      <c r="K15" s="122"/>
      <c r="L15" s="122"/>
      <c r="M15" s="122"/>
      <c r="N15" s="129"/>
      <c r="O15" s="129"/>
      <c r="P15" s="129"/>
      <c r="Q15" s="3" t="s">
        <v>232</v>
      </c>
      <c r="R15" s="6" t="s">
        <v>200</v>
      </c>
      <c r="S15" s="65">
        <v>1</v>
      </c>
      <c r="U15" s="3" t="s">
        <v>234</v>
      </c>
      <c r="V15" s="2" t="s">
        <v>208</v>
      </c>
      <c r="W15" s="50" t="s">
        <v>198</v>
      </c>
      <c r="X15" s="2">
        <v>3</v>
      </c>
      <c r="Y15" s="2">
        <v>0</v>
      </c>
      <c r="Z15" s="2">
        <v>1</v>
      </c>
      <c r="AA15" s="20" t="s">
        <v>235</v>
      </c>
      <c r="AD15" t="s">
        <v>236</v>
      </c>
      <c r="AE15" s="2" t="s">
        <v>237</v>
      </c>
      <c r="AF15">
        <v>4</v>
      </c>
      <c r="AG15">
        <v>5</v>
      </c>
      <c r="AH15">
        <v>-1</v>
      </c>
      <c r="AI15">
        <v>2</v>
      </c>
      <c r="AN15" s="6"/>
      <c r="AO15" s="6"/>
      <c r="AS15" s="6"/>
      <c r="AT15" s="6"/>
      <c r="AU15" s="6"/>
    </row>
    <row r="16" spans="2:49" x14ac:dyDescent="0.25">
      <c r="B16" s="122"/>
      <c r="C16" s="122"/>
      <c r="D16" s="122"/>
      <c r="E16" s="122"/>
      <c r="F16" s="122"/>
      <c r="G16" s="122"/>
      <c r="H16" s="122"/>
      <c r="I16" s="122"/>
      <c r="J16" s="122"/>
      <c r="K16" s="122"/>
      <c r="L16" s="122"/>
      <c r="M16" s="122"/>
      <c r="N16" s="129"/>
      <c r="O16" s="129"/>
      <c r="P16" s="129"/>
      <c r="Q16" t="s">
        <v>211</v>
      </c>
      <c r="R16" s="6" t="s">
        <v>216</v>
      </c>
      <c r="S16" s="65">
        <v>9</v>
      </c>
      <c r="AN16" s="6"/>
      <c r="AO16" s="6"/>
      <c r="AS16" s="6"/>
      <c r="AT16" s="6"/>
      <c r="AU16" s="6"/>
    </row>
    <row r="17" spans="2:47" x14ac:dyDescent="0.25">
      <c r="B17" s="122"/>
      <c r="C17" s="122"/>
      <c r="D17" s="122"/>
      <c r="E17" s="122"/>
      <c r="F17" s="122"/>
      <c r="G17" s="122"/>
      <c r="H17" s="122"/>
      <c r="I17" s="122"/>
      <c r="J17" s="122"/>
      <c r="K17" s="122"/>
      <c r="L17" s="122"/>
      <c r="M17" s="122"/>
      <c r="N17" s="129"/>
      <c r="O17" s="129"/>
      <c r="P17" s="129"/>
      <c r="Q17" t="s">
        <v>214</v>
      </c>
      <c r="R17" s="6" t="s">
        <v>216</v>
      </c>
      <c r="S17" s="65">
        <v>1</v>
      </c>
      <c r="AN17" s="6"/>
      <c r="AO17" s="6"/>
      <c r="AS17" s="6"/>
      <c r="AT17" s="6"/>
      <c r="AU17" s="6"/>
    </row>
    <row r="18" spans="2:47" x14ac:dyDescent="0.25">
      <c r="B18" s="122" t="s">
        <v>626</v>
      </c>
      <c r="C18" s="122">
        <v>7</v>
      </c>
      <c r="D18" s="122">
        <v>4</v>
      </c>
      <c r="E18" s="122">
        <v>2</v>
      </c>
      <c r="F18" s="122">
        <v>4</v>
      </c>
      <c r="G18" s="122" t="s">
        <v>198</v>
      </c>
      <c r="H18" s="122" t="s">
        <v>198</v>
      </c>
      <c r="I18" s="122">
        <v>5</v>
      </c>
      <c r="J18" s="122">
        <v>1</v>
      </c>
      <c r="K18" s="122">
        <v>6</v>
      </c>
      <c r="L18" s="122">
        <v>150</v>
      </c>
      <c r="M18" s="122">
        <v>3</v>
      </c>
      <c r="N18" s="129" t="s">
        <v>518</v>
      </c>
      <c r="O18" s="129"/>
      <c r="P18" s="129" t="s">
        <v>510</v>
      </c>
      <c r="Q18" t="s">
        <v>234</v>
      </c>
      <c r="R18" s="6" t="s">
        <v>200</v>
      </c>
      <c r="S18" s="65">
        <v>3</v>
      </c>
      <c r="AN18" s="6"/>
      <c r="AO18" s="6"/>
      <c r="AS18" s="6"/>
      <c r="AT18" s="6"/>
      <c r="AU18" s="6"/>
    </row>
    <row r="19" spans="2:47" x14ac:dyDescent="0.25">
      <c r="B19" s="122"/>
      <c r="C19" s="122"/>
      <c r="D19" s="122"/>
      <c r="E19" s="122"/>
      <c r="F19" s="122"/>
      <c r="G19" s="122"/>
      <c r="H19" s="122"/>
      <c r="I19" s="122"/>
      <c r="J19" s="122"/>
      <c r="K19" s="122"/>
      <c r="L19" s="122"/>
      <c r="M19" s="122"/>
      <c r="N19" s="129"/>
      <c r="O19" s="129"/>
      <c r="P19" s="129"/>
      <c r="Q19" t="s">
        <v>219</v>
      </c>
      <c r="R19" s="6" t="s">
        <v>216</v>
      </c>
      <c r="S19" s="65">
        <v>3</v>
      </c>
      <c r="AN19" s="6"/>
      <c r="AO19" s="6"/>
      <c r="AS19" s="6"/>
      <c r="AT19" s="6"/>
      <c r="AU19" s="6"/>
    </row>
    <row r="20" spans="2:47" ht="15" customHeight="1" x14ac:dyDescent="0.25">
      <c r="B20" s="122"/>
      <c r="C20" s="122"/>
      <c r="D20" s="122"/>
      <c r="E20" s="122"/>
      <c r="F20" s="122"/>
      <c r="G20" s="122"/>
      <c r="H20" s="122"/>
      <c r="I20" s="122"/>
      <c r="J20" s="122"/>
      <c r="K20" s="122"/>
      <c r="L20" s="122"/>
      <c r="M20" s="122"/>
      <c r="N20" s="129"/>
      <c r="O20" s="129"/>
      <c r="P20" s="129"/>
      <c r="Q20" t="s">
        <v>221</v>
      </c>
      <c r="R20" s="6" t="s">
        <v>216</v>
      </c>
      <c r="S20" s="65">
        <v>3</v>
      </c>
      <c r="AN20" s="6"/>
      <c r="AO20" s="6"/>
      <c r="AS20" s="6"/>
      <c r="AT20" s="6"/>
      <c r="AU20" s="6"/>
    </row>
    <row r="21" spans="2:47" x14ac:dyDescent="0.25">
      <c r="B21" s="122" t="s">
        <v>238</v>
      </c>
      <c r="C21" s="122">
        <v>7</v>
      </c>
      <c r="D21" s="122">
        <v>6</v>
      </c>
      <c r="E21" s="122">
        <v>2</v>
      </c>
      <c r="F21" s="122">
        <v>4</v>
      </c>
      <c r="G21" s="122" t="s">
        <v>198</v>
      </c>
      <c r="H21" s="122" t="s">
        <v>198</v>
      </c>
      <c r="I21" s="122"/>
      <c r="J21" s="122"/>
      <c r="K21" s="122"/>
      <c r="L21" s="122">
        <v>110</v>
      </c>
      <c r="M21" s="122">
        <v>1</v>
      </c>
      <c r="N21" s="129" t="s">
        <v>519</v>
      </c>
      <c r="O21" s="129" t="s">
        <v>508</v>
      </c>
      <c r="P21" s="129" t="s">
        <v>511</v>
      </c>
      <c r="Q21" t="s">
        <v>219</v>
      </c>
      <c r="R21" s="6" t="s">
        <v>216</v>
      </c>
      <c r="S21" s="65">
        <v>1</v>
      </c>
      <c r="AN21" s="6"/>
      <c r="AO21" s="6"/>
      <c r="AS21" s="6"/>
      <c r="AT21" s="6"/>
      <c r="AU21" s="6"/>
    </row>
    <row r="22" spans="2:47" x14ac:dyDescent="0.25">
      <c r="B22" s="122"/>
      <c r="C22" s="122"/>
      <c r="D22" s="122"/>
      <c r="E22" s="122"/>
      <c r="F22" s="122"/>
      <c r="G22" s="122"/>
      <c r="H22" s="122"/>
      <c r="I22" s="122"/>
      <c r="J22" s="122"/>
      <c r="K22" s="122"/>
      <c r="L22" s="122"/>
      <c r="M22" s="122"/>
      <c r="N22" s="129"/>
      <c r="O22" s="129"/>
      <c r="P22" s="129"/>
      <c r="Q22" t="s">
        <v>221</v>
      </c>
      <c r="R22" s="6" t="s">
        <v>216</v>
      </c>
      <c r="S22" s="65">
        <v>1</v>
      </c>
      <c r="AN22" s="6"/>
      <c r="AO22" s="6"/>
      <c r="AS22" s="6"/>
      <c r="AT22" s="6"/>
      <c r="AU22" s="6"/>
    </row>
    <row r="23" spans="2:47" ht="15" customHeight="1" x14ac:dyDescent="0.25">
      <c r="B23" s="122" t="s">
        <v>239</v>
      </c>
      <c r="C23" s="122">
        <v>6</v>
      </c>
      <c r="D23" s="122">
        <v>5</v>
      </c>
      <c r="E23" s="122">
        <v>3</v>
      </c>
      <c r="F23" s="122">
        <v>4</v>
      </c>
      <c r="G23" s="122" t="s">
        <v>198</v>
      </c>
      <c r="H23" s="122" t="s">
        <v>198</v>
      </c>
      <c r="I23" s="122">
        <v>5</v>
      </c>
      <c r="J23" s="122">
        <v>1</v>
      </c>
      <c r="K23" s="122">
        <v>6</v>
      </c>
      <c r="L23" s="122">
        <v>65</v>
      </c>
      <c r="M23" s="122">
        <v>1</v>
      </c>
      <c r="N23" s="129" t="s">
        <v>520</v>
      </c>
      <c r="O23" s="129" t="s">
        <v>629</v>
      </c>
      <c r="P23" s="129" t="s">
        <v>512</v>
      </c>
      <c r="Q23" t="s">
        <v>230</v>
      </c>
      <c r="R23" s="6" t="s">
        <v>200</v>
      </c>
      <c r="S23" s="65">
        <v>1</v>
      </c>
      <c r="AN23" s="6"/>
      <c r="AO23" s="6"/>
      <c r="AS23" s="6"/>
      <c r="AT23" s="6"/>
      <c r="AU23" s="6"/>
    </row>
    <row r="24" spans="2:47" x14ac:dyDescent="0.25">
      <c r="B24" s="122"/>
      <c r="C24" s="122"/>
      <c r="D24" s="122"/>
      <c r="E24" s="122"/>
      <c r="F24" s="122"/>
      <c r="G24" s="122"/>
      <c r="H24" s="122"/>
      <c r="I24" s="122"/>
      <c r="J24" s="122"/>
      <c r="K24" s="122"/>
      <c r="L24" s="122"/>
      <c r="M24" s="122"/>
      <c r="N24" s="129"/>
      <c r="O24" s="129"/>
      <c r="P24" s="129"/>
      <c r="Q24" s="3" t="s">
        <v>232</v>
      </c>
      <c r="R24" s="6" t="s">
        <v>200</v>
      </c>
      <c r="S24" s="65">
        <v>1</v>
      </c>
      <c r="AN24" s="6"/>
      <c r="AO24" s="6"/>
      <c r="AS24" s="6"/>
      <c r="AT24" s="6"/>
      <c r="AU24" s="6"/>
    </row>
    <row r="25" spans="2:47" ht="15" customHeight="1" x14ac:dyDescent="0.25">
      <c r="B25" s="122"/>
      <c r="C25" s="122"/>
      <c r="D25" s="122"/>
      <c r="E25" s="122"/>
      <c r="F25" s="122"/>
      <c r="G25" s="122"/>
      <c r="H25" s="122"/>
      <c r="I25" s="122"/>
      <c r="J25" s="122"/>
      <c r="K25" s="122"/>
      <c r="L25" s="122"/>
      <c r="M25" s="122"/>
      <c r="N25" s="129"/>
      <c r="O25" s="129"/>
      <c r="P25" s="129"/>
      <c r="Q25" t="s">
        <v>226</v>
      </c>
      <c r="R25" s="6" t="s">
        <v>216</v>
      </c>
      <c r="S25" s="65">
        <v>1</v>
      </c>
      <c r="AN25" s="6"/>
      <c r="AO25" s="6"/>
      <c r="AS25" s="6"/>
      <c r="AT25" s="6"/>
      <c r="AU25" s="6"/>
    </row>
    <row r="26" spans="2:47" x14ac:dyDescent="0.25">
      <c r="B26" s="122" t="s">
        <v>240</v>
      </c>
      <c r="C26" s="122">
        <v>6</v>
      </c>
      <c r="D26" s="122">
        <v>4</v>
      </c>
      <c r="E26" s="122">
        <v>3</v>
      </c>
      <c r="F26" s="122" t="s">
        <v>198</v>
      </c>
      <c r="G26" s="122" t="s">
        <v>198</v>
      </c>
      <c r="H26" s="122" t="s">
        <v>198</v>
      </c>
      <c r="I26" s="122"/>
      <c r="J26" s="122"/>
      <c r="K26" s="122"/>
      <c r="L26" s="122">
        <v>60</v>
      </c>
      <c r="M26" s="122">
        <v>1</v>
      </c>
      <c r="N26" s="129"/>
      <c r="O26" s="129"/>
      <c r="P26" s="129"/>
      <c r="Q26" t="s">
        <v>230</v>
      </c>
      <c r="R26" s="6" t="s">
        <v>200</v>
      </c>
      <c r="S26" s="65">
        <v>1</v>
      </c>
      <c r="AN26" s="6"/>
      <c r="AO26" s="6"/>
      <c r="AS26" s="6"/>
      <c r="AT26" s="6"/>
      <c r="AU26" s="6"/>
    </row>
    <row r="27" spans="2:47" x14ac:dyDescent="0.25">
      <c r="B27" s="122"/>
      <c r="C27" s="122"/>
      <c r="D27" s="122"/>
      <c r="E27" s="122"/>
      <c r="F27" s="122"/>
      <c r="G27" s="122"/>
      <c r="H27" s="122"/>
      <c r="I27" s="122"/>
      <c r="J27" s="122"/>
      <c r="K27" s="122"/>
      <c r="L27" s="122"/>
      <c r="M27" s="122"/>
      <c r="N27" s="129"/>
      <c r="O27" s="129"/>
      <c r="P27" s="129"/>
      <c r="Q27" s="3" t="s">
        <v>232</v>
      </c>
      <c r="R27" s="6" t="s">
        <v>200</v>
      </c>
      <c r="S27" s="65">
        <v>1</v>
      </c>
      <c r="AN27" s="6"/>
      <c r="AO27" s="6"/>
      <c r="AS27" s="6"/>
      <c r="AT27" s="6"/>
      <c r="AU27" s="6"/>
    </row>
    <row r="28" spans="2:47" x14ac:dyDescent="0.25">
      <c r="B28" s="122"/>
      <c r="C28" s="122"/>
      <c r="D28" s="122"/>
      <c r="E28" s="122"/>
      <c r="F28" s="122"/>
      <c r="G28" s="122"/>
      <c r="H28" s="122"/>
      <c r="I28" s="122"/>
      <c r="J28" s="122"/>
      <c r="K28" s="122"/>
      <c r="L28" s="122"/>
      <c r="M28" s="122"/>
      <c r="N28" s="129"/>
      <c r="O28" s="129"/>
      <c r="P28" s="129"/>
      <c r="Q28" t="s">
        <v>229</v>
      </c>
      <c r="R28" s="6" t="s">
        <v>216</v>
      </c>
      <c r="S28" s="65">
        <v>1</v>
      </c>
      <c r="AN28" s="6"/>
      <c r="AO28" s="6"/>
      <c r="AS28" s="6"/>
      <c r="AT28" s="6"/>
      <c r="AU28" s="6"/>
    </row>
    <row r="29" spans="2:47" x14ac:dyDescent="0.25">
      <c r="B29" s="122" t="s">
        <v>241</v>
      </c>
      <c r="C29" s="122">
        <v>7</v>
      </c>
      <c r="D29" s="122">
        <v>6</v>
      </c>
      <c r="E29" s="122">
        <v>2</v>
      </c>
      <c r="F29" s="122">
        <v>4</v>
      </c>
      <c r="G29" s="122" t="s">
        <v>198</v>
      </c>
      <c r="H29" s="122" t="s">
        <v>198</v>
      </c>
      <c r="I29" s="122">
        <v>5</v>
      </c>
      <c r="J29" s="122">
        <v>1</v>
      </c>
      <c r="K29" s="122">
        <v>6</v>
      </c>
      <c r="L29" s="122">
        <v>90</v>
      </c>
      <c r="M29" s="122">
        <v>1</v>
      </c>
      <c r="N29" s="129" t="s">
        <v>516</v>
      </c>
      <c r="O29" s="129" t="s">
        <v>521</v>
      </c>
      <c r="P29" s="129" t="s">
        <v>517</v>
      </c>
      <c r="Q29" t="s">
        <v>231</v>
      </c>
      <c r="R29" s="6" t="s">
        <v>216</v>
      </c>
      <c r="S29" s="65">
        <v>1</v>
      </c>
      <c r="AN29" s="6"/>
      <c r="AO29" s="6"/>
      <c r="AS29" s="6"/>
      <c r="AT29" s="6"/>
      <c r="AU29" s="6"/>
    </row>
    <row r="30" spans="2:47" x14ac:dyDescent="0.25">
      <c r="B30" s="122"/>
      <c r="C30" s="122"/>
      <c r="D30" s="122"/>
      <c r="E30" s="122"/>
      <c r="F30" s="122"/>
      <c r="G30" s="122"/>
      <c r="H30" s="122"/>
      <c r="I30" s="122"/>
      <c r="J30" s="122"/>
      <c r="K30" s="122"/>
      <c r="L30" s="122"/>
      <c r="M30" s="122"/>
      <c r="N30" s="129"/>
      <c r="O30" s="129"/>
      <c r="P30" s="129"/>
      <c r="Q30" t="s">
        <v>233</v>
      </c>
      <c r="R30" s="6" t="s">
        <v>216</v>
      </c>
      <c r="S30" s="65">
        <v>1</v>
      </c>
      <c r="AN30" s="6"/>
      <c r="AO30" s="6"/>
      <c r="AS30" s="6"/>
      <c r="AT30" s="6"/>
      <c r="AU30" s="6"/>
    </row>
    <row r="31" spans="2:47" ht="15" customHeight="1" x14ac:dyDescent="0.25">
      <c r="B31" s="56" t="s">
        <v>181</v>
      </c>
      <c r="C31" s="56">
        <v>7</v>
      </c>
      <c r="D31" s="56">
        <v>4</v>
      </c>
      <c r="E31" s="56">
        <v>4</v>
      </c>
      <c r="F31" s="37" t="s">
        <v>198</v>
      </c>
      <c r="G31" s="37" t="s">
        <v>198</v>
      </c>
      <c r="H31" s="37" t="s">
        <v>198</v>
      </c>
      <c r="I31" s="37">
        <v>8</v>
      </c>
      <c r="J31" s="37">
        <v>1</v>
      </c>
      <c r="K31" s="37">
        <v>7</v>
      </c>
      <c r="L31" s="37">
        <v>80</v>
      </c>
      <c r="M31" s="37">
        <v>2</v>
      </c>
      <c r="N31" s="64"/>
      <c r="O31" s="64"/>
      <c r="P31" s="64"/>
      <c r="Q31" t="s">
        <v>236</v>
      </c>
      <c r="R31" s="6" t="s">
        <v>216</v>
      </c>
      <c r="S31" s="65">
        <v>2</v>
      </c>
    </row>
    <row r="32" spans="2:47" x14ac:dyDescent="0.25">
      <c r="B32" s="129" t="s">
        <v>628</v>
      </c>
      <c r="C32" s="129">
        <v>6</v>
      </c>
      <c r="D32" s="129">
        <v>2</v>
      </c>
      <c r="E32" s="129">
        <v>3</v>
      </c>
      <c r="F32" s="129" t="s">
        <v>198</v>
      </c>
      <c r="G32" s="129" t="s">
        <v>198</v>
      </c>
      <c r="H32" s="129" t="s">
        <v>198</v>
      </c>
      <c r="I32" s="129">
        <v>5</v>
      </c>
      <c r="J32" s="129">
        <v>2</v>
      </c>
      <c r="K32" s="129">
        <v>6</v>
      </c>
      <c r="L32" s="129">
        <v>175</v>
      </c>
      <c r="M32" s="129">
        <v>10</v>
      </c>
      <c r="N32" s="129" t="s">
        <v>514</v>
      </c>
      <c r="O32" s="129"/>
      <c r="P32" s="129" t="s">
        <v>515</v>
      </c>
      <c r="Q32" s="3" t="s">
        <v>201</v>
      </c>
      <c r="R32" s="6" t="s">
        <v>216</v>
      </c>
      <c r="S32" s="65">
        <v>4</v>
      </c>
    </row>
    <row r="33" spans="2:19" x14ac:dyDescent="0.25">
      <c r="B33" s="129"/>
      <c r="C33" s="129"/>
      <c r="D33" s="129"/>
      <c r="E33" s="129"/>
      <c r="F33" s="129"/>
      <c r="G33" s="129"/>
      <c r="H33" s="129"/>
      <c r="I33" s="129"/>
      <c r="J33" s="129"/>
      <c r="K33" s="129"/>
      <c r="L33" s="129"/>
      <c r="M33" s="129"/>
      <c r="N33" s="129"/>
      <c r="O33" s="129"/>
      <c r="P33" s="129"/>
      <c r="Q33" t="s">
        <v>209</v>
      </c>
      <c r="R33" s="6" t="s">
        <v>216</v>
      </c>
      <c r="S33" s="65">
        <v>4</v>
      </c>
    </row>
    <row r="34" spans="2:19" ht="15" customHeight="1" x14ac:dyDescent="0.25">
      <c r="B34" s="129"/>
      <c r="C34" s="129"/>
      <c r="D34" s="129"/>
      <c r="E34" s="129"/>
      <c r="F34" s="129"/>
      <c r="G34" s="129"/>
      <c r="H34" s="129"/>
      <c r="I34" s="129"/>
      <c r="J34" s="129"/>
      <c r="K34" s="129"/>
      <c r="L34" s="129"/>
      <c r="M34" s="129"/>
      <c r="N34" s="129"/>
      <c r="O34" s="129"/>
      <c r="P34" s="129"/>
      <c r="Q34" s="3" t="s">
        <v>230</v>
      </c>
      <c r="R34" s="6" t="s">
        <v>200</v>
      </c>
      <c r="S34" s="65">
        <v>1</v>
      </c>
    </row>
    <row r="35" spans="2:19" x14ac:dyDescent="0.25">
      <c r="B35" s="129"/>
      <c r="C35" s="129"/>
      <c r="D35" s="129"/>
      <c r="E35" s="129"/>
      <c r="F35" s="129"/>
      <c r="G35" s="129"/>
      <c r="H35" s="129"/>
      <c r="I35" s="129"/>
      <c r="J35" s="129"/>
      <c r="K35" s="129"/>
      <c r="L35" s="129"/>
      <c r="M35" s="129"/>
      <c r="N35" s="129"/>
      <c r="O35" s="129"/>
      <c r="P35" s="129"/>
      <c r="Q35" s="3" t="s">
        <v>232</v>
      </c>
      <c r="R35" s="6" t="s">
        <v>200</v>
      </c>
      <c r="S35" s="65">
        <v>1</v>
      </c>
    </row>
    <row r="36" spans="2:19" x14ac:dyDescent="0.25">
      <c r="B36" s="129"/>
      <c r="C36" s="129"/>
      <c r="D36" s="129"/>
      <c r="E36" s="129"/>
      <c r="F36" s="129"/>
      <c r="G36" s="129"/>
      <c r="H36" s="129"/>
      <c r="I36" s="129"/>
      <c r="J36" s="129"/>
      <c r="K36" s="129"/>
      <c r="L36" s="129"/>
      <c r="M36" s="129"/>
      <c r="N36" s="129"/>
      <c r="O36" s="129"/>
      <c r="P36" s="129"/>
      <c r="Q36" t="s">
        <v>214</v>
      </c>
      <c r="R36" s="6" t="s">
        <v>216</v>
      </c>
      <c r="S36" s="65">
        <v>1</v>
      </c>
    </row>
    <row r="37" spans="2:19" x14ac:dyDescent="0.25">
      <c r="S37" s="65"/>
    </row>
    <row r="38" spans="2:19" x14ac:dyDescent="0.25">
      <c r="S38" s="65"/>
    </row>
    <row r="39" spans="2:19" x14ac:dyDescent="0.25">
      <c r="C39" s="4"/>
      <c r="D39" s="4"/>
      <c r="E39" s="4"/>
      <c r="F39" s="4"/>
      <c r="G39" s="4"/>
      <c r="H39" s="4"/>
      <c r="I39" s="4"/>
      <c r="J39" s="4"/>
      <c r="K39" s="4"/>
      <c r="L39" s="4"/>
      <c r="M39" s="4"/>
      <c r="N39" s="9"/>
      <c r="O39" s="9"/>
      <c r="P39" s="9"/>
      <c r="R39" s="6"/>
      <c r="S39" s="65"/>
    </row>
    <row r="40" spans="2:19" x14ac:dyDescent="0.25">
      <c r="C40" s="4"/>
      <c r="D40" s="4"/>
      <c r="E40" s="4"/>
      <c r="F40" s="4"/>
      <c r="G40" s="4"/>
      <c r="H40" s="4"/>
      <c r="I40" s="4"/>
      <c r="J40" s="4"/>
      <c r="K40" s="4"/>
      <c r="L40" s="4"/>
      <c r="M40" s="4"/>
      <c r="N40" s="9"/>
      <c r="O40" s="9"/>
      <c r="P40" s="9"/>
      <c r="R40" s="6"/>
      <c r="S40" s="65"/>
    </row>
    <row r="41" spans="2:19" x14ac:dyDescent="0.25">
      <c r="C41" s="4"/>
      <c r="D41" s="4"/>
      <c r="E41" s="4"/>
      <c r="F41" s="4"/>
      <c r="G41" s="4"/>
      <c r="H41" s="4"/>
      <c r="I41" s="4"/>
      <c r="J41" s="4"/>
      <c r="K41" s="4"/>
      <c r="L41" s="4"/>
      <c r="M41" s="4"/>
      <c r="N41" s="9"/>
      <c r="O41" s="9"/>
      <c r="P41" s="9"/>
      <c r="R41" s="6"/>
      <c r="S41" s="65"/>
    </row>
    <row r="42" spans="2:19" x14ac:dyDescent="0.25">
      <c r="C42" s="4"/>
      <c r="D42" s="4"/>
      <c r="E42" s="4"/>
      <c r="F42" s="4"/>
      <c r="G42" s="4"/>
      <c r="H42" s="4"/>
      <c r="I42" s="4"/>
      <c r="J42" s="4"/>
      <c r="K42" s="4"/>
      <c r="L42" s="4"/>
      <c r="M42" s="4"/>
      <c r="N42" s="9"/>
      <c r="O42" s="9"/>
      <c r="P42" s="9"/>
      <c r="R42" s="6"/>
      <c r="S42" s="65"/>
    </row>
    <row r="43" spans="2:19" x14ac:dyDescent="0.25">
      <c r="C43" s="4"/>
      <c r="D43" s="4"/>
      <c r="E43" s="4"/>
      <c r="F43" s="4"/>
      <c r="G43" s="4"/>
      <c r="H43" s="4"/>
      <c r="I43" s="4"/>
      <c r="J43" s="4"/>
      <c r="K43" s="4"/>
      <c r="L43" s="4"/>
      <c r="M43" s="4"/>
      <c r="N43" s="9"/>
      <c r="O43" s="9"/>
      <c r="P43" s="9"/>
      <c r="R43" s="6"/>
      <c r="S43" s="65"/>
    </row>
    <row r="44" spans="2:19" x14ac:dyDescent="0.25">
      <c r="C44" s="4"/>
      <c r="D44" s="4"/>
      <c r="E44" s="4"/>
      <c r="F44" s="4"/>
      <c r="G44" s="4"/>
      <c r="H44" s="4"/>
      <c r="I44" s="4"/>
      <c r="J44" s="4"/>
      <c r="K44" s="4"/>
      <c r="L44" s="4"/>
      <c r="M44" s="4"/>
      <c r="N44" s="9"/>
      <c r="O44" s="9"/>
      <c r="P44" s="9"/>
      <c r="R44" s="6"/>
      <c r="S44" s="65"/>
    </row>
    <row r="45" spans="2:19" x14ac:dyDescent="0.25">
      <c r="C45" s="56"/>
      <c r="D45" s="56"/>
      <c r="E45" s="56"/>
      <c r="F45" s="56"/>
      <c r="G45" s="56"/>
      <c r="H45" s="56"/>
      <c r="I45" s="56"/>
      <c r="J45" s="56"/>
      <c r="K45" s="56"/>
      <c r="L45" s="56"/>
      <c r="M45" s="56"/>
      <c r="N45" s="63"/>
      <c r="O45" s="63"/>
      <c r="P45" s="63"/>
      <c r="R45" s="6"/>
      <c r="S45" s="65"/>
    </row>
    <row r="46" spans="2:19" x14ac:dyDescent="0.25">
      <c r="C46" s="56"/>
      <c r="D46" s="56"/>
      <c r="E46" s="56"/>
      <c r="F46" s="56"/>
      <c r="G46" s="56"/>
      <c r="H46" s="56"/>
      <c r="I46" s="56"/>
      <c r="J46" s="56"/>
      <c r="K46" s="56"/>
      <c r="L46" s="56"/>
      <c r="M46" s="56"/>
      <c r="N46" s="63"/>
      <c r="O46" s="63"/>
      <c r="P46" s="63"/>
      <c r="R46" s="6"/>
      <c r="S46" s="65"/>
    </row>
    <row r="47" spans="2:19" x14ac:dyDescent="0.25">
      <c r="C47" s="56"/>
      <c r="D47" s="56"/>
      <c r="E47" s="56"/>
      <c r="F47" s="56"/>
      <c r="G47" s="56"/>
      <c r="H47" s="56"/>
      <c r="I47" s="56"/>
      <c r="J47" s="56"/>
      <c r="K47" s="56"/>
      <c r="L47" s="56"/>
      <c r="M47" s="56"/>
      <c r="N47" s="63"/>
      <c r="O47" s="63"/>
      <c r="P47" s="63"/>
      <c r="R47" s="6"/>
      <c r="S47" s="65"/>
    </row>
    <row r="48" spans="2:19" x14ac:dyDescent="0.25">
      <c r="C48" s="56"/>
      <c r="D48" s="56"/>
      <c r="E48" s="56"/>
      <c r="F48" s="56"/>
      <c r="G48" s="56"/>
      <c r="H48" s="56"/>
      <c r="I48" s="56"/>
      <c r="J48" s="56"/>
      <c r="K48" s="56"/>
      <c r="L48" s="56"/>
      <c r="M48" s="56"/>
      <c r="N48" s="63"/>
      <c r="O48" s="63"/>
      <c r="P48" s="63"/>
      <c r="R48" s="6"/>
      <c r="S48" s="65"/>
    </row>
    <row r="49" spans="3:19" x14ac:dyDescent="0.25">
      <c r="C49" s="56"/>
      <c r="D49" s="56"/>
      <c r="E49" s="56"/>
      <c r="F49" s="56"/>
      <c r="G49" s="56"/>
      <c r="H49" s="56"/>
      <c r="I49" s="56"/>
      <c r="J49" s="56"/>
      <c r="K49" s="56"/>
      <c r="L49" s="56"/>
      <c r="M49" s="56"/>
      <c r="N49" s="63"/>
      <c r="O49" s="63"/>
      <c r="P49" s="63"/>
      <c r="R49" s="6"/>
      <c r="S49" s="65"/>
    </row>
    <row r="50" spans="3:19" x14ac:dyDescent="0.25">
      <c r="C50" s="56"/>
      <c r="D50" s="56"/>
      <c r="E50" s="56"/>
      <c r="F50" s="56"/>
      <c r="G50" s="56"/>
      <c r="H50" s="56"/>
      <c r="I50" s="56"/>
      <c r="J50" s="56"/>
      <c r="K50" s="56"/>
      <c r="L50" s="56"/>
      <c r="M50" s="56"/>
      <c r="N50" s="63"/>
      <c r="O50" s="63"/>
      <c r="P50" s="63"/>
      <c r="R50" s="6"/>
      <c r="S50" s="65"/>
    </row>
    <row r="51" spans="3:19" x14ac:dyDescent="0.25">
      <c r="C51" s="56"/>
      <c r="D51" s="56"/>
      <c r="E51" s="56"/>
      <c r="F51" s="56"/>
      <c r="G51" s="56"/>
      <c r="H51" s="56"/>
      <c r="I51" s="56"/>
      <c r="J51" s="56"/>
      <c r="K51" s="56"/>
      <c r="L51" s="56"/>
      <c r="M51" s="56"/>
      <c r="N51" s="63"/>
      <c r="O51" s="63"/>
      <c r="P51" s="63"/>
      <c r="R51" s="6"/>
      <c r="S51" s="65"/>
    </row>
    <row r="52" spans="3:19" x14ac:dyDescent="0.25">
      <c r="C52" s="56"/>
      <c r="D52" s="56"/>
      <c r="E52" s="56"/>
      <c r="F52" s="56"/>
      <c r="G52" s="56"/>
      <c r="H52" s="56"/>
      <c r="I52" s="56"/>
      <c r="J52" s="56"/>
      <c r="K52" s="56"/>
      <c r="L52" s="56"/>
      <c r="M52" s="56"/>
      <c r="N52" s="63"/>
      <c r="O52" s="63"/>
      <c r="P52" s="63"/>
      <c r="R52" s="6"/>
      <c r="S52" s="65"/>
    </row>
    <row r="53" spans="3:19" x14ac:dyDescent="0.25">
      <c r="C53" s="56"/>
      <c r="D53" s="56"/>
      <c r="E53" s="56"/>
      <c r="F53" s="56"/>
      <c r="G53" s="56"/>
      <c r="H53" s="56"/>
      <c r="I53" s="56"/>
      <c r="J53" s="56"/>
      <c r="K53" s="56"/>
      <c r="L53" s="56"/>
      <c r="M53" s="56"/>
      <c r="N53" s="63"/>
      <c r="O53" s="63"/>
      <c r="P53" s="63"/>
      <c r="R53" s="6"/>
      <c r="S53" s="65"/>
    </row>
    <row r="54" spans="3:19" x14ac:dyDescent="0.25">
      <c r="C54" s="56"/>
      <c r="D54" s="56"/>
      <c r="E54" s="56"/>
      <c r="F54" s="56"/>
      <c r="G54" s="56"/>
      <c r="H54" s="56"/>
      <c r="I54" s="56"/>
      <c r="J54" s="56"/>
      <c r="K54" s="56"/>
      <c r="L54" s="56"/>
      <c r="M54" s="56"/>
      <c r="N54" s="63"/>
      <c r="O54" s="63"/>
      <c r="P54" s="63"/>
      <c r="R54" s="6"/>
      <c r="S54" s="65"/>
    </row>
    <row r="55" spans="3:19" x14ac:dyDescent="0.25">
      <c r="C55" s="56"/>
      <c r="D55" s="56"/>
      <c r="E55" s="56"/>
      <c r="F55" s="56"/>
      <c r="G55" s="56"/>
      <c r="H55" s="56"/>
      <c r="I55" s="56"/>
      <c r="J55" s="56"/>
      <c r="K55" s="56"/>
      <c r="L55" s="56"/>
      <c r="M55" s="56"/>
      <c r="N55" s="63"/>
      <c r="O55" s="63"/>
      <c r="P55" s="63"/>
      <c r="R55" s="6"/>
      <c r="S55" s="65"/>
    </row>
    <row r="56" spans="3:19" x14ac:dyDescent="0.25">
      <c r="C56" s="56"/>
      <c r="D56" s="56"/>
      <c r="E56" s="56"/>
      <c r="F56" s="56"/>
      <c r="G56" s="56"/>
      <c r="H56" s="56"/>
      <c r="I56" s="56"/>
      <c r="J56" s="56"/>
      <c r="K56" s="56"/>
      <c r="L56" s="56"/>
      <c r="M56" s="56"/>
      <c r="N56" s="63"/>
      <c r="O56" s="63"/>
      <c r="P56" s="63"/>
      <c r="R56" s="6"/>
      <c r="S56" s="65"/>
    </row>
    <row r="57" spans="3:19" x14ac:dyDescent="0.25">
      <c r="C57" s="56"/>
      <c r="D57" s="56"/>
      <c r="E57" s="56"/>
      <c r="F57" s="56"/>
      <c r="G57" s="56"/>
      <c r="H57" s="56"/>
      <c r="I57" s="56"/>
      <c r="J57" s="56"/>
      <c r="K57" s="56"/>
      <c r="L57" s="56"/>
      <c r="M57" s="56"/>
      <c r="N57" s="63"/>
      <c r="O57" s="63"/>
      <c r="P57" s="63"/>
      <c r="R57" s="6"/>
      <c r="S57" s="65"/>
    </row>
    <row r="58" spans="3:19" x14ac:dyDescent="0.25">
      <c r="C58" s="56"/>
      <c r="D58" s="56"/>
      <c r="E58" s="56"/>
      <c r="F58" s="56"/>
      <c r="G58" s="56"/>
      <c r="H58" s="56"/>
      <c r="I58" s="56"/>
      <c r="J58" s="56"/>
      <c r="K58" s="56"/>
      <c r="L58" s="56"/>
      <c r="M58" s="56"/>
      <c r="N58" s="63"/>
      <c r="O58" s="63"/>
      <c r="P58" s="63"/>
      <c r="R58" s="6"/>
      <c r="S58" s="65"/>
    </row>
    <row r="59" spans="3:19" x14ac:dyDescent="0.25">
      <c r="C59" s="56"/>
      <c r="D59" s="56"/>
      <c r="E59" s="56"/>
      <c r="F59" s="56"/>
      <c r="G59" s="56"/>
      <c r="H59" s="56"/>
      <c r="I59" s="56"/>
      <c r="J59" s="56"/>
      <c r="K59" s="56"/>
      <c r="L59" s="56"/>
      <c r="M59" s="56"/>
      <c r="N59" s="63"/>
      <c r="O59" s="63"/>
      <c r="P59" s="63"/>
      <c r="R59" s="6"/>
      <c r="S59" s="65"/>
    </row>
    <row r="60" spans="3:19" x14ac:dyDescent="0.25">
      <c r="C60" s="56"/>
      <c r="D60" s="56"/>
      <c r="E60" s="56"/>
      <c r="F60" s="56"/>
      <c r="G60" s="56"/>
      <c r="H60" s="56"/>
      <c r="I60" s="56"/>
      <c r="J60" s="56"/>
      <c r="K60" s="56"/>
      <c r="L60" s="56"/>
      <c r="M60" s="56"/>
      <c r="N60" s="63"/>
      <c r="O60" s="63"/>
      <c r="P60" s="63"/>
      <c r="R60" s="6"/>
      <c r="S60" s="65"/>
    </row>
    <row r="61" spans="3:19" x14ac:dyDescent="0.25">
      <c r="C61" s="56"/>
      <c r="D61" s="56"/>
      <c r="E61" s="56"/>
      <c r="F61" s="56"/>
      <c r="G61" s="56"/>
      <c r="H61" s="56"/>
      <c r="I61" s="56"/>
      <c r="J61" s="56"/>
      <c r="K61" s="56"/>
      <c r="L61" s="56"/>
      <c r="M61" s="56"/>
      <c r="N61" s="63"/>
      <c r="O61" s="63"/>
      <c r="P61" s="63"/>
      <c r="R61" s="6"/>
      <c r="S61" s="65"/>
    </row>
    <row r="62" spans="3:19" x14ac:dyDescent="0.25">
      <c r="C62" s="56"/>
      <c r="D62" s="56"/>
      <c r="E62" s="56"/>
      <c r="F62" s="56"/>
      <c r="G62" s="56"/>
      <c r="H62" s="56"/>
      <c r="I62" s="56"/>
      <c r="J62" s="56"/>
      <c r="K62" s="56"/>
      <c r="L62" s="56"/>
      <c r="M62" s="56"/>
      <c r="N62" s="63"/>
      <c r="O62" s="63"/>
      <c r="P62" s="63"/>
      <c r="R62" s="6"/>
      <c r="S62" s="65"/>
    </row>
    <row r="63" spans="3:19" x14ac:dyDescent="0.25">
      <c r="C63" s="56"/>
      <c r="D63" s="56"/>
      <c r="E63" s="56"/>
      <c r="F63" s="56"/>
      <c r="G63" s="56"/>
      <c r="H63" s="56"/>
      <c r="I63" s="56"/>
      <c r="J63" s="56"/>
      <c r="K63" s="56"/>
      <c r="L63" s="56"/>
      <c r="M63" s="56"/>
      <c r="N63" s="63"/>
      <c r="O63" s="63"/>
      <c r="P63" s="63"/>
      <c r="R63" s="6"/>
      <c r="S63" s="65"/>
    </row>
    <row r="64" spans="3:19" x14ac:dyDescent="0.25">
      <c r="C64" s="56"/>
      <c r="D64" s="56"/>
      <c r="E64" s="56"/>
      <c r="F64" s="56"/>
      <c r="G64" s="56"/>
      <c r="H64" s="56"/>
      <c r="I64" s="56"/>
      <c r="J64" s="56"/>
      <c r="K64" s="56"/>
      <c r="L64" s="56"/>
      <c r="M64" s="56"/>
      <c r="N64" s="63"/>
      <c r="O64" s="63"/>
      <c r="P64" s="63"/>
      <c r="R64" s="6"/>
      <c r="S64" s="65"/>
    </row>
    <row r="65" spans="3:19" x14ac:dyDescent="0.25">
      <c r="C65" s="56"/>
      <c r="D65" s="56"/>
      <c r="E65" s="56"/>
      <c r="F65" s="56"/>
      <c r="G65" s="56"/>
      <c r="H65" s="56"/>
      <c r="I65" s="56"/>
      <c r="J65" s="56"/>
      <c r="K65" s="56"/>
      <c r="L65" s="56"/>
      <c r="M65" s="56"/>
      <c r="N65" s="63"/>
      <c r="O65" s="63"/>
      <c r="P65" s="63"/>
      <c r="R65" s="6"/>
      <c r="S65" s="65"/>
    </row>
    <row r="66" spans="3:19" x14ac:dyDescent="0.25">
      <c r="C66" s="56"/>
      <c r="D66" s="56"/>
      <c r="E66" s="56"/>
      <c r="F66" s="56"/>
      <c r="G66" s="56"/>
      <c r="H66" s="56"/>
      <c r="I66" s="56"/>
      <c r="J66" s="56"/>
      <c r="K66" s="56"/>
      <c r="L66" s="56"/>
      <c r="M66" s="56"/>
      <c r="N66" s="63"/>
      <c r="O66" s="63"/>
      <c r="P66" s="63"/>
      <c r="R66" s="6"/>
      <c r="S66" s="65"/>
    </row>
    <row r="67" spans="3:19" x14ac:dyDescent="0.25">
      <c r="C67" s="56"/>
      <c r="D67" s="56"/>
      <c r="E67" s="56"/>
      <c r="F67" s="56"/>
      <c r="G67" s="56"/>
      <c r="H67" s="56"/>
      <c r="I67" s="56"/>
      <c r="J67" s="56"/>
      <c r="K67" s="56"/>
      <c r="L67" s="56"/>
      <c r="M67" s="56"/>
      <c r="N67" s="63"/>
      <c r="O67" s="63"/>
      <c r="P67" s="63"/>
      <c r="R67" s="6"/>
      <c r="S67" s="65"/>
    </row>
    <row r="68" spans="3:19" x14ac:dyDescent="0.25">
      <c r="C68" s="56"/>
      <c r="D68" s="56"/>
      <c r="E68" s="56"/>
      <c r="F68" s="56"/>
      <c r="G68" s="56"/>
      <c r="H68" s="56"/>
      <c r="I68" s="56"/>
      <c r="J68" s="56"/>
      <c r="K68" s="56"/>
      <c r="L68" s="56"/>
      <c r="M68" s="56"/>
      <c r="N68" s="63"/>
      <c r="O68" s="63"/>
      <c r="P68" s="63"/>
      <c r="R68" s="6"/>
      <c r="S68" s="65"/>
    </row>
    <row r="69" spans="3:19" x14ac:dyDescent="0.25">
      <c r="C69" s="56"/>
      <c r="D69" s="56"/>
      <c r="E69" s="56"/>
      <c r="F69" s="56"/>
      <c r="G69" s="56"/>
      <c r="H69" s="56"/>
      <c r="I69" s="56"/>
      <c r="J69" s="56"/>
      <c r="K69" s="56"/>
      <c r="L69" s="56"/>
      <c r="M69" s="56"/>
      <c r="N69" s="63"/>
      <c r="O69" s="63"/>
      <c r="P69" s="63"/>
      <c r="R69" s="6"/>
      <c r="S69" s="65"/>
    </row>
    <row r="70" spans="3:19" x14ac:dyDescent="0.25">
      <c r="C70" s="56"/>
      <c r="D70" s="56"/>
      <c r="E70" s="56"/>
      <c r="F70" s="56"/>
      <c r="G70" s="56"/>
      <c r="H70" s="56"/>
      <c r="I70" s="56"/>
      <c r="J70" s="56"/>
      <c r="K70" s="56"/>
      <c r="L70" s="56"/>
      <c r="M70" s="56"/>
      <c r="N70" s="63"/>
      <c r="O70" s="63"/>
      <c r="P70" s="63"/>
      <c r="R70" s="6"/>
      <c r="S70" s="65"/>
    </row>
    <row r="71" spans="3:19" x14ac:dyDescent="0.25">
      <c r="C71" s="56"/>
      <c r="D71" s="56"/>
      <c r="E71" s="56"/>
      <c r="F71" s="56"/>
      <c r="G71" s="56"/>
      <c r="H71" s="56"/>
      <c r="I71" s="56"/>
      <c r="J71" s="56"/>
      <c r="K71" s="56"/>
      <c r="L71" s="56"/>
      <c r="M71" s="56"/>
      <c r="N71" s="63"/>
      <c r="O71" s="63"/>
      <c r="P71" s="63"/>
      <c r="R71" s="6"/>
      <c r="S71" s="65"/>
    </row>
    <row r="72" spans="3:19" x14ac:dyDescent="0.25">
      <c r="C72" s="56"/>
      <c r="D72" s="56"/>
      <c r="E72" s="56"/>
      <c r="F72" s="56"/>
      <c r="G72" s="56"/>
      <c r="H72" s="56"/>
      <c r="I72" s="56"/>
      <c r="J72" s="56"/>
      <c r="K72" s="56"/>
      <c r="L72" s="56"/>
      <c r="M72" s="56"/>
      <c r="N72" s="63"/>
      <c r="O72" s="63"/>
      <c r="P72" s="63"/>
      <c r="R72" s="6"/>
      <c r="S72" s="65"/>
    </row>
    <row r="73" spans="3:19" x14ac:dyDescent="0.25">
      <c r="C73" s="56"/>
      <c r="D73" s="56"/>
      <c r="E73" s="56"/>
      <c r="F73" s="56"/>
      <c r="G73" s="56"/>
      <c r="H73" s="56"/>
      <c r="I73" s="56"/>
      <c r="J73" s="56"/>
      <c r="K73" s="56"/>
      <c r="L73" s="56"/>
      <c r="M73" s="56"/>
      <c r="N73" s="63"/>
      <c r="O73" s="63"/>
      <c r="P73" s="63"/>
      <c r="R73" s="6"/>
      <c r="S73" s="65"/>
    </row>
    <row r="74" spans="3:19" x14ac:dyDescent="0.25">
      <c r="C74" s="56"/>
      <c r="D74" s="56"/>
      <c r="E74" s="56"/>
      <c r="F74" s="56"/>
      <c r="G74" s="56"/>
      <c r="H74" s="56"/>
      <c r="I74" s="56"/>
      <c r="J74" s="56"/>
      <c r="K74" s="56"/>
      <c r="L74" s="56"/>
      <c r="M74" s="56"/>
      <c r="N74" s="63"/>
      <c r="O74" s="63"/>
      <c r="P74" s="63"/>
      <c r="R74" s="6"/>
      <c r="S74" s="65"/>
    </row>
    <row r="75" spans="3:19" x14ac:dyDescent="0.25">
      <c r="C75" s="56"/>
      <c r="D75" s="56"/>
      <c r="E75" s="56"/>
      <c r="F75" s="56"/>
      <c r="G75" s="56"/>
      <c r="H75" s="56"/>
      <c r="I75" s="56"/>
      <c r="J75" s="56"/>
      <c r="K75" s="56"/>
      <c r="L75" s="56"/>
      <c r="M75" s="56"/>
      <c r="N75" s="63"/>
      <c r="O75" s="63"/>
      <c r="P75" s="63"/>
      <c r="R75" s="6"/>
      <c r="S75" s="65"/>
    </row>
    <row r="76" spans="3:19" x14ac:dyDescent="0.25">
      <c r="C76" s="56"/>
      <c r="D76" s="56"/>
      <c r="E76" s="56"/>
      <c r="F76" s="56"/>
      <c r="G76" s="56"/>
      <c r="H76" s="56"/>
      <c r="I76" s="56"/>
      <c r="J76" s="56"/>
      <c r="K76" s="56"/>
      <c r="L76" s="56"/>
      <c r="M76" s="56"/>
      <c r="N76" s="63"/>
      <c r="O76" s="63"/>
      <c r="P76" s="63"/>
      <c r="R76" s="6"/>
      <c r="S76" s="65"/>
    </row>
    <row r="77" spans="3:19" x14ac:dyDescent="0.25">
      <c r="C77" s="56"/>
      <c r="D77" s="56"/>
      <c r="E77" s="56"/>
      <c r="F77" s="56"/>
      <c r="G77" s="56"/>
      <c r="H77" s="56"/>
      <c r="I77" s="56"/>
      <c r="J77" s="56"/>
      <c r="K77" s="56"/>
      <c r="L77" s="56"/>
      <c r="M77" s="56"/>
      <c r="N77" s="63"/>
      <c r="O77" s="63"/>
      <c r="P77" s="63"/>
      <c r="R77" s="6"/>
      <c r="S77" s="65"/>
    </row>
    <row r="78" spans="3:19" x14ac:dyDescent="0.25">
      <c r="C78" s="56"/>
      <c r="D78" s="56"/>
      <c r="E78" s="56"/>
      <c r="F78" s="56"/>
      <c r="G78" s="56"/>
      <c r="H78" s="56"/>
      <c r="I78" s="56"/>
      <c r="J78" s="56"/>
      <c r="K78" s="56"/>
      <c r="L78" s="56"/>
      <c r="M78" s="56"/>
      <c r="N78" s="63"/>
      <c r="O78" s="63"/>
      <c r="P78" s="63"/>
      <c r="R78" s="6"/>
      <c r="S78" s="65"/>
    </row>
    <row r="79" spans="3:19" x14ac:dyDescent="0.25">
      <c r="C79" s="56"/>
      <c r="D79" s="56"/>
      <c r="E79" s="56"/>
      <c r="F79" s="56"/>
      <c r="G79" s="56"/>
      <c r="H79" s="56"/>
      <c r="I79" s="56"/>
      <c r="J79" s="56"/>
      <c r="K79" s="56"/>
      <c r="L79" s="56"/>
      <c r="M79" s="56"/>
      <c r="N79" s="63"/>
      <c r="O79" s="63"/>
      <c r="P79" s="63"/>
      <c r="R79" s="6"/>
      <c r="S79" s="65"/>
    </row>
    <row r="80" spans="3:19" x14ac:dyDescent="0.25">
      <c r="C80" s="56"/>
      <c r="D80" s="56"/>
      <c r="E80" s="56"/>
      <c r="F80" s="56"/>
      <c r="G80" s="56"/>
      <c r="H80" s="56"/>
      <c r="I80" s="56"/>
      <c r="J80" s="56"/>
      <c r="K80" s="56"/>
      <c r="L80" s="56"/>
      <c r="M80" s="56"/>
      <c r="N80" s="63"/>
      <c r="O80" s="63"/>
      <c r="P80" s="63"/>
      <c r="R80" s="6"/>
      <c r="S80" s="65"/>
    </row>
    <row r="81" spans="3:19" x14ac:dyDescent="0.25">
      <c r="C81" s="56"/>
      <c r="D81" s="56"/>
      <c r="E81" s="56"/>
      <c r="F81" s="56"/>
      <c r="G81" s="56"/>
      <c r="H81" s="56"/>
      <c r="I81" s="56"/>
      <c r="J81" s="56"/>
      <c r="K81" s="56"/>
      <c r="L81" s="56"/>
      <c r="M81" s="56"/>
      <c r="N81" s="63"/>
      <c r="O81" s="63"/>
      <c r="P81" s="63"/>
      <c r="R81" s="6"/>
      <c r="S81" s="65"/>
    </row>
    <row r="82" spans="3:19" x14ac:dyDescent="0.25">
      <c r="C82" s="56"/>
      <c r="D82" s="56"/>
      <c r="E82" s="56"/>
      <c r="F82" s="56"/>
      <c r="G82" s="56"/>
      <c r="H82" s="56"/>
      <c r="I82" s="56"/>
      <c r="J82" s="56"/>
      <c r="K82" s="56"/>
      <c r="L82" s="56"/>
      <c r="M82" s="56"/>
      <c r="N82" s="63"/>
      <c r="O82" s="63"/>
      <c r="P82" s="63"/>
      <c r="R82" s="6"/>
      <c r="S82" s="65"/>
    </row>
    <row r="83" spans="3:19" x14ac:dyDescent="0.25">
      <c r="C83" s="56"/>
      <c r="D83" s="56"/>
      <c r="E83" s="56"/>
      <c r="F83" s="56"/>
      <c r="G83" s="56"/>
      <c r="H83" s="56"/>
      <c r="I83" s="56"/>
      <c r="J83" s="56"/>
      <c r="K83" s="56"/>
      <c r="L83" s="56"/>
      <c r="M83" s="56"/>
      <c r="N83" s="63"/>
      <c r="O83" s="63"/>
      <c r="P83" s="63"/>
      <c r="R83" s="6"/>
      <c r="S83" s="65"/>
    </row>
    <row r="84" spans="3:19" x14ac:dyDescent="0.25">
      <c r="C84" s="56"/>
      <c r="D84" s="56"/>
      <c r="E84" s="56"/>
      <c r="F84" s="56"/>
      <c r="G84" s="56"/>
      <c r="H84" s="56"/>
      <c r="I84" s="56"/>
      <c r="J84" s="56"/>
      <c r="K84" s="56"/>
      <c r="L84" s="56"/>
      <c r="M84" s="56"/>
      <c r="N84" s="63"/>
      <c r="O84" s="63"/>
      <c r="P84" s="63"/>
      <c r="R84" s="6"/>
      <c r="S84" s="65"/>
    </row>
    <row r="85" spans="3:19" x14ac:dyDescent="0.25">
      <c r="C85" s="56"/>
      <c r="D85" s="56"/>
      <c r="E85" s="56"/>
      <c r="F85" s="56"/>
      <c r="G85" s="56"/>
      <c r="H85" s="56"/>
      <c r="I85" s="56"/>
      <c r="J85" s="56"/>
      <c r="K85" s="56"/>
      <c r="L85" s="56"/>
      <c r="M85" s="56"/>
      <c r="N85" s="63"/>
      <c r="O85" s="63"/>
      <c r="P85" s="63"/>
      <c r="R85" s="6"/>
      <c r="S85" s="65"/>
    </row>
    <row r="86" spans="3:19" x14ac:dyDescent="0.25">
      <c r="C86" s="56"/>
      <c r="D86" s="56"/>
      <c r="E86" s="56"/>
      <c r="F86" s="56"/>
      <c r="G86" s="56"/>
      <c r="H86" s="56"/>
      <c r="I86" s="56"/>
      <c r="J86" s="56"/>
      <c r="K86" s="56"/>
      <c r="L86" s="56"/>
      <c r="M86" s="56"/>
      <c r="N86" s="63"/>
      <c r="O86" s="63"/>
      <c r="P86" s="63"/>
      <c r="R86" s="6"/>
      <c r="S86" s="65"/>
    </row>
    <row r="87" spans="3:19" x14ac:dyDescent="0.25">
      <c r="C87" s="56"/>
      <c r="D87" s="56"/>
      <c r="E87" s="56"/>
      <c r="F87" s="56"/>
      <c r="G87" s="56"/>
      <c r="H87" s="56"/>
      <c r="I87" s="56"/>
      <c r="J87" s="56"/>
      <c r="K87" s="56"/>
      <c r="L87" s="56"/>
      <c r="M87" s="56"/>
      <c r="N87" s="63"/>
      <c r="O87" s="63"/>
      <c r="P87" s="63"/>
      <c r="R87" s="6"/>
      <c r="S87" s="65"/>
    </row>
    <row r="88" spans="3:19" x14ac:dyDescent="0.25">
      <c r="C88" s="56"/>
      <c r="D88" s="56"/>
      <c r="E88" s="56"/>
      <c r="F88" s="56"/>
      <c r="G88" s="56"/>
      <c r="H88" s="56"/>
      <c r="I88" s="56"/>
      <c r="J88" s="56"/>
      <c r="K88" s="56"/>
      <c r="L88" s="56"/>
      <c r="M88" s="56"/>
      <c r="N88" s="63"/>
      <c r="O88" s="63"/>
      <c r="P88" s="63"/>
      <c r="R88" s="6"/>
      <c r="S88" s="65"/>
    </row>
    <row r="89" spans="3:19" x14ac:dyDescent="0.25">
      <c r="C89" s="56"/>
      <c r="D89" s="56"/>
      <c r="E89" s="56"/>
      <c r="F89" s="56"/>
      <c r="G89" s="56"/>
      <c r="H89" s="56"/>
      <c r="I89" s="56"/>
      <c r="J89" s="56"/>
      <c r="K89" s="56"/>
      <c r="L89" s="56"/>
      <c r="M89" s="56"/>
      <c r="N89" s="63"/>
      <c r="O89" s="63"/>
      <c r="P89" s="63"/>
      <c r="R89" s="6"/>
      <c r="S89" s="65"/>
    </row>
    <row r="90" spans="3:19" x14ac:dyDescent="0.25">
      <c r="C90" s="56"/>
      <c r="D90" s="56"/>
      <c r="E90" s="56"/>
      <c r="F90" s="56"/>
      <c r="G90" s="56"/>
      <c r="H90" s="56"/>
      <c r="I90" s="56"/>
      <c r="J90" s="56"/>
      <c r="K90" s="56"/>
      <c r="L90" s="56"/>
      <c r="M90" s="56"/>
      <c r="N90" s="63"/>
      <c r="O90" s="63"/>
      <c r="P90" s="63"/>
      <c r="R90" s="6"/>
      <c r="S90" s="65"/>
    </row>
    <row r="91" spans="3:19" x14ac:dyDescent="0.25">
      <c r="C91" s="56"/>
      <c r="D91" s="56"/>
      <c r="E91" s="56"/>
      <c r="F91" s="56"/>
      <c r="G91" s="56"/>
      <c r="H91" s="56"/>
      <c r="I91" s="56"/>
      <c r="J91" s="56"/>
      <c r="K91" s="56"/>
      <c r="L91" s="56"/>
      <c r="M91" s="56"/>
      <c r="N91" s="63"/>
      <c r="O91" s="63"/>
      <c r="P91" s="63"/>
      <c r="R91" s="6"/>
      <c r="S91" s="65"/>
    </row>
    <row r="92" spans="3:19" x14ac:dyDescent="0.25">
      <c r="C92" s="56"/>
      <c r="D92" s="56"/>
      <c r="E92" s="56"/>
      <c r="F92" s="56"/>
      <c r="G92" s="56"/>
      <c r="H92" s="56"/>
      <c r="I92" s="56"/>
      <c r="J92" s="56"/>
      <c r="K92" s="56"/>
      <c r="L92" s="56"/>
      <c r="M92" s="56"/>
      <c r="N92" s="63"/>
      <c r="O92" s="63"/>
      <c r="P92" s="63"/>
      <c r="R92" s="6"/>
      <c r="S92" s="65"/>
    </row>
    <row r="93" spans="3:19" x14ac:dyDescent="0.25">
      <c r="C93" s="56"/>
      <c r="D93" s="56"/>
      <c r="E93" s="56"/>
      <c r="F93" s="56"/>
      <c r="G93" s="56"/>
      <c r="H93" s="56"/>
      <c r="I93" s="56"/>
      <c r="J93" s="56"/>
      <c r="K93" s="56"/>
      <c r="L93" s="56"/>
      <c r="M93" s="56"/>
      <c r="N93" s="63"/>
      <c r="O93" s="63"/>
      <c r="P93" s="63"/>
      <c r="R93" s="6"/>
      <c r="S93" s="65"/>
    </row>
    <row r="94" spans="3:19" x14ac:dyDescent="0.25">
      <c r="C94" s="56"/>
      <c r="D94" s="56"/>
      <c r="E94" s="56"/>
      <c r="F94" s="56"/>
      <c r="G94" s="56"/>
      <c r="H94" s="56"/>
      <c r="I94" s="56"/>
      <c r="J94" s="56"/>
      <c r="K94" s="56"/>
      <c r="L94" s="56"/>
      <c r="M94" s="56"/>
      <c r="N94" s="63"/>
      <c r="O94" s="63"/>
      <c r="P94" s="63"/>
      <c r="R94" s="6"/>
      <c r="S94" s="65"/>
    </row>
    <row r="95" spans="3:19" x14ac:dyDescent="0.25">
      <c r="C95" s="56"/>
      <c r="D95" s="56"/>
      <c r="E95" s="56"/>
      <c r="F95" s="56"/>
      <c r="G95" s="56"/>
      <c r="H95" s="56"/>
      <c r="I95" s="56"/>
      <c r="J95" s="56"/>
      <c r="K95" s="56"/>
      <c r="L95" s="56"/>
      <c r="M95" s="56"/>
      <c r="N95" s="63"/>
      <c r="O95" s="63"/>
      <c r="P95" s="63"/>
      <c r="R95" s="6"/>
      <c r="S95" s="65"/>
    </row>
    <row r="96" spans="3:19" x14ac:dyDescent="0.25">
      <c r="C96" s="56"/>
      <c r="D96" s="56"/>
      <c r="E96" s="56"/>
      <c r="F96" s="56"/>
      <c r="G96" s="56"/>
      <c r="H96" s="56"/>
      <c r="I96" s="56"/>
      <c r="J96" s="56"/>
      <c r="K96" s="56"/>
      <c r="L96" s="56"/>
      <c r="M96" s="56"/>
      <c r="N96" s="63"/>
      <c r="O96" s="63"/>
      <c r="P96" s="63"/>
      <c r="R96" s="6"/>
      <c r="S96" s="65"/>
    </row>
    <row r="97" spans="3:19" x14ac:dyDescent="0.25">
      <c r="C97" s="56"/>
      <c r="D97" s="56"/>
      <c r="E97" s="56"/>
      <c r="F97" s="56"/>
      <c r="G97" s="56"/>
      <c r="H97" s="56"/>
      <c r="I97" s="56"/>
      <c r="J97" s="56"/>
      <c r="K97" s="56"/>
      <c r="L97" s="56"/>
      <c r="M97" s="56"/>
      <c r="N97" s="63"/>
      <c r="O97" s="63"/>
      <c r="P97" s="63"/>
      <c r="R97" s="6"/>
      <c r="S97" s="65"/>
    </row>
    <row r="98" spans="3:19" x14ac:dyDescent="0.25">
      <c r="C98" s="56"/>
      <c r="D98" s="56"/>
      <c r="E98" s="56"/>
      <c r="F98" s="56"/>
      <c r="G98" s="56"/>
      <c r="H98" s="56"/>
      <c r="I98" s="56"/>
      <c r="J98" s="56"/>
      <c r="K98" s="56"/>
      <c r="L98" s="56"/>
      <c r="M98" s="56"/>
      <c r="N98" s="63"/>
      <c r="O98" s="63"/>
      <c r="P98" s="63"/>
      <c r="R98" s="6"/>
      <c r="S98" s="65"/>
    </row>
    <row r="99" spans="3:19" x14ac:dyDescent="0.25">
      <c r="C99" s="56"/>
      <c r="D99" s="56"/>
      <c r="E99" s="56"/>
      <c r="F99" s="56"/>
      <c r="G99" s="56"/>
      <c r="H99" s="56"/>
      <c r="I99" s="56"/>
      <c r="J99" s="56"/>
      <c r="K99" s="56"/>
      <c r="L99" s="56"/>
      <c r="M99" s="56"/>
      <c r="N99" s="63"/>
      <c r="O99" s="63"/>
      <c r="P99" s="63"/>
      <c r="R99" s="6"/>
      <c r="S99" s="65"/>
    </row>
    <row r="100" spans="3:19" x14ac:dyDescent="0.25">
      <c r="C100" s="56"/>
      <c r="D100" s="56"/>
      <c r="E100" s="56"/>
      <c r="F100" s="56"/>
      <c r="G100" s="56"/>
      <c r="H100" s="56"/>
      <c r="I100" s="56"/>
      <c r="J100" s="56"/>
      <c r="K100" s="56"/>
      <c r="L100" s="56"/>
      <c r="M100" s="56"/>
      <c r="N100" s="63"/>
      <c r="O100" s="63"/>
      <c r="P100" s="63"/>
      <c r="R100" s="6"/>
      <c r="S100" s="65"/>
    </row>
  </sheetData>
  <mergeCells count="125">
    <mergeCell ref="K29:K30"/>
    <mergeCell ref="L29:L30"/>
    <mergeCell ref="M29:M30"/>
    <mergeCell ref="H32:H36"/>
    <mergeCell ref="I32:I36"/>
    <mergeCell ref="E18:E20"/>
    <mergeCell ref="F18:F20"/>
    <mergeCell ref="G18:G20"/>
    <mergeCell ref="H18:H20"/>
    <mergeCell ref="I18:I20"/>
    <mergeCell ref="J18:J20"/>
    <mergeCell ref="K18:K20"/>
    <mergeCell ref="B21:B22"/>
    <mergeCell ref="C21:C22"/>
    <mergeCell ref="D21:D22"/>
    <mergeCell ref="E21:E22"/>
    <mergeCell ref="F21:F22"/>
    <mergeCell ref="G21:G22"/>
    <mergeCell ref="H21:H22"/>
    <mergeCell ref="I21:I22"/>
    <mergeCell ref="J21:J22"/>
    <mergeCell ref="J32:J36"/>
    <mergeCell ref="K32:K36"/>
    <mergeCell ref="B26:B28"/>
    <mergeCell ref="C26:C28"/>
    <mergeCell ref="D26:D28"/>
    <mergeCell ref="E26:E28"/>
    <mergeCell ref="F26:F28"/>
    <mergeCell ref="G26:G28"/>
    <mergeCell ref="H26:H28"/>
    <mergeCell ref="B29:B30"/>
    <mergeCell ref="C29:C30"/>
    <mergeCell ref="D29:D30"/>
    <mergeCell ref="B32:B36"/>
    <mergeCell ref="C32:C36"/>
    <mergeCell ref="D32:D36"/>
    <mergeCell ref="E32:E36"/>
    <mergeCell ref="F32:F36"/>
    <mergeCell ref="G32:G36"/>
    <mergeCell ref="E29:E30"/>
    <mergeCell ref="F29:F30"/>
    <mergeCell ref="G29:G30"/>
    <mergeCell ref="H29:H30"/>
    <mergeCell ref="I29:I30"/>
    <mergeCell ref="J29:J30"/>
    <mergeCell ref="B23:B25"/>
    <mergeCell ref="C23:C25"/>
    <mergeCell ref="D23:D25"/>
    <mergeCell ref="E23:E25"/>
    <mergeCell ref="F23:F25"/>
    <mergeCell ref="G23:G25"/>
    <mergeCell ref="H23:H25"/>
    <mergeCell ref="B4:B8"/>
    <mergeCell ref="C4:C8"/>
    <mergeCell ref="D4:D8"/>
    <mergeCell ref="E4:E8"/>
    <mergeCell ref="F4:F8"/>
    <mergeCell ref="G4:G8"/>
    <mergeCell ref="H4:H8"/>
    <mergeCell ref="B9:B17"/>
    <mergeCell ref="C9:C17"/>
    <mergeCell ref="D9:D17"/>
    <mergeCell ref="E9:E17"/>
    <mergeCell ref="F9:F17"/>
    <mergeCell ref="G9:G17"/>
    <mergeCell ref="H9:H17"/>
    <mergeCell ref="B18:B20"/>
    <mergeCell ref="C18:C20"/>
    <mergeCell ref="D18:D20"/>
    <mergeCell ref="AD2:AJ2"/>
    <mergeCell ref="U2:AA2"/>
    <mergeCell ref="AR2:AW2"/>
    <mergeCell ref="AM2:AP2"/>
    <mergeCell ref="B2:S2"/>
    <mergeCell ref="J4:J8"/>
    <mergeCell ref="I4:I8"/>
    <mergeCell ref="I9:I17"/>
    <mergeCell ref="J9:J17"/>
    <mergeCell ref="P4:P8"/>
    <mergeCell ref="O4:O8"/>
    <mergeCell ref="O9:O17"/>
    <mergeCell ref="P9:P17"/>
    <mergeCell ref="I23:I25"/>
    <mergeCell ref="J23:J25"/>
    <mergeCell ref="I26:I28"/>
    <mergeCell ref="J26:J28"/>
    <mergeCell ref="L4:L8"/>
    <mergeCell ref="K4:K8"/>
    <mergeCell ref="K9:K17"/>
    <mergeCell ref="L9:L17"/>
    <mergeCell ref="L18:L20"/>
    <mergeCell ref="K21:K22"/>
    <mergeCell ref="L21:L22"/>
    <mergeCell ref="K23:K25"/>
    <mergeCell ref="L23:L25"/>
    <mergeCell ref="K26:K28"/>
    <mergeCell ref="L26:L28"/>
    <mergeCell ref="N4:N8"/>
    <mergeCell ref="M4:M8"/>
    <mergeCell ref="M9:M17"/>
    <mergeCell ref="N9:N17"/>
    <mergeCell ref="M18:M20"/>
    <mergeCell ref="N18:N20"/>
    <mergeCell ref="M21:M22"/>
    <mergeCell ref="N21:N22"/>
    <mergeCell ref="M23:M25"/>
    <mergeCell ref="N23:N25"/>
    <mergeCell ref="O18:O20"/>
    <mergeCell ref="P18:P20"/>
    <mergeCell ref="O21:O22"/>
    <mergeCell ref="P21:P22"/>
    <mergeCell ref="O23:O25"/>
    <mergeCell ref="P23:P25"/>
    <mergeCell ref="O26:O28"/>
    <mergeCell ref="P26:P28"/>
    <mergeCell ref="L32:L36"/>
    <mergeCell ref="M26:M28"/>
    <mergeCell ref="N26:N28"/>
    <mergeCell ref="M32:M36"/>
    <mergeCell ref="N32:N36"/>
    <mergeCell ref="O32:O36"/>
    <mergeCell ref="N29:N30"/>
    <mergeCell ref="O29:O30"/>
    <mergeCell ref="P29:P30"/>
    <mergeCell ref="P32:P36"/>
  </mergeCells>
  <dataValidations count="4">
    <dataValidation type="list" allowBlank="1" showInputMessage="1" showErrorMessage="1" sqref="AN4:AN30 AT4:AT30" xr:uid="{CE811991-D6A1-4CA2-812B-BE9879DC01D2}">
      <formula1>"Attacker,Target"</formula1>
    </dataValidation>
    <dataValidation type="list" allowBlank="1" showInputMessage="1" showErrorMessage="1" sqref="AO4:AO30 AU4:AU30" xr:uid="{BD14FC34-2C78-485C-8788-B3E06AAB6349}">
      <formula1>"Shooting,Fighting,Both"</formula1>
    </dataValidation>
    <dataValidation type="list" allowBlank="1" showInputMessage="1" showErrorMessage="1" sqref="R4:R7 R9:R36 R39:R100" xr:uid="{30B7A1B1-63A3-4243-88DE-5227BB7AA878}">
      <formula1>"Ranged,Melee"</formula1>
    </dataValidation>
    <dataValidation type="whole" allowBlank="1" showInputMessage="1" showErrorMessage="1" promptTitle="Qty" prompt="How many of this weapon the unit carries. Blank = 1. Use 0 for alternate profiles (e.g. frag/krak) you don't want counted together." sqref="S4:S100" xr:uid="{E6FC4FB4-5729-49FD-86A5-B5A342A67A0E}">
      <formula1>0</formula1>
      <formula2>100</formula2>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F69DA-7987-4B65-9E15-436520DC0877}">
  <sheetPr codeName="Sheet5">
    <tabColor theme="6"/>
  </sheetPr>
  <dimension ref="B2:AW100"/>
  <sheetViews>
    <sheetView workbookViewId="0">
      <selection activeCell="I52" sqref="I52"/>
    </sheetView>
  </sheetViews>
  <sheetFormatPr defaultRowHeight="15" x14ac:dyDescent="0.25"/>
  <cols>
    <col min="2" max="2" width="21.7109375" bestFit="1" customWidth="1"/>
    <col min="3" max="7" width="7.42578125" customWidth="1"/>
    <col min="8" max="8" width="13" customWidth="1"/>
    <col min="9" max="13" width="8.85546875" customWidth="1"/>
    <col min="14" max="15" width="29.7109375" customWidth="1"/>
    <col min="16" max="16" width="48.140625" customWidth="1"/>
    <col min="17" max="17" width="26" bestFit="1" customWidth="1"/>
    <col min="18" max="18" width="4.7109375" customWidth="1"/>
    <col min="19" max="19" width="6.7109375" customWidth="1"/>
    <col min="20" max="20" width="1.85546875" customWidth="1"/>
    <col min="21" max="21" width="26.28515625" bestFit="1" customWidth="1"/>
    <col min="22" max="22" width="4.42578125" bestFit="1" customWidth="1"/>
    <col min="23" max="23" width="5.42578125" bestFit="1" customWidth="1"/>
    <col min="24" max="24" width="4.28515625" bestFit="1" customWidth="1"/>
    <col min="25" max="25" width="5.5703125" bestFit="1" customWidth="1"/>
    <col min="26" max="26" width="4.5703125" bestFit="1" customWidth="1"/>
    <col min="27" max="27" width="20.42578125" bestFit="1" customWidth="1"/>
    <col min="28" max="29" width="1.85546875" customWidth="1"/>
    <col min="30" max="30" width="11.85546875" bestFit="1" customWidth="1"/>
    <col min="39" max="39" width="27.7109375" customWidth="1"/>
    <col min="40" max="41" width="12" customWidth="1"/>
    <col min="42" max="42" width="37" customWidth="1"/>
    <col min="44" max="44" width="27.7109375" customWidth="1"/>
    <col min="45" max="45" width="6.42578125" customWidth="1"/>
    <col min="46" max="47" width="13" customWidth="1"/>
    <col min="48" max="48" width="31.42578125" customWidth="1"/>
    <col min="49" max="49" width="40.7109375" customWidth="1"/>
  </cols>
  <sheetData>
    <row r="2" spans="2:49" x14ac:dyDescent="0.25">
      <c r="B2" s="57" t="s">
        <v>185</v>
      </c>
      <c r="C2" s="57"/>
      <c r="D2" s="57"/>
      <c r="E2" s="57"/>
      <c r="F2" s="57"/>
      <c r="G2" s="57"/>
      <c r="H2" s="57"/>
      <c r="I2" s="57"/>
      <c r="J2" s="57"/>
      <c r="K2" s="57"/>
      <c r="L2" s="57"/>
      <c r="M2" s="57"/>
      <c r="N2" s="57"/>
      <c r="O2" s="57"/>
      <c r="P2" s="57"/>
      <c r="Q2" s="57"/>
      <c r="R2" s="57"/>
      <c r="U2" s="131" t="s">
        <v>186</v>
      </c>
      <c r="V2" s="131"/>
      <c r="W2" s="131"/>
      <c r="X2" s="131"/>
      <c r="Y2" s="131"/>
      <c r="Z2" s="131"/>
      <c r="AA2" s="131"/>
      <c r="AD2" s="131" t="s">
        <v>242</v>
      </c>
      <c r="AE2" s="131"/>
      <c r="AF2" s="131"/>
      <c r="AG2" s="131"/>
      <c r="AH2" s="131"/>
      <c r="AI2" s="131"/>
      <c r="AJ2" s="131"/>
      <c r="AM2" s="134" t="s">
        <v>188</v>
      </c>
      <c r="AN2" s="134"/>
      <c r="AO2" s="134"/>
      <c r="AP2" s="134"/>
      <c r="AR2" s="132" t="s">
        <v>189</v>
      </c>
      <c r="AS2" s="133"/>
      <c r="AT2" s="133"/>
      <c r="AU2" s="133"/>
      <c r="AV2" s="133"/>
      <c r="AW2" s="133"/>
    </row>
    <row r="3" spans="2:49" x14ac:dyDescent="0.25">
      <c r="B3" t="s">
        <v>190</v>
      </c>
      <c r="C3" t="s">
        <v>129</v>
      </c>
      <c r="D3" t="s">
        <v>130</v>
      </c>
      <c r="E3" t="s">
        <v>131</v>
      </c>
      <c r="F3" t="s">
        <v>132</v>
      </c>
      <c r="G3" t="s">
        <v>133</v>
      </c>
      <c r="H3" t="s">
        <v>134</v>
      </c>
      <c r="I3" t="s">
        <v>496</v>
      </c>
      <c r="J3" t="s">
        <v>497</v>
      </c>
      <c r="K3" t="s">
        <v>498</v>
      </c>
      <c r="L3" t="s">
        <v>499</v>
      </c>
      <c r="M3" t="s">
        <v>500</v>
      </c>
      <c r="N3" t="s">
        <v>9</v>
      </c>
      <c r="O3" t="s">
        <v>501</v>
      </c>
      <c r="P3" t="s">
        <v>502</v>
      </c>
      <c r="Q3" t="s">
        <v>122</v>
      </c>
      <c r="R3" s="2" t="s">
        <v>177</v>
      </c>
      <c r="S3" s="2" t="s">
        <v>493</v>
      </c>
      <c r="U3" s="3" t="s">
        <v>122</v>
      </c>
      <c r="V3" s="3" t="s">
        <v>123</v>
      </c>
      <c r="W3" s="3" t="s">
        <v>124</v>
      </c>
      <c r="X3" s="3" t="s">
        <v>125</v>
      </c>
      <c r="Y3" s="3" t="s">
        <v>126</v>
      </c>
      <c r="Z3" s="3" t="s">
        <v>127</v>
      </c>
      <c r="AA3" s="3" t="s">
        <v>128</v>
      </c>
      <c r="AB3" s="2"/>
      <c r="AD3" s="3" t="s">
        <v>122</v>
      </c>
      <c r="AE3" s="3" t="s">
        <v>123</v>
      </c>
      <c r="AF3" s="3" t="s">
        <v>124</v>
      </c>
      <c r="AG3" s="3" t="s">
        <v>125</v>
      </c>
      <c r="AH3" s="3" t="s">
        <v>126</v>
      </c>
      <c r="AI3" s="3" t="s">
        <v>127</v>
      </c>
      <c r="AJ3" s="3" t="s">
        <v>128</v>
      </c>
      <c r="AM3" s="3" t="s">
        <v>191</v>
      </c>
      <c r="AN3" s="3" t="s">
        <v>192</v>
      </c>
      <c r="AO3" s="3" t="s">
        <v>193</v>
      </c>
      <c r="AP3" s="3" t="s">
        <v>128</v>
      </c>
      <c r="AR3" s="3" t="s">
        <v>194</v>
      </c>
      <c r="AS3" s="3" t="s">
        <v>195</v>
      </c>
      <c r="AT3" s="3" t="s">
        <v>192</v>
      </c>
      <c r="AU3" s="3" t="s">
        <v>193</v>
      </c>
      <c r="AV3" s="3" t="s">
        <v>128</v>
      </c>
      <c r="AW3" s="3" t="s">
        <v>196</v>
      </c>
    </row>
    <row r="4" spans="2:49" x14ac:dyDescent="0.25">
      <c r="B4" t="s">
        <v>243</v>
      </c>
      <c r="C4" s="56">
        <v>5</v>
      </c>
      <c r="D4" s="56">
        <v>2</v>
      </c>
      <c r="E4" s="56">
        <v>3</v>
      </c>
      <c r="F4" s="37" t="s">
        <v>198</v>
      </c>
      <c r="G4" s="37" t="s">
        <v>198</v>
      </c>
      <c r="H4" s="37" t="s">
        <v>198</v>
      </c>
      <c r="I4" s="37"/>
      <c r="J4" s="37"/>
      <c r="K4" s="37"/>
      <c r="L4" s="37"/>
      <c r="M4" s="37"/>
      <c r="N4" s="61"/>
      <c r="O4" s="61"/>
      <c r="P4" s="61"/>
      <c r="R4" s="6"/>
      <c r="S4" s="65"/>
      <c r="AA4" s="2"/>
      <c r="AB4" s="2"/>
      <c r="AD4" s="3"/>
      <c r="AE4" s="2"/>
      <c r="AF4" s="2"/>
      <c r="AG4" s="2"/>
      <c r="AH4" s="2"/>
      <c r="AI4" s="2"/>
      <c r="AJ4" s="2"/>
      <c r="AN4" s="6"/>
      <c r="AO4" s="6"/>
      <c r="AS4" s="6"/>
      <c r="AT4" s="6"/>
      <c r="AU4" s="6"/>
    </row>
    <row r="5" spans="2:49" x14ac:dyDescent="0.25">
      <c r="B5" s="4"/>
      <c r="C5" s="56"/>
      <c r="D5" s="56"/>
      <c r="E5" s="56"/>
      <c r="F5" s="56"/>
      <c r="G5" s="56"/>
      <c r="H5" s="56"/>
      <c r="I5" s="56"/>
      <c r="J5" s="56"/>
      <c r="K5" s="56"/>
      <c r="L5" s="56"/>
      <c r="M5" s="56"/>
      <c r="N5" s="62"/>
      <c r="O5" s="62"/>
      <c r="P5" s="62"/>
      <c r="Q5" s="3"/>
      <c r="R5" s="6"/>
      <c r="S5" s="65"/>
      <c r="U5" s="3"/>
      <c r="V5" s="2"/>
      <c r="W5" s="2"/>
      <c r="X5" s="2"/>
      <c r="Y5" s="2"/>
      <c r="Z5" s="2"/>
      <c r="AA5" s="2"/>
      <c r="AB5" s="2"/>
      <c r="AN5" s="6"/>
      <c r="AO5" s="6"/>
      <c r="AS5" s="6"/>
      <c r="AT5" s="6"/>
      <c r="AU5" s="6"/>
    </row>
    <row r="6" spans="2:49" x14ac:dyDescent="0.25">
      <c r="B6" s="4"/>
      <c r="C6" s="56"/>
      <c r="D6" s="56"/>
      <c r="E6" s="56"/>
      <c r="F6" s="56"/>
      <c r="G6" s="56"/>
      <c r="H6" s="56"/>
      <c r="I6" s="56"/>
      <c r="J6" s="56"/>
      <c r="K6" s="56"/>
      <c r="L6" s="56"/>
      <c r="M6" s="56"/>
      <c r="N6" s="62"/>
      <c r="O6" s="62"/>
      <c r="P6" s="62"/>
      <c r="Q6" s="3"/>
      <c r="R6" s="6"/>
      <c r="S6" s="65"/>
      <c r="U6" s="3"/>
      <c r="V6" s="2"/>
      <c r="W6" s="2"/>
      <c r="X6" s="2"/>
      <c r="Y6" s="2"/>
      <c r="Z6" s="2"/>
      <c r="AA6" s="2"/>
      <c r="AB6" s="2"/>
      <c r="AN6" s="6"/>
      <c r="AO6" s="6"/>
      <c r="AS6" s="6"/>
      <c r="AT6" s="6"/>
      <c r="AU6" s="6"/>
    </row>
    <row r="7" spans="2:49" x14ac:dyDescent="0.25">
      <c r="B7" s="4"/>
      <c r="C7" s="56"/>
      <c r="D7" s="56"/>
      <c r="E7" s="56"/>
      <c r="F7" s="56"/>
      <c r="G7" s="56"/>
      <c r="H7" s="56"/>
      <c r="I7" s="56"/>
      <c r="J7" s="56"/>
      <c r="K7" s="56"/>
      <c r="L7" s="56"/>
      <c r="M7" s="56"/>
      <c r="N7" s="62"/>
      <c r="O7" s="62"/>
      <c r="P7" s="62"/>
      <c r="Q7" s="3"/>
      <c r="R7" s="6"/>
      <c r="S7" s="65"/>
      <c r="U7" s="3"/>
      <c r="V7" s="2"/>
      <c r="W7" s="2"/>
      <c r="X7" s="2"/>
      <c r="Y7" s="2"/>
      <c r="Z7" s="2"/>
      <c r="AA7" s="2"/>
      <c r="AB7" s="2"/>
      <c r="AN7" s="6"/>
      <c r="AO7" s="6"/>
      <c r="AS7" s="6"/>
      <c r="AT7" s="6"/>
      <c r="AU7" s="6"/>
    </row>
    <row r="8" spans="2:49" x14ac:dyDescent="0.25">
      <c r="B8" s="4"/>
      <c r="C8" s="56"/>
      <c r="D8" s="56"/>
      <c r="E8" s="56"/>
      <c r="F8" s="56"/>
      <c r="G8" s="56"/>
      <c r="H8" s="56"/>
      <c r="I8" s="56"/>
      <c r="J8" s="56"/>
      <c r="K8" s="56"/>
      <c r="L8" s="56"/>
      <c r="M8" s="56"/>
      <c r="N8" s="62"/>
      <c r="O8" s="62"/>
      <c r="P8" s="62"/>
      <c r="Q8" s="3"/>
      <c r="R8" s="6"/>
      <c r="S8" s="65"/>
      <c r="U8" s="3"/>
      <c r="W8" s="2"/>
      <c r="X8" s="2"/>
      <c r="Y8" s="2"/>
      <c r="Z8" s="2"/>
      <c r="AA8" s="2"/>
      <c r="AN8" s="6"/>
      <c r="AO8" s="6"/>
      <c r="AS8" s="6"/>
      <c r="AT8" s="6"/>
      <c r="AU8" s="6"/>
    </row>
    <row r="9" spans="2:49" x14ac:dyDescent="0.25">
      <c r="B9" s="4"/>
      <c r="C9" s="56"/>
      <c r="D9" s="56"/>
      <c r="E9" s="56"/>
      <c r="F9" s="56"/>
      <c r="G9" s="56"/>
      <c r="H9" s="56"/>
      <c r="I9" s="56"/>
      <c r="J9" s="56"/>
      <c r="K9" s="56"/>
      <c r="L9" s="56"/>
      <c r="M9" s="56"/>
      <c r="N9" s="62"/>
      <c r="O9" s="62"/>
      <c r="P9" s="62"/>
      <c r="Q9" s="3"/>
      <c r="R9" s="6"/>
      <c r="S9" s="65"/>
      <c r="U9" s="3"/>
      <c r="V9" s="2"/>
      <c r="W9" s="2"/>
      <c r="X9" s="2"/>
      <c r="Y9" s="2"/>
      <c r="Z9" s="2"/>
      <c r="AA9" s="2"/>
      <c r="AN9" s="6"/>
      <c r="AO9" s="6"/>
      <c r="AS9" s="6"/>
      <c r="AT9" s="6"/>
      <c r="AU9" s="6"/>
    </row>
    <row r="10" spans="2:49" x14ac:dyDescent="0.25">
      <c r="B10" s="4"/>
      <c r="C10" s="56"/>
      <c r="D10" s="56"/>
      <c r="E10" s="56"/>
      <c r="F10" s="56"/>
      <c r="G10" s="56"/>
      <c r="H10" s="56"/>
      <c r="I10" s="56"/>
      <c r="J10" s="56"/>
      <c r="K10" s="56"/>
      <c r="L10" s="56"/>
      <c r="M10" s="56"/>
      <c r="N10" s="62"/>
      <c r="O10" s="62"/>
      <c r="P10" s="62"/>
      <c r="Q10" s="3"/>
      <c r="R10" s="6"/>
      <c r="S10" s="65"/>
      <c r="U10" s="3"/>
      <c r="W10" s="22"/>
      <c r="X10" s="2"/>
      <c r="Y10" s="2"/>
      <c r="Z10" s="2"/>
      <c r="AA10" s="2"/>
      <c r="AN10" s="6"/>
      <c r="AO10" s="6"/>
      <c r="AS10" s="6"/>
      <c r="AT10" s="6"/>
      <c r="AU10" s="6"/>
    </row>
    <row r="11" spans="2:49" x14ac:dyDescent="0.25">
      <c r="B11" s="4"/>
      <c r="C11" s="56"/>
      <c r="D11" s="56"/>
      <c r="E11" s="56"/>
      <c r="F11" s="56"/>
      <c r="G11" s="56"/>
      <c r="H11" s="56"/>
      <c r="I11" s="56"/>
      <c r="J11" s="56"/>
      <c r="K11" s="56"/>
      <c r="L11" s="56"/>
      <c r="M11" s="56"/>
      <c r="N11" s="62"/>
      <c r="O11" s="62"/>
      <c r="P11" s="62"/>
      <c r="Q11" s="3"/>
      <c r="R11" s="6"/>
      <c r="S11" s="65"/>
      <c r="U11" s="3"/>
      <c r="V11" s="2"/>
      <c r="W11" s="2"/>
      <c r="X11" s="2"/>
      <c r="Y11" s="2"/>
      <c r="Z11" s="2"/>
      <c r="AA11" s="2"/>
      <c r="AN11" s="6"/>
      <c r="AO11" s="6"/>
      <c r="AS11" s="6"/>
      <c r="AT11" s="6"/>
      <c r="AU11" s="6"/>
    </row>
    <row r="12" spans="2:49" x14ac:dyDescent="0.25">
      <c r="B12" s="4"/>
      <c r="C12" s="56"/>
      <c r="D12" s="56"/>
      <c r="E12" s="56"/>
      <c r="F12" s="56"/>
      <c r="G12" s="56"/>
      <c r="H12" s="56"/>
      <c r="I12" s="56"/>
      <c r="J12" s="56"/>
      <c r="K12" s="56"/>
      <c r="L12" s="56"/>
      <c r="M12" s="56"/>
      <c r="N12" s="62"/>
      <c r="O12" s="62"/>
      <c r="P12" s="62"/>
      <c r="Q12" s="3"/>
      <c r="R12" s="6"/>
      <c r="S12" s="65"/>
      <c r="U12" s="3"/>
      <c r="W12" s="2"/>
      <c r="X12" s="2"/>
      <c r="Y12" s="2"/>
      <c r="Z12" s="2"/>
      <c r="AA12" s="2"/>
      <c r="AN12" s="6"/>
      <c r="AO12" s="6"/>
      <c r="AS12" s="6"/>
      <c r="AT12" s="6"/>
      <c r="AU12" s="6"/>
    </row>
    <row r="13" spans="2:49" x14ac:dyDescent="0.25">
      <c r="B13" s="4"/>
      <c r="C13" s="56"/>
      <c r="D13" s="56"/>
      <c r="E13" s="56"/>
      <c r="F13" s="56"/>
      <c r="G13" s="56"/>
      <c r="H13" s="56"/>
      <c r="I13" s="56"/>
      <c r="J13" s="56"/>
      <c r="K13" s="56"/>
      <c r="L13" s="56"/>
      <c r="M13" s="56"/>
      <c r="N13" s="62"/>
      <c r="O13" s="62"/>
      <c r="P13" s="62"/>
      <c r="Q13" s="3"/>
      <c r="R13" s="6"/>
      <c r="S13" s="65"/>
      <c r="U13" s="3"/>
      <c r="V13" s="2"/>
      <c r="W13" s="2"/>
      <c r="X13" s="2"/>
      <c r="Y13" s="2"/>
      <c r="Z13" s="2"/>
      <c r="AN13" s="6"/>
      <c r="AO13" s="6"/>
      <c r="AS13" s="6"/>
      <c r="AT13" s="6"/>
      <c r="AU13" s="6"/>
    </row>
    <row r="14" spans="2:49" x14ac:dyDescent="0.25">
      <c r="B14" s="4"/>
      <c r="C14" s="56"/>
      <c r="D14" s="56"/>
      <c r="E14" s="56"/>
      <c r="F14" s="56"/>
      <c r="G14" s="56"/>
      <c r="H14" s="56"/>
      <c r="I14" s="56"/>
      <c r="J14" s="56"/>
      <c r="K14" s="56"/>
      <c r="L14" s="56"/>
      <c r="M14" s="56"/>
      <c r="N14" s="62"/>
      <c r="O14" s="62"/>
      <c r="P14" s="62"/>
      <c r="Q14" s="3"/>
      <c r="R14" s="6"/>
      <c r="S14" s="65"/>
      <c r="U14" s="3"/>
      <c r="W14" s="2"/>
      <c r="X14" s="2"/>
      <c r="Y14" s="2"/>
      <c r="Z14" s="2"/>
      <c r="AN14" s="6"/>
      <c r="AO14" s="6"/>
      <c r="AS14" s="6"/>
      <c r="AT14" s="6"/>
      <c r="AU14" s="6"/>
    </row>
    <row r="15" spans="2:49" x14ac:dyDescent="0.25">
      <c r="B15" s="4"/>
      <c r="C15" s="56"/>
      <c r="D15" s="56"/>
      <c r="E15" s="56"/>
      <c r="F15" s="56"/>
      <c r="G15" s="56"/>
      <c r="H15" s="56"/>
      <c r="I15" s="56"/>
      <c r="J15" s="56"/>
      <c r="K15" s="56"/>
      <c r="L15" s="56"/>
      <c r="M15" s="56"/>
      <c r="N15" s="62"/>
      <c r="O15" s="62"/>
      <c r="P15" s="62"/>
      <c r="Q15" s="3"/>
      <c r="R15" s="6"/>
      <c r="S15" s="65"/>
      <c r="U15" s="3"/>
      <c r="V15" s="2"/>
      <c r="W15" s="2"/>
      <c r="X15" s="2"/>
      <c r="Y15" s="2"/>
      <c r="Z15" s="2"/>
      <c r="AN15" s="6"/>
      <c r="AO15" s="6"/>
      <c r="AS15" s="6"/>
      <c r="AT15" s="6"/>
      <c r="AU15" s="6"/>
    </row>
    <row r="16" spans="2:49" x14ac:dyDescent="0.25">
      <c r="C16" s="56"/>
      <c r="D16" s="56"/>
      <c r="E16" s="56"/>
      <c r="F16" s="56"/>
      <c r="G16" s="56"/>
      <c r="H16" s="56"/>
      <c r="I16" s="56"/>
      <c r="J16" s="56"/>
      <c r="K16" s="56"/>
      <c r="L16" s="56"/>
      <c r="M16" s="56"/>
      <c r="N16" s="62"/>
      <c r="O16" s="62"/>
      <c r="P16" s="62"/>
      <c r="R16" s="6"/>
      <c r="S16" s="65"/>
      <c r="AN16" s="6"/>
      <c r="AO16" s="6"/>
      <c r="AS16" s="6"/>
      <c r="AT16" s="6"/>
      <c r="AU16" s="6"/>
    </row>
    <row r="17" spans="3:47" x14ac:dyDescent="0.25">
      <c r="C17" s="56"/>
      <c r="D17" s="56"/>
      <c r="E17" s="56"/>
      <c r="F17" s="56"/>
      <c r="G17" s="56"/>
      <c r="H17" s="56"/>
      <c r="I17" s="56"/>
      <c r="J17" s="56"/>
      <c r="K17" s="56"/>
      <c r="L17" s="56"/>
      <c r="M17" s="56"/>
      <c r="N17" s="62"/>
      <c r="O17" s="62"/>
      <c r="P17" s="62"/>
      <c r="R17" s="6"/>
      <c r="S17" s="65"/>
      <c r="AN17" s="6"/>
      <c r="AO17" s="6"/>
      <c r="AS17" s="6"/>
      <c r="AT17" s="6"/>
      <c r="AU17" s="6"/>
    </row>
    <row r="18" spans="3:47" x14ac:dyDescent="0.25">
      <c r="C18" s="56"/>
      <c r="D18" s="56"/>
      <c r="E18" s="56"/>
      <c r="F18" s="56"/>
      <c r="G18" s="56"/>
      <c r="H18" s="56"/>
      <c r="I18" s="56"/>
      <c r="J18" s="56"/>
      <c r="K18" s="56"/>
      <c r="L18" s="56"/>
      <c r="M18" s="56"/>
      <c r="N18" s="62"/>
      <c r="O18" s="62"/>
      <c r="P18" s="62"/>
      <c r="R18" s="6"/>
      <c r="S18" s="65"/>
      <c r="AN18" s="6"/>
      <c r="AO18" s="6"/>
      <c r="AS18" s="6"/>
      <c r="AT18" s="6"/>
      <c r="AU18" s="6"/>
    </row>
    <row r="19" spans="3:47" x14ac:dyDescent="0.25">
      <c r="C19" s="56"/>
      <c r="D19" s="56"/>
      <c r="E19" s="56"/>
      <c r="F19" s="56"/>
      <c r="G19" s="56"/>
      <c r="H19" s="56"/>
      <c r="I19" s="56"/>
      <c r="J19" s="56"/>
      <c r="K19" s="56"/>
      <c r="L19" s="56"/>
      <c r="M19" s="56"/>
      <c r="N19" s="62"/>
      <c r="O19" s="62"/>
      <c r="P19" s="62"/>
      <c r="R19" s="6"/>
      <c r="S19" s="65"/>
      <c r="AN19" s="6"/>
      <c r="AO19" s="6"/>
      <c r="AS19" s="6"/>
      <c r="AT19" s="6"/>
      <c r="AU19" s="6"/>
    </row>
    <row r="20" spans="3:47" x14ac:dyDescent="0.25">
      <c r="C20" s="56"/>
      <c r="D20" s="56"/>
      <c r="E20" s="56"/>
      <c r="F20" s="56"/>
      <c r="G20" s="56"/>
      <c r="H20" s="56"/>
      <c r="I20" s="56"/>
      <c r="J20" s="56"/>
      <c r="K20" s="56"/>
      <c r="L20" s="56"/>
      <c r="M20" s="56"/>
      <c r="N20" s="62"/>
      <c r="O20" s="62"/>
      <c r="P20" s="62"/>
      <c r="R20" s="6"/>
      <c r="S20" s="65"/>
      <c r="AN20" s="6"/>
      <c r="AO20" s="6"/>
      <c r="AS20" s="6"/>
      <c r="AT20" s="6"/>
      <c r="AU20" s="6"/>
    </row>
    <row r="21" spans="3:47" x14ac:dyDescent="0.25">
      <c r="C21" s="56"/>
      <c r="D21" s="56"/>
      <c r="E21" s="56"/>
      <c r="F21" s="56"/>
      <c r="G21" s="56"/>
      <c r="H21" s="56"/>
      <c r="I21" s="56"/>
      <c r="J21" s="56"/>
      <c r="K21" s="56"/>
      <c r="L21" s="56"/>
      <c r="M21" s="56"/>
      <c r="N21" s="62"/>
      <c r="O21" s="62"/>
      <c r="P21" s="62"/>
      <c r="R21" s="6"/>
      <c r="S21" s="65"/>
      <c r="AN21" s="6"/>
      <c r="AO21" s="6"/>
      <c r="AS21" s="6"/>
      <c r="AT21" s="6"/>
      <c r="AU21" s="6"/>
    </row>
    <row r="22" spans="3:47" x14ac:dyDescent="0.25">
      <c r="C22" s="56"/>
      <c r="D22" s="56"/>
      <c r="E22" s="56"/>
      <c r="F22" s="56"/>
      <c r="G22" s="56"/>
      <c r="H22" s="56"/>
      <c r="I22" s="56"/>
      <c r="J22" s="56"/>
      <c r="K22" s="56"/>
      <c r="L22" s="56"/>
      <c r="M22" s="56"/>
      <c r="N22" s="62"/>
      <c r="O22" s="62"/>
      <c r="P22" s="62"/>
      <c r="R22" s="6"/>
      <c r="S22" s="65"/>
      <c r="AN22" s="6"/>
      <c r="AO22" s="6"/>
      <c r="AS22" s="6"/>
      <c r="AT22" s="6"/>
      <c r="AU22" s="6"/>
    </row>
    <row r="23" spans="3:47" x14ac:dyDescent="0.25">
      <c r="C23" s="56"/>
      <c r="D23" s="56"/>
      <c r="E23" s="56"/>
      <c r="F23" s="56"/>
      <c r="G23" s="56"/>
      <c r="H23" s="56"/>
      <c r="I23" s="56"/>
      <c r="J23" s="56"/>
      <c r="K23" s="56"/>
      <c r="L23" s="56"/>
      <c r="M23" s="56"/>
      <c r="N23" s="62"/>
      <c r="O23" s="62"/>
      <c r="P23" s="62"/>
      <c r="R23" s="6"/>
      <c r="S23" s="65"/>
      <c r="AN23" s="6"/>
      <c r="AO23" s="6"/>
      <c r="AS23" s="6"/>
      <c r="AT23" s="6"/>
      <c r="AU23" s="6"/>
    </row>
    <row r="24" spans="3:47" x14ac:dyDescent="0.25">
      <c r="C24" s="56"/>
      <c r="D24" s="56"/>
      <c r="E24" s="56"/>
      <c r="F24" s="56"/>
      <c r="G24" s="56"/>
      <c r="H24" s="56"/>
      <c r="I24" s="56"/>
      <c r="J24" s="56"/>
      <c r="K24" s="56"/>
      <c r="L24" s="56"/>
      <c r="M24" s="56"/>
      <c r="N24" s="62"/>
      <c r="O24" s="62"/>
      <c r="P24" s="62"/>
      <c r="R24" s="6"/>
      <c r="S24" s="65"/>
      <c r="AN24" s="6"/>
      <c r="AO24" s="6"/>
      <c r="AS24" s="6"/>
      <c r="AT24" s="6"/>
      <c r="AU24" s="6"/>
    </row>
    <row r="25" spans="3:47" x14ac:dyDescent="0.25">
      <c r="C25" s="56"/>
      <c r="D25" s="56"/>
      <c r="E25" s="56"/>
      <c r="F25" s="56"/>
      <c r="G25" s="56"/>
      <c r="H25" s="56"/>
      <c r="I25" s="56"/>
      <c r="J25" s="56"/>
      <c r="K25" s="56"/>
      <c r="L25" s="56"/>
      <c r="M25" s="56"/>
      <c r="N25" s="62"/>
      <c r="O25" s="62"/>
      <c r="P25" s="62"/>
      <c r="R25" s="6"/>
      <c r="S25" s="65"/>
      <c r="AN25" s="6"/>
      <c r="AO25" s="6"/>
      <c r="AS25" s="6"/>
      <c r="AT25" s="6"/>
      <c r="AU25" s="6"/>
    </row>
    <row r="26" spans="3:47" x14ac:dyDescent="0.25">
      <c r="C26" s="56"/>
      <c r="D26" s="56"/>
      <c r="E26" s="56"/>
      <c r="F26" s="56"/>
      <c r="G26" s="56"/>
      <c r="H26" s="56"/>
      <c r="I26" s="56"/>
      <c r="J26" s="56"/>
      <c r="K26" s="56"/>
      <c r="L26" s="56"/>
      <c r="M26" s="56"/>
      <c r="N26" s="62"/>
      <c r="O26" s="62"/>
      <c r="P26" s="62"/>
      <c r="R26" s="6"/>
      <c r="S26" s="65"/>
      <c r="AN26" s="6"/>
      <c r="AO26" s="6"/>
      <c r="AS26" s="6"/>
      <c r="AT26" s="6"/>
      <c r="AU26" s="6"/>
    </row>
    <row r="27" spans="3:47" x14ac:dyDescent="0.25">
      <c r="C27" s="56"/>
      <c r="D27" s="56"/>
      <c r="E27" s="56"/>
      <c r="F27" s="56"/>
      <c r="G27" s="56"/>
      <c r="H27" s="56"/>
      <c r="I27" s="56"/>
      <c r="J27" s="56"/>
      <c r="K27" s="56"/>
      <c r="L27" s="56"/>
      <c r="M27" s="56"/>
      <c r="N27" s="62"/>
      <c r="O27" s="62"/>
      <c r="P27" s="62"/>
      <c r="R27" s="6"/>
      <c r="S27" s="65"/>
      <c r="AN27" s="6"/>
      <c r="AO27" s="6"/>
      <c r="AS27" s="6"/>
      <c r="AT27" s="6"/>
      <c r="AU27" s="6"/>
    </row>
    <row r="28" spans="3:47" x14ac:dyDescent="0.25">
      <c r="C28" s="56"/>
      <c r="D28" s="56"/>
      <c r="E28" s="56"/>
      <c r="F28" s="56"/>
      <c r="G28" s="56"/>
      <c r="H28" s="56"/>
      <c r="I28" s="56"/>
      <c r="J28" s="56"/>
      <c r="K28" s="56"/>
      <c r="L28" s="56"/>
      <c r="M28" s="56"/>
      <c r="N28" s="62"/>
      <c r="O28" s="62"/>
      <c r="P28" s="62"/>
      <c r="R28" s="6"/>
      <c r="S28" s="65"/>
      <c r="AN28" s="6"/>
      <c r="AO28" s="6"/>
      <c r="AS28" s="6"/>
      <c r="AT28" s="6"/>
      <c r="AU28" s="6"/>
    </row>
    <row r="29" spans="3:47" x14ac:dyDescent="0.25">
      <c r="C29" s="56"/>
      <c r="D29" s="56"/>
      <c r="E29" s="56"/>
      <c r="F29" s="56"/>
      <c r="G29" s="56"/>
      <c r="H29" s="56"/>
      <c r="I29" s="56"/>
      <c r="J29" s="56"/>
      <c r="K29" s="56"/>
      <c r="L29" s="56"/>
      <c r="M29" s="56"/>
      <c r="N29" s="62"/>
      <c r="O29" s="62"/>
      <c r="P29" s="62"/>
      <c r="R29" s="6"/>
      <c r="S29" s="65"/>
      <c r="AN29" s="6"/>
      <c r="AO29" s="6"/>
      <c r="AS29" s="6"/>
      <c r="AT29" s="6"/>
      <c r="AU29" s="6"/>
    </row>
    <row r="30" spans="3:47" x14ac:dyDescent="0.25">
      <c r="C30" s="56"/>
      <c r="D30" s="56"/>
      <c r="E30" s="56"/>
      <c r="F30" s="56"/>
      <c r="G30" s="56"/>
      <c r="H30" s="56"/>
      <c r="I30" s="56"/>
      <c r="J30" s="56"/>
      <c r="K30" s="56"/>
      <c r="L30" s="56"/>
      <c r="M30" s="56"/>
      <c r="N30" s="62"/>
      <c r="O30" s="62"/>
      <c r="P30" s="62"/>
      <c r="R30" s="6"/>
      <c r="S30" s="65"/>
      <c r="AN30" s="6"/>
      <c r="AO30" s="6"/>
      <c r="AS30" s="6"/>
      <c r="AT30" s="6"/>
      <c r="AU30" s="6"/>
    </row>
    <row r="31" spans="3:47" x14ac:dyDescent="0.25">
      <c r="C31" s="56"/>
      <c r="D31" s="56"/>
      <c r="E31" s="56"/>
      <c r="F31" s="56"/>
      <c r="G31" s="56"/>
      <c r="H31" s="56"/>
      <c r="I31" s="56"/>
      <c r="J31" s="56"/>
      <c r="K31" s="56"/>
      <c r="L31" s="56"/>
      <c r="M31" s="56"/>
      <c r="N31" s="62"/>
      <c r="O31" s="62"/>
      <c r="P31" s="62"/>
      <c r="R31" s="6"/>
      <c r="S31" s="65"/>
    </row>
    <row r="32" spans="3:47" x14ac:dyDescent="0.25">
      <c r="C32" s="56"/>
      <c r="D32" s="56"/>
      <c r="E32" s="56"/>
      <c r="F32" s="56"/>
      <c r="G32" s="56"/>
      <c r="H32" s="56"/>
      <c r="I32" s="56"/>
      <c r="J32" s="56"/>
      <c r="K32" s="56"/>
      <c r="L32" s="56"/>
      <c r="M32" s="56"/>
      <c r="N32" s="62"/>
      <c r="O32" s="62"/>
      <c r="P32" s="62"/>
      <c r="R32" s="6"/>
      <c r="S32" s="65"/>
    </row>
    <row r="33" spans="3:19" x14ac:dyDescent="0.25">
      <c r="C33" s="56"/>
      <c r="D33" s="56"/>
      <c r="E33" s="56"/>
      <c r="F33" s="56"/>
      <c r="G33" s="56"/>
      <c r="H33" s="56"/>
      <c r="I33" s="56"/>
      <c r="J33" s="56"/>
      <c r="K33" s="56"/>
      <c r="L33" s="56"/>
      <c r="M33" s="56"/>
      <c r="N33" s="62"/>
      <c r="O33" s="62"/>
      <c r="P33" s="62"/>
      <c r="R33" s="6"/>
      <c r="S33" s="65"/>
    </row>
    <row r="34" spans="3:19" x14ac:dyDescent="0.25">
      <c r="C34" s="56"/>
      <c r="D34" s="56"/>
      <c r="E34" s="56"/>
      <c r="F34" s="56"/>
      <c r="G34" s="56"/>
      <c r="H34" s="56"/>
      <c r="I34" s="56"/>
      <c r="J34" s="56"/>
      <c r="K34" s="56"/>
      <c r="L34" s="56"/>
      <c r="M34" s="56"/>
      <c r="N34" s="62"/>
      <c r="O34" s="62"/>
      <c r="P34" s="62"/>
      <c r="R34" s="6"/>
      <c r="S34" s="65"/>
    </row>
    <row r="35" spans="3:19" x14ac:dyDescent="0.25">
      <c r="C35" s="56"/>
      <c r="D35" s="56"/>
      <c r="E35" s="56"/>
      <c r="F35" s="56"/>
      <c r="G35" s="56"/>
      <c r="H35" s="56"/>
      <c r="I35" s="56"/>
      <c r="J35" s="56"/>
      <c r="K35" s="56"/>
      <c r="L35" s="56"/>
      <c r="M35" s="56"/>
      <c r="N35" s="62"/>
      <c r="O35" s="62"/>
      <c r="P35" s="62"/>
      <c r="R35" s="6"/>
      <c r="S35" s="65"/>
    </row>
    <row r="36" spans="3:19" x14ac:dyDescent="0.25">
      <c r="C36" s="56"/>
      <c r="D36" s="56"/>
      <c r="E36" s="56"/>
      <c r="F36" s="56"/>
      <c r="G36" s="56"/>
      <c r="H36" s="56"/>
      <c r="I36" s="56"/>
      <c r="J36" s="56"/>
      <c r="K36" s="56"/>
      <c r="L36" s="56"/>
      <c r="M36" s="56"/>
      <c r="N36" s="62"/>
      <c r="O36" s="62"/>
      <c r="P36" s="62"/>
      <c r="R36" s="6"/>
      <c r="S36" s="65"/>
    </row>
    <row r="37" spans="3:19" x14ac:dyDescent="0.25">
      <c r="C37" s="56"/>
      <c r="D37" s="56"/>
      <c r="E37" s="56"/>
      <c r="F37" s="56"/>
      <c r="G37" s="56"/>
      <c r="H37" s="56"/>
      <c r="I37" s="56"/>
      <c r="J37" s="56"/>
      <c r="K37" s="56"/>
      <c r="L37" s="56"/>
      <c r="M37" s="56"/>
      <c r="N37" s="62"/>
      <c r="O37" s="62"/>
      <c r="P37" s="62"/>
      <c r="R37" s="6"/>
      <c r="S37" s="65"/>
    </row>
    <row r="38" spans="3:19" x14ac:dyDescent="0.25">
      <c r="C38" s="56"/>
      <c r="D38" s="56"/>
      <c r="E38" s="56"/>
      <c r="F38" s="56"/>
      <c r="G38" s="56"/>
      <c r="H38" s="56"/>
      <c r="I38" s="56"/>
      <c r="J38" s="56"/>
      <c r="K38" s="56"/>
      <c r="L38" s="56"/>
      <c r="M38" s="56"/>
      <c r="N38" s="62"/>
      <c r="O38" s="62"/>
      <c r="P38" s="62"/>
      <c r="R38" s="6"/>
      <c r="S38" s="65"/>
    </row>
    <row r="39" spans="3:19" x14ac:dyDescent="0.25">
      <c r="C39" s="56"/>
      <c r="D39" s="56"/>
      <c r="E39" s="56"/>
      <c r="F39" s="56"/>
      <c r="G39" s="56"/>
      <c r="H39" s="56"/>
      <c r="I39" s="56"/>
      <c r="J39" s="56"/>
      <c r="K39" s="56"/>
      <c r="L39" s="56"/>
      <c r="M39" s="56"/>
      <c r="N39" s="62"/>
      <c r="O39" s="62"/>
      <c r="P39" s="62"/>
      <c r="R39" s="6"/>
      <c r="S39" s="65"/>
    </row>
    <row r="40" spans="3:19" x14ac:dyDescent="0.25">
      <c r="C40" s="56"/>
      <c r="D40" s="56"/>
      <c r="E40" s="56"/>
      <c r="F40" s="56"/>
      <c r="G40" s="56"/>
      <c r="H40" s="56"/>
      <c r="I40" s="56"/>
      <c r="J40" s="56"/>
      <c r="K40" s="56"/>
      <c r="L40" s="56"/>
      <c r="M40" s="56"/>
      <c r="N40" s="62"/>
      <c r="O40" s="62"/>
      <c r="P40" s="62"/>
      <c r="R40" s="6"/>
      <c r="S40" s="65"/>
    </row>
    <row r="41" spans="3:19" x14ac:dyDescent="0.25">
      <c r="C41" s="56"/>
      <c r="D41" s="56"/>
      <c r="E41" s="56"/>
      <c r="F41" s="56"/>
      <c r="G41" s="56"/>
      <c r="H41" s="56"/>
      <c r="I41" s="56"/>
      <c r="J41" s="56"/>
      <c r="K41" s="56"/>
      <c r="L41" s="56"/>
      <c r="M41" s="56"/>
      <c r="N41" s="62"/>
      <c r="O41" s="62"/>
      <c r="P41" s="62"/>
      <c r="R41" s="6"/>
      <c r="S41" s="65"/>
    </row>
    <row r="42" spans="3:19" x14ac:dyDescent="0.25">
      <c r="C42" s="56"/>
      <c r="D42" s="56"/>
      <c r="E42" s="56"/>
      <c r="F42" s="56"/>
      <c r="G42" s="56"/>
      <c r="H42" s="56"/>
      <c r="I42" s="56"/>
      <c r="J42" s="56"/>
      <c r="K42" s="56"/>
      <c r="L42" s="56"/>
      <c r="M42" s="56"/>
      <c r="N42" s="62"/>
      <c r="O42" s="62"/>
      <c r="P42" s="62"/>
      <c r="R42" s="6"/>
      <c r="S42" s="65"/>
    </row>
    <row r="43" spans="3:19" x14ac:dyDescent="0.25">
      <c r="C43" s="56"/>
      <c r="D43" s="56"/>
      <c r="E43" s="56"/>
      <c r="F43" s="56"/>
      <c r="G43" s="56"/>
      <c r="H43" s="56"/>
      <c r="I43" s="56"/>
      <c r="J43" s="56"/>
      <c r="K43" s="56"/>
      <c r="L43" s="56"/>
      <c r="M43" s="56"/>
      <c r="N43" s="62"/>
      <c r="O43" s="62"/>
      <c r="P43" s="62"/>
      <c r="R43" s="6"/>
      <c r="S43" s="65"/>
    </row>
    <row r="44" spans="3:19" x14ac:dyDescent="0.25">
      <c r="C44" s="56"/>
      <c r="D44" s="56"/>
      <c r="E44" s="56"/>
      <c r="F44" s="56"/>
      <c r="G44" s="56"/>
      <c r="H44" s="56"/>
      <c r="I44" s="56"/>
      <c r="J44" s="56"/>
      <c r="K44" s="56"/>
      <c r="L44" s="56"/>
      <c r="M44" s="56"/>
      <c r="N44" s="62"/>
      <c r="O44" s="62"/>
      <c r="P44" s="62"/>
      <c r="R44" s="6"/>
      <c r="S44" s="65"/>
    </row>
    <row r="45" spans="3:19" x14ac:dyDescent="0.25">
      <c r="C45" s="56"/>
      <c r="D45" s="56"/>
      <c r="E45" s="56"/>
      <c r="F45" s="56"/>
      <c r="G45" s="56"/>
      <c r="H45" s="56"/>
      <c r="I45" s="56"/>
      <c r="J45" s="56"/>
      <c r="K45" s="56"/>
      <c r="L45" s="56"/>
      <c r="M45" s="56"/>
      <c r="N45" s="62"/>
      <c r="O45" s="62"/>
      <c r="P45" s="62"/>
      <c r="R45" s="6"/>
      <c r="S45" s="65"/>
    </row>
    <row r="46" spans="3:19" x14ac:dyDescent="0.25">
      <c r="C46" s="56"/>
      <c r="D46" s="56"/>
      <c r="E46" s="56"/>
      <c r="F46" s="56"/>
      <c r="G46" s="56"/>
      <c r="H46" s="56"/>
      <c r="I46" s="56"/>
      <c r="J46" s="56"/>
      <c r="K46" s="56"/>
      <c r="L46" s="56"/>
      <c r="M46" s="56"/>
      <c r="N46" s="62"/>
      <c r="O46" s="62"/>
      <c r="P46" s="62"/>
      <c r="R46" s="6"/>
      <c r="S46" s="65"/>
    </row>
    <row r="47" spans="3:19" x14ac:dyDescent="0.25">
      <c r="C47" s="56"/>
      <c r="D47" s="56"/>
      <c r="E47" s="56"/>
      <c r="F47" s="56"/>
      <c r="G47" s="56"/>
      <c r="H47" s="56"/>
      <c r="I47" s="56"/>
      <c r="J47" s="56"/>
      <c r="K47" s="56"/>
      <c r="L47" s="56"/>
      <c r="M47" s="56"/>
      <c r="N47" s="62"/>
      <c r="O47" s="62"/>
      <c r="P47" s="62"/>
      <c r="R47" s="6"/>
      <c r="S47" s="65"/>
    </row>
    <row r="48" spans="3:19" x14ac:dyDescent="0.25">
      <c r="C48" s="56"/>
      <c r="D48" s="56"/>
      <c r="E48" s="56"/>
      <c r="F48" s="56"/>
      <c r="G48" s="56"/>
      <c r="H48" s="56"/>
      <c r="I48" s="56"/>
      <c r="J48" s="56"/>
      <c r="K48" s="56"/>
      <c r="L48" s="56"/>
      <c r="M48" s="56"/>
      <c r="N48" s="62"/>
      <c r="O48" s="62"/>
      <c r="P48" s="62"/>
      <c r="R48" s="6"/>
      <c r="S48" s="65"/>
    </row>
    <row r="49" spans="3:19" x14ac:dyDescent="0.25">
      <c r="C49" s="56"/>
      <c r="D49" s="56"/>
      <c r="E49" s="56"/>
      <c r="F49" s="56"/>
      <c r="G49" s="56"/>
      <c r="H49" s="56"/>
      <c r="I49" s="56"/>
      <c r="J49" s="56"/>
      <c r="K49" s="56"/>
      <c r="L49" s="56"/>
      <c r="M49" s="56"/>
      <c r="N49" s="62"/>
      <c r="O49" s="62"/>
      <c r="P49" s="62"/>
      <c r="R49" s="6"/>
      <c r="S49" s="65"/>
    </row>
    <row r="50" spans="3:19" x14ac:dyDescent="0.25">
      <c r="C50" s="56"/>
      <c r="D50" s="56"/>
      <c r="E50" s="56"/>
      <c r="F50" s="56"/>
      <c r="G50" s="56"/>
      <c r="H50" s="56"/>
      <c r="I50" s="56"/>
      <c r="J50" s="56"/>
      <c r="K50" s="56"/>
      <c r="L50" s="56"/>
      <c r="M50" s="56"/>
      <c r="N50" s="62"/>
      <c r="O50" s="62"/>
      <c r="P50" s="62"/>
      <c r="R50" s="6"/>
      <c r="S50" s="65"/>
    </row>
    <row r="51" spans="3:19" x14ac:dyDescent="0.25">
      <c r="C51" s="56"/>
      <c r="D51" s="56"/>
      <c r="E51" s="56"/>
      <c r="F51" s="56"/>
      <c r="G51" s="56"/>
      <c r="H51" s="56"/>
      <c r="I51" s="56"/>
      <c r="J51" s="56"/>
      <c r="K51" s="56"/>
      <c r="L51" s="56"/>
      <c r="M51" s="56"/>
      <c r="N51" s="62"/>
      <c r="O51" s="62"/>
      <c r="P51" s="62"/>
      <c r="R51" s="6"/>
      <c r="S51" s="65"/>
    </row>
    <row r="52" spans="3:19" x14ac:dyDescent="0.25">
      <c r="C52" s="56"/>
      <c r="D52" s="56"/>
      <c r="E52" s="56"/>
      <c r="F52" s="56"/>
      <c r="G52" s="56"/>
      <c r="H52" s="56"/>
      <c r="I52" s="56"/>
      <c r="J52" s="56"/>
      <c r="K52" s="56"/>
      <c r="L52" s="56"/>
      <c r="M52" s="56"/>
      <c r="N52" s="62"/>
      <c r="O52" s="62"/>
      <c r="P52" s="62"/>
      <c r="R52" s="6"/>
      <c r="S52" s="65"/>
    </row>
    <row r="53" spans="3:19" x14ac:dyDescent="0.25">
      <c r="C53" s="56"/>
      <c r="D53" s="56"/>
      <c r="E53" s="56"/>
      <c r="F53" s="56"/>
      <c r="G53" s="56"/>
      <c r="H53" s="56"/>
      <c r="I53" s="56"/>
      <c r="J53" s="56"/>
      <c r="K53" s="56"/>
      <c r="L53" s="56"/>
      <c r="M53" s="56"/>
      <c r="N53" s="62"/>
      <c r="O53" s="62"/>
      <c r="P53" s="62"/>
      <c r="R53" s="6"/>
      <c r="S53" s="65"/>
    </row>
    <row r="54" spans="3:19" x14ac:dyDescent="0.25">
      <c r="C54" s="56"/>
      <c r="D54" s="56"/>
      <c r="E54" s="56"/>
      <c r="F54" s="56"/>
      <c r="G54" s="56"/>
      <c r="H54" s="56"/>
      <c r="I54" s="56"/>
      <c r="J54" s="56"/>
      <c r="K54" s="56"/>
      <c r="L54" s="56"/>
      <c r="M54" s="56"/>
      <c r="N54" s="62"/>
      <c r="O54" s="62"/>
      <c r="P54" s="62"/>
      <c r="R54" s="6"/>
      <c r="S54" s="65"/>
    </row>
    <row r="55" spans="3:19" x14ac:dyDescent="0.25">
      <c r="C55" s="56"/>
      <c r="D55" s="56"/>
      <c r="E55" s="56"/>
      <c r="F55" s="56"/>
      <c r="G55" s="56"/>
      <c r="H55" s="56"/>
      <c r="I55" s="56"/>
      <c r="J55" s="56"/>
      <c r="K55" s="56"/>
      <c r="L55" s="56"/>
      <c r="M55" s="56"/>
      <c r="N55" s="62"/>
      <c r="O55" s="62"/>
      <c r="P55" s="62"/>
      <c r="R55" s="6"/>
      <c r="S55" s="65"/>
    </row>
    <row r="56" spans="3:19" x14ac:dyDescent="0.25">
      <c r="C56" s="56"/>
      <c r="D56" s="56"/>
      <c r="E56" s="56"/>
      <c r="F56" s="56"/>
      <c r="G56" s="56"/>
      <c r="H56" s="56"/>
      <c r="I56" s="56"/>
      <c r="J56" s="56"/>
      <c r="K56" s="56"/>
      <c r="L56" s="56"/>
      <c r="M56" s="56"/>
      <c r="N56" s="62"/>
      <c r="O56" s="62"/>
      <c r="P56" s="62"/>
      <c r="R56" s="6"/>
      <c r="S56" s="65"/>
    </row>
    <row r="57" spans="3:19" x14ac:dyDescent="0.25">
      <c r="C57" s="56"/>
      <c r="D57" s="56"/>
      <c r="E57" s="56"/>
      <c r="F57" s="56"/>
      <c r="G57" s="56"/>
      <c r="H57" s="56"/>
      <c r="I57" s="56"/>
      <c r="J57" s="56"/>
      <c r="K57" s="56"/>
      <c r="L57" s="56"/>
      <c r="M57" s="56"/>
      <c r="N57" s="62"/>
      <c r="O57" s="62"/>
      <c r="P57" s="62"/>
      <c r="R57" s="6"/>
      <c r="S57" s="65"/>
    </row>
    <row r="58" spans="3:19" x14ac:dyDescent="0.25">
      <c r="C58" s="56"/>
      <c r="D58" s="56"/>
      <c r="E58" s="56"/>
      <c r="F58" s="56"/>
      <c r="G58" s="56"/>
      <c r="H58" s="56"/>
      <c r="I58" s="56"/>
      <c r="J58" s="56"/>
      <c r="K58" s="56"/>
      <c r="L58" s="56"/>
      <c r="M58" s="56"/>
      <c r="N58" s="62"/>
      <c r="O58" s="62"/>
      <c r="P58" s="62"/>
      <c r="R58" s="6"/>
      <c r="S58" s="65"/>
    </row>
    <row r="59" spans="3:19" x14ac:dyDescent="0.25">
      <c r="C59" s="56"/>
      <c r="D59" s="56"/>
      <c r="E59" s="56"/>
      <c r="F59" s="56"/>
      <c r="G59" s="56"/>
      <c r="H59" s="56"/>
      <c r="I59" s="56"/>
      <c r="J59" s="56"/>
      <c r="K59" s="56"/>
      <c r="L59" s="56"/>
      <c r="M59" s="56"/>
      <c r="N59" s="62"/>
      <c r="O59" s="62"/>
      <c r="P59" s="62"/>
      <c r="R59" s="6"/>
      <c r="S59" s="65"/>
    </row>
    <row r="60" spans="3:19" x14ac:dyDescent="0.25">
      <c r="C60" s="56"/>
      <c r="D60" s="56"/>
      <c r="E60" s="56"/>
      <c r="F60" s="56"/>
      <c r="G60" s="56"/>
      <c r="H60" s="56"/>
      <c r="I60" s="56"/>
      <c r="J60" s="56"/>
      <c r="K60" s="56"/>
      <c r="L60" s="56"/>
      <c r="M60" s="56"/>
      <c r="N60" s="62"/>
      <c r="O60" s="62"/>
      <c r="P60" s="62"/>
      <c r="R60" s="6"/>
      <c r="S60" s="65"/>
    </row>
    <row r="61" spans="3:19" x14ac:dyDescent="0.25">
      <c r="C61" s="56"/>
      <c r="D61" s="56"/>
      <c r="E61" s="56"/>
      <c r="F61" s="56"/>
      <c r="G61" s="56"/>
      <c r="H61" s="56"/>
      <c r="I61" s="56"/>
      <c r="J61" s="56"/>
      <c r="K61" s="56"/>
      <c r="L61" s="56"/>
      <c r="M61" s="56"/>
      <c r="N61" s="62"/>
      <c r="O61" s="62"/>
      <c r="P61" s="62"/>
      <c r="R61" s="6"/>
      <c r="S61" s="65"/>
    </row>
    <row r="62" spans="3:19" x14ac:dyDescent="0.25">
      <c r="C62" s="56"/>
      <c r="D62" s="56"/>
      <c r="E62" s="56"/>
      <c r="F62" s="56"/>
      <c r="G62" s="56"/>
      <c r="H62" s="56"/>
      <c r="I62" s="56"/>
      <c r="J62" s="56"/>
      <c r="K62" s="56"/>
      <c r="L62" s="56"/>
      <c r="M62" s="56"/>
      <c r="N62" s="62"/>
      <c r="O62" s="62"/>
      <c r="P62" s="62"/>
      <c r="R62" s="6"/>
      <c r="S62" s="65"/>
    </row>
    <row r="63" spans="3:19" x14ac:dyDescent="0.25">
      <c r="C63" s="56"/>
      <c r="D63" s="56"/>
      <c r="E63" s="56"/>
      <c r="F63" s="56"/>
      <c r="G63" s="56"/>
      <c r="H63" s="56"/>
      <c r="I63" s="56"/>
      <c r="J63" s="56"/>
      <c r="K63" s="56"/>
      <c r="L63" s="56"/>
      <c r="M63" s="56"/>
      <c r="N63" s="62"/>
      <c r="O63" s="62"/>
      <c r="P63" s="62"/>
      <c r="R63" s="6"/>
      <c r="S63" s="65"/>
    </row>
    <row r="64" spans="3:19" x14ac:dyDescent="0.25">
      <c r="C64" s="56"/>
      <c r="D64" s="56"/>
      <c r="E64" s="56"/>
      <c r="F64" s="56"/>
      <c r="G64" s="56"/>
      <c r="H64" s="56"/>
      <c r="I64" s="56"/>
      <c r="J64" s="56"/>
      <c r="K64" s="56"/>
      <c r="L64" s="56"/>
      <c r="M64" s="56"/>
      <c r="N64" s="62"/>
      <c r="O64" s="62"/>
      <c r="P64" s="62"/>
      <c r="R64" s="6"/>
      <c r="S64" s="65"/>
    </row>
    <row r="65" spans="3:19" x14ac:dyDescent="0.25">
      <c r="C65" s="56"/>
      <c r="D65" s="56"/>
      <c r="E65" s="56"/>
      <c r="F65" s="56"/>
      <c r="G65" s="56"/>
      <c r="H65" s="56"/>
      <c r="I65" s="56"/>
      <c r="J65" s="56"/>
      <c r="K65" s="56"/>
      <c r="L65" s="56"/>
      <c r="M65" s="56"/>
      <c r="N65" s="62"/>
      <c r="O65" s="62"/>
      <c r="P65" s="62"/>
      <c r="R65" s="6"/>
      <c r="S65" s="65"/>
    </row>
    <row r="66" spans="3:19" x14ac:dyDescent="0.25">
      <c r="C66" s="56"/>
      <c r="D66" s="56"/>
      <c r="E66" s="56"/>
      <c r="F66" s="56"/>
      <c r="G66" s="56"/>
      <c r="H66" s="56"/>
      <c r="I66" s="56"/>
      <c r="J66" s="56"/>
      <c r="K66" s="56"/>
      <c r="L66" s="56"/>
      <c r="M66" s="56"/>
      <c r="N66" s="62"/>
      <c r="O66" s="62"/>
      <c r="P66" s="62"/>
      <c r="R66" s="6"/>
      <c r="S66" s="65"/>
    </row>
    <row r="67" spans="3:19" x14ac:dyDescent="0.25">
      <c r="C67" s="56"/>
      <c r="D67" s="56"/>
      <c r="E67" s="56"/>
      <c r="F67" s="56"/>
      <c r="G67" s="56"/>
      <c r="H67" s="56"/>
      <c r="I67" s="56"/>
      <c r="J67" s="56"/>
      <c r="K67" s="56"/>
      <c r="L67" s="56"/>
      <c r="M67" s="56"/>
      <c r="N67" s="62"/>
      <c r="O67" s="62"/>
      <c r="P67" s="62"/>
      <c r="R67" s="6"/>
      <c r="S67" s="65"/>
    </row>
    <row r="68" spans="3:19" x14ac:dyDescent="0.25">
      <c r="C68" s="56"/>
      <c r="D68" s="56"/>
      <c r="E68" s="56"/>
      <c r="F68" s="56"/>
      <c r="G68" s="56"/>
      <c r="H68" s="56"/>
      <c r="I68" s="56"/>
      <c r="J68" s="56"/>
      <c r="K68" s="56"/>
      <c r="L68" s="56"/>
      <c r="M68" s="56"/>
      <c r="N68" s="62"/>
      <c r="O68" s="62"/>
      <c r="P68" s="62"/>
      <c r="R68" s="6"/>
      <c r="S68" s="65"/>
    </row>
    <row r="69" spans="3:19" x14ac:dyDescent="0.25">
      <c r="C69" s="56"/>
      <c r="D69" s="56"/>
      <c r="E69" s="56"/>
      <c r="F69" s="56"/>
      <c r="G69" s="56"/>
      <c r="H69" s="56"/>
      <c r="I69" s="56"/>
      <c r="J69" s="56"/>
      <c r="K69" s="56"/>
      <c r="L69" s="56"/>
      <c r="M69" s="56"/>
      <c r="N69" s="62"/>
      <c r="O69" s="62"/>
      <c r="P69" s="62"/>
      <c r="R69" s="6"/>
      <c r="S69" s="65"/>
    </row>
    <row r="70" spans="3:19" x14ac:dyDescent="0.25">
      <c r="C70" s="56"/>
      <c r="D70" s="56"/>
      <c r="E70" s="56"/>
      <c r="F70" s="56"/>
      <c r="G70" s="56"/>
      <c r="H70" s="56"/>
      <c r="I70" s="56"/>
      <c r="J70" s="56"/>
      <c r="K70" s="56"/>
      <c r="L70" s="56"/>
      <c r="M70" s="56"/>
      <c r="N70" s="62"/>
      <c r="O70" s="62"/>
      <c r="P70" s="62"/>
      <c r="R70" s="6"/>
      <c r="S70" s="65"/>
    </row>
    <row r="71" spans="3:19" x14ac:dyDescent="0.25">
      <c r="C71" s="56"/>
      <c r="D71" s="56"/>
      <c r="E71" s="56"/>
      <c r="F71" s="56"/>
      <c r="G71" s="56"/>
      <c r="H71" s="56"/>
      <c r="I71" s="56"/>
      <c r="J71" s="56"/>
      <c r="K71" s="56"/>
      <c r="L71" s="56"/>
      <c r="M71" s="56"/>
      <c r="N71" s="62"/>
      <c r="O71" s="62"/>
      <c r="P71" s="62"/>
      <c r="R71" s="6"/>
      <c r="S71" s="65"/>
    </row>
    <row r="72" spans="3:19" x14ac:dyDescent="0.25">
      <c r="C72" s="56"/>
      <c r="D72" s="56"/>
      <c r="E72" s="56"/>
      <c r="F72" s="56"/>
      <c r="G72" s="56"/>
      <c r="H72" s="56"/>
      <c r="I72" s="56"/>
      <c r="J72" s="56"/>
      <c r="K72" s="56"/>
      <c r="L72" s="56"/>
      <c r="M72" s="56"/>
      <c r="N72" s="62"/>
      <c r="O72" s="62"/>
      <c r="P72" s="62"/>
      <c r="R72" s="6"/>
      <c r="S72" s="65"/>
    </row>
    <row r="73" spans="3:19" x14ac:dyDescent="0.25">
      <c r="C73" s="56"/>
      <c r="D73" s="56"/>
      <c r="E73" s="56"/>
      <c r="F73" s="56"/>
      <c r="G73" s="56"/>
      <c r="H73" s="56"/>
      <c r="I73" s="56"/>
      <c r="J73" s="56"/>
      <c r="K73" s="56"/>
      <c r="L73" s="56"/>
      <c r="M73" s="56"/>
      <c r="N73" s="62"/>
      <c r="O73" s="62"/>
      <c r="P73" s="62"/>
      <c r="R73" s="6"/>
      <c r="S73" s="65"/>
    </row>
    <row r="74" spans="3:19" x14ac:dyDescent="0.25">
      <c r="C74" s="56"/>
      <c r="D74" s="56"/>
      <c r="E74" s="56"/>
      <c r="F74" s="56"/>
      <c r="G74" s="56"/>
      <c r="H74" s="56"/>
      <c r="I74" s="56"/>
      <c r="J74" s="56"/>
      <c r="K74" s="56"/>
      <c r="L74" s="56"/>
      <c r="M74" s="56"/>
      <c r="N74" s="62"/>
      <c r="O74" s="62"/>
      <c r="P74" s="62"/>
      <c r="R74" s="6"/>
      <c r="S74" s="65"/>
    </row>
    <row r="75" spans="3:19" x14ac:dyDescent="0.25">
      <c r="C75" s="56"/>
      <c r="D75" s="56"/>
      <c r="E75" s="56"/>
      <c r="F75" s="56"/>
      <c r="G75" s="56"/>
      <c r="H75" s="56"/>
      <c r="I75" s="56"/>
      <c r="J75" s="56"/>
      <c r="K75" s="56"/>
      <c r="L75" s="56"/>
      <c r="M75" s="56"/>
      <c r="N75" s="62"/>
      <c r="O75" s="62"/>
      <c r="P75" s="62"/>
      <c r="R75" s="6"/>
      <c r="S75" s="65"/>
    </row>
    <row r="76" spans="3:19" x14ac:dyDescent="0.25">
      <c r="C76" s="56"/>
      <c r="D76" s="56"/>
      <c r="E76" s="56"/>
      <c r="F76" s="56"/>
      <c r="G76" s="56"/>
      <c r="H76" s="56"/>
      <c r="I76" s="56"/>
      <c r="J76" s="56"/>
      <c r="K76" s="56"/>
      <c r="L76" s="56"/>
      <c r="M76" s="56"/>
      <c r="N76" s="62"/>
      <c r="O76" s="62"/>
      <c r="P76" s="62"/>
      <c r="R76" s="6"/>
      <c r="S76" s="65"/>
    </row>
    <row r="77" spans="3:19" x14ac:dyDescent="0.25">
      <c r="C77" s="56"/>
      <c r="D77" s="56"/>
      <c r="E77" s="56"/>
      <c r="F77" s="56"/>
      <c r="G77" s="56"/>
      <c r="H77" s="56"/>
      <c r="I77" s="56"/>
      <c r="J77" s="56"/>
      <c r="K77" s="56"/>
      <c r="L77" s="56"/>
      <c r="M77" s="56"/>
      <c r="N77" s="62"/>
      <c r="O77" s="62"/>
      <c r="P77" s="62"/>
      <c r="R77" s="6"/>
      <c r="S77" s="65"/>
    </row>
    <row r="78" spans="3:19" x14ac:dyDescent="0.25">
      <c r="C78" s="56"/>
      <c r="D78" s="56"/>
      <c r="E78" s="56"/>
      <c r="F78" s="56"/>
      <c r="G78" s="56"/>
      <c r="H78" s="56"/>
      <c r="I78" s="56"/>
      <c r="J78" s="56"/>
      <c r="K78" s="56"/>
      <c r="L78" s="56"/>
      <c r="M78" s="56"/>
      <c r="N78" s="62"/>
      <c r="O78" s="62"/>
      <c r="P78" s="62"/>
      <c r="R78" s="6"/>
      <c r="S78" s="65"/>
    </row>
    <row r="79" spans="3:19" x14ac:dyDescent="0.25">
      <c r="C79" s="56"/>
      <c r="D79" s="56"/>
      <c r="E79" s="56"/>
      <c r="F79" s="56"/>
      <c r="G79" s="56"/>
      <c r="H79" s="56"/>
      <c r="I79" s="56"/>
      <c r="J79" s="56"/>
      <c r="K79" s="56"/>
      <c r="L79" s="56"/>
      <c r="M79" s="56"/>
      <c r="N79" s="62"/>
      <c r="O79" s="62"/>
      <c r="P79" s="62"/>
      <c r="R79" s="6"/>
      <c r="S79" s="65"/>
    </row>
    <row r="80" spans="3:19" x14ac:dyDescent="0.25">
      <c r="C80" s="56"/>
      <c r="D80" s="56"/>
      <c r="E80" s="56"/>
      <c r="F80" s="56"/>
      <c r="G80" s="56"/>
      <c r="H80" s="56"/>
      <c r="I80" s="56"/>
      <c r="J80" s="56"/>
      <c r="K80" s="56"/>
      <c r="L80" s="56"/>
      <c r="M80" s="56"/>
      <c r="N80" s="62"/>
      <c r="O80" s="62"/>
      <c r="P80" s="62"/>
      <c r="R80" s="6"/>
      <c r="S80" s="65"/>
    </row>
    <row r="81" spans="3:19" x14ac:dyDescent="0.25">
      <c r="C81" s="56"/>
      <c r="D81" s="56"/>
      <c r="E81" s="56"/>
      <c r="F81" s="56"/>
      <c r="G81" s="56"/>
      <c r="H81" s="56"/>
      <c r="I81" s="56"/>
      <c r="J81" s="56"/>
      <c r="K81" s="56"/>
      <c r="L81" s="56"/>
      <c r="M81" s="56"/>
      <c r="N81" s="62"/>
      <c r="O81" s="62"/>
      <c r="P81" s="62"/>
      <c r="R81" s="6"/>
      <c r="S81" s="65"/>
    </row>
    <row r="82" spans="3:19" x14ac:dyDescent="0.25">
      <c r="C82" s="56"/>
      <c r="D82" s="56"/>
      <c r="E82" s="56"/>
      <c r="F82" s="56"/>
      <c r="G82" s="56"/>
      <c r="H82" s="56"/>
      <c r="I82" s="56"/>
      <c r="J82" s="56"/>
      <c r="K82" s="56"/>
      <c r="L82" s="56"/>
      <c r="M82" s="56"/>
      <c r="N82" s="62"/>
      <c r="O82" s="62"/>
      <c r="P82" s="62"/>
      <c r="R82" s="6"/>
      <c r="S82" s="65"/>
    </row>
    <row r="83" spans="3:19" x14ac:dyDescent="0.25">
      <c r="C83" s="56"/>
      <c r="D83" s="56"/>
      <c r="E83" s="56"/>
      <c r="F83" s="56"/>
      <c r="G83" s="56"/>
      <c r="H83" s="56"/>
      <c r="I83" s="56"/>
      <c r="J83" s="56"/>
      <c r="K83" s="56"/>
      <c r="L83" s="56"/>
      <c r="M83" s="56"/>
      <c r="N83" s="62"/>
      <c r="O83" s="62"/>
      <c r="P83" s="62"/>
      <c r="R83" s="6"/>
      <c r="S83" s="65"/>
    </row>
    <row r="84" spans="3:19" x14ac:dyDescent="0.25">
      <c r="C84" s="56"/>
      <c r="D84" s="56"/>
      <c r="E84" s="56"/>
      <c r="F84" s="56"/>
      <c r="G84" s="56"/>
      <c r="H84" s="56"/>
      <c r="I84" s="56"/>
      <c r="J84" s="56"/>
      <c r="K84" s="56"/>
      <c r="L84" s="56"/>
      <c r="M84" s="56"/>
      <c r="N84" s="62"/>
      <c r="O84" s="62"/>
      <c r="P84" s="62"/>
      <c r="R84" s="6"/>
      <c r="S84" s="65"/>
    </row>
    <row r="85" spans="3:19" x14ac:dyDescent="0.25">
      <c r="C85" s="56"/>
      <c r="D85" s="56"/>
      <c r="E85" s="56"/>
      <c r="F85" s="56"/>
      <c r="G85" s="56"/>
      <c r="H85" s="56"/>
      <c r="I85" s="56"/>
      <c r="J85" s="56"/>
      <c r="K85" s="56"/>
      <c r="L85" s="56"/>
      <c r="M85" s="56"/>
      <c r="N85" s="62"/>
      <c r="O85" s="62"/>
      <c r="P85" s="62"/>
      <c r="R85" s="6"/>
      <c r="S85" s="65"/>
    </row>
    <row r="86" spans="3:19" x14ac:dyDescent="0.25">
      <c r="C86" s="56"/>
      <c r="D86" s="56"/>
      <c r="E86" s="56"/>
      <c r="F86" s="56"/>
      <c r="G86" s="56"/>
      <c r="H86" s="56"/>
      <c r="I86" s="56"/>
      <c r="J86" s="56"/>
      <c r="K86" s="56"/>
      <c r="L86" s="56"/>
      <c r="M86" s="56"/>
      <c r="N86" s="62"/>
      <c r="O86" s="62"/>
      <c r="P86" s="62"/>
      <c r="R86" s="6"/>
      <c r="S86" s="65"/>
    </row>
    <row r="87" spans="3:19" x14ac:dyDescent="0.25">
      <c r="C87" s="56"/>
      <c r="D87" s="56"/>
      <c r="E87" s="56"/>
      <c r="F87" s="56"/>
      <c r="G87" s="56"/>
      <c r="H87" s="56"/>
      <c r="I87" s="56"/>
      <c r="J87" s="56"/>
      <c r="K87" s="56"/>
      <c r="L87" s="56"/>
      <c r="M87" s="56"/>
      <c r="N87" s="62"/>
      <c r="O87" s="62"/>
      <c r="P87" s="62"/>
      <c r="R87" s="6"/>
      <c r="S87" s="65"/>
    </row>
    <row r="88" spans="3:19" x14ac:dyDescent="0.25">
      <c r="C88" s="56"/>
      <c r="D88" s="56"/>
      <c r="E88" s="56"/>
      <c r="F88" s="56"/>
      <c r="G88" s="56"/>
      <c r="H88" s="56"/>
      <c r="I88" s="56"/>
      <c r="J88" s="56"/>
      <c r="K88" s="56"/>
      <c r="L88" s="56"/>
      <c r="M88" s="56"/>
      <c r="N88" s="62"/>
      <c r="O88" s="62"/>
      <c r="P88" s="62"/>
      <c r="R88" s="6"/>
      <c r="S88" s="65"/>
    </row>
    <row r="89" spans="3:19" x14ac:dyDescent="0.25">
      <c r="C89" s="56"/>
      <c r="D89" s="56"/>
      <c r="E89" s="56"/>
      <c r="F89" s="56"/>
      <c r="G89" s="56"/>
      <c r="H89" s="56"/>
      <c r="I89" s="56"/>
      <c r="J89" s="56"/>
      <c r="K89" s="56"/>
      <c r="L89" s="56"/>
      <c r="M89" s="56"/>
      <c r="N89" s="62"/>
      <c r="O89" s="62"/>
      <c r="P89" s="62"/>
      <c r="R89" s="6"/>
      <c r="S89" s="65"/>
    </row>
    <row r="90" spans="3:19" x14ac:dyDescent="0.25">
      <c r="C90" s="56"/>
      <c r="D90" s="56"/>
      <c r="E90" s="56"/>
      <c r="F90" s="56"/>
      <c r="G90" s="56"/>
      <c r="H90" s="56"/>
      <c r="I90" s="56"/>
      <c r="J90" s="56"/>
      <c r="K90" s="56"/>
      <c r="L90" s="56"/>
      <c r="M90" s="56"/>
      <c r="N90" s="62"/>
      <c r="O90" s="62"/>
      <c r="P90" s="62"/>
      <c r="R90" s="6"/>
      <c r="S90" s="65"/>
    </row>
    <row r="91" spans="3:19" x14ac:dyDescent="0.25">
      <c r="C91" s="56"/>
      <c r="D91" s="56"/>
      <c r="E91" s="56"/>
      <c r="F91" s="56"/>
      <c r="G91" s="56"/>
      <c r="H91" s="56"/>
      <c r="I91" s="56"/>
      <c r="J91" s="56"/>
      <c r="K91" s="56"/>
      <c r="L91" s="56"/>
      <c r="M91" s="56"/>
      <c r="N91" s="62"/>
      <c r="O91" s="62"/>
      <c r="P91" s="62"/>
      <c r="R91" s="6"/>
      <c r="S91" s="65"/>
    </row>
    <row r="92" spans="3:19" x14ac:dyDescent="0.25">
      <c r="C92" s="56"/>
      <c r="D92" s="56"/>
      <c r="E92" s="56"/>
      <c r="F92" s="56"/>
      <c r="G92" s="56"/>
      <c r="H92" s="56"/>
      <c r="I92" s="56"/>
      <c r="J92" s="56"/>
      <c r="K92" s="56"/>
      <c r="L92" s="56"/>
      <c r="M92" s="56"/>
      <c r="N92" s="62"/>
      <c r="O92" s="62"/>
      <c r="P92" s="62"/>
      <c r="R92" s="6"/>
      <c r="S92" s="65"/>
    </row>
    <row r="93" spans="3:19" x14ac:dyDescent="0.25">
      <c r="C93" s="56"/>
      <c r="D93" s="56"/>
      <c r="E93" s="56"/>
      <c r="F93" s="56"/>
      <c r="G93" s="56"/>
      <c r="H93" s="56"/>
      <c r="I93" s="56"/>
      <c r="J93" s="56"/>
      <c r="K93" s="56"/>
      <c r="L93" s="56"/>
      <c r="M93" s="56"/>
      <c r="N93" s="62"/>
      <c r="O93" s="62"/>
      <c r="P93" s="62"/>
      <c r="R93" s="6"/>
      <c r="S93" s="65"/>
    </row>
    <row r="94" spans="3:19" x14ac:dyDescent="0.25">
      <c r="C94" s="56"/>
      <c r="D94" s="56"/>
      <c r="E94" s="56"/>
      <c r="F94" s="56"/>
      <c r="G94" s="56"/>
      <c r="H94" s="56"/>
      <c r="I94" s="56"/>
      <c r="J94" s="56"/>
      <c r="K94" s="56"/>
      <c r="L94" s="56"/>
      <c r="M94" s="56"/>
      <c r="N94" s="62"/>
      <c r="O94" s="62"/>
      <c r="P94" s="62"/>
      <c r="R94" s="6"/>
      <c r="S94" s="65"/>
    </row>
    <row r="95" spans="3:19" x14ac:dyDescent="0.25">
      <c r="C95" s="56"/>
      <c r="D95" s="56"/>
      <c r="E95" s="56"/>
      <c r="F95" s="56"/>
      <c r="G95" s="56"/>
      <c r="H95" s="56"/>
      <c r="I95" s="56"/>
      <c r="J95" s="56"/>
      <c r="K95" s="56"/>
      <c r="L95" s="56"/>
      <c r="M95" s="56"/>
      <c r="N95" s="62"/>
      <c r="O95" s="62"/>
      <c r="P95" s="62"/>
      <c r="R95" s="6"/>
      <c r="S95" s="65"/>
    </row>
    <row r="96" spans="3:19" x14ac:dyDescent="0.25">
      <c r="C96" s="56"/>
      <c r="D96" s="56"/>
      <c r="E96" s="56"/>
      <c r="F96" s="56"/>
      <c r="G96" s="56"/>
      <c r="H96" s="56"/>
      <c r="I96" s="56"/>
      <c r="J96" s="56"/>
      <c r="K96" s="56"/>
      <c r="L96" s="56"/>
      <c r="M96" s="56"/>
      <c r="N96" s="62"/>
      <c r="O96" s="62"/>
      <c r="P96" s="62"/>
      <c r="R96" s="6"/>
      <c r="S96" s="65"/>
    </row>
    <row r="97" spans="3:19" x14ac:dyDescent="0.25">
      <c r="C97" s="56"/>
      <c r="D97" s="56"/>
      <c r="E97" s="56"/>
      <c r="F97" s="56"/>
      <c r="G97" s="56"/>
      <c r="H97" s="56"/>
      <c r="I97" s="56"/>
      <c r="J97" s="56"/>
      <c r="K97" s="56"/>
      <c r="L97" s="56"/>
      <c r="M97" s="56"/>
      <c r="N97" s="62"/>
      <c r="O97" s="62"/>
      <c r="P97" s="62"/>
      <c r="R97" s="6"/>
      <c r="S97" s="65"/>
    </row>
    <row r="98" spans="3:19" x14ac:dyDescent="0.25">
      <c r="C98" s="56"/>
      <c r="D98" s="56"/>
      <c r="E98" s="56"/>
      <c r="F98" s="56"/>
      <c r="G98" s="56"/>
      <c r="H98" s="56"/>
      <c r="I98" s="56"/>
      <c r="J98" s="56"/>
      <c r="K98" s="56"/>
      <c r="L98" s="56"/>
      <c r="M98" s="56"/>
      <c r="N98" s="62"/>
      <c r="O98" s="62"/>
      <c r="P98" s="62"/>
      <c r="R98" s="6"/>
      <c r="S98" s="65"/>
    </row>
    <row r="99" spans="3:19" x14ac:dyDescent="0.25">
      <c r="C99" s="56"/>
      <c r="D99" s="56"/>
      <c r="E99" s="56"/>
      <c r="F99" s="56"/>
      <c r="G99" s="56"/>
      <c r="H99" s="56"/>
      <c r="I99" s="56"/>
      <c r="J99" s="56"/>
      <c r="K99" s="56"/>
      <c r="L99" s="56"/>
      <c r="M99" s="56"/>
      <c r="N99" s="62"/>
      <c r="O99" s="62"/>
      <c r="P99" s="62"/>
      <c r="R99" s="6"/>
      <c r="S99" s="65"/>
    </row>
    <row r="100" spans="3:19" x14ac:dyDescent="0.25">
      <c r="C100" s="56"/>
      <c r="D100" s="56"/>
      <c r="E100" s="56"/>
      <c r="F100" s="56"/>
      <c r="G100" s="56"/>
      <c r="H100" s="56"/>
      <c r="I100" s="56"/>
      <c r="J100" s="56"/>
      <c r="K100" s="56"/>
      <c r="L100" s="56"/>
      <c r="M100" s="56"/>
      <c r="N100" s="62"/>
      <c r="O100" s="62"/>
      <c r="P100" s="62"/>
      <c r="R100" s="6"/>
      <c r="S100" s="65"/>
    </row>
  </sheetData>
  <mergeCells count="4">
    <mergeCell ref="AR2:AW2"/>
    <mergeCell ref="U2:AA2"/>
    <mergeCell ref="AD2:AJ2"/>
    <mergeCell ref="AM2:AP2"/>
  </mergeCells>
  <dataValidations count="4">
    <dataValidation type="list" allowBlank="1" showInputMessage="1" showErrorMessage="1" sqref="R4:R100" xr:uid="{15B393BD-29BD-4FBB-86AE-0BBB6E84B41F}">
      <formula1>"Ranged,Melee"</formula1>
    </dataValidation>
    <dataValidation type="list" allowBlank="1" showInputMessage="1" showErrorMessage="1" sqref="AN4:AN30 AT4:AT30" xr:uid="{97DF05FF-77EA-4D4A-B10D-83B2B8DD6B0B}">
      <formula1>"Attacker,Target"</formula1>
    </dataValidation>
    <dataValidation type="list" allowBlank="1" showInputMessage="1" showErrorMessage="1" sqref="AO4:AO30 AU4:AU30" xr:uid="{8C48A39D-7C05-48C5-B8AE-9CC0D91C448B}">
      <formula1>"Shooting,Fighting,Both"</formula1>
    </dataValidation>
    <dataValidation type="whole" allowBlank="1" showInputMessage="1" showErrorMessage="1" promptTitle="Qty" prompt="How many of this weapon the unit carries. Blank = 1. Use 0 for alternate profiles (e.g. frag/krak) you don't want counted together." sqref="S4:S100" xr:uid="{FD6A2061-E1F1-4D2B-8885-897E640E738C}">
      <formula1>0</formula1>
      <formula2>100</formula2>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662B8-1164-4A29-AB0B-86561AE6C9FA}">
  <sheetPr codeName="Sheet6">
    <tabColor theme="6"/>
  </sheetPr>
  <dimension ref="B2:AW100"/>
  <sheetViews>
    <sheetView workbookViewId="0">
      <selection activeCell="I52" sqref="I52"/>
    </sheetView>
  </sheetViews>
  <sheetFormatPr defaultRowHeight="15" x14ac:dyDescent="0.25"/>
  <cols>
    <col min="2" max="2" width="21.7109375" bestFit="1" customWidth="1"/>
    <col min="3" max="7" width="7.42578125" customWidth="1"/>
    <col min="8" max="8" width="13" customWidth="1"/>
    <col min="9" max="13" width="8.85546875" customWidth="1"/>
    <col min="14" max="15" width="29.7109375" customWidth="1"/>
    <col min="16" max="16" width="48.140625" customWidth="1"/>
    <col min="17" max="17" width="26" bestFit="1" customWidth="1"/>
    <col min="18" max="18" width="4.7109375" customWidth="1"/>
    <col min="19" max="19" width="6.7109375" customWidth="1"/>
    <col min="20" max="20" width="1.85546875" customWidth="1"/>
    <col min="21" max="21" width="26.28515625" bestFit="1" customWidth="1"/>
    <col min="22" max="22" width="4.42578125" bestFit="1" customWidth="1"/>
    <col min="23" max="23" width="5.42578125" bestFit="1" customWidth="1"/>
    <col min="24" max="24" width="4.28515625" bestFit="1" customWidth="1"/>
    <col min="25" max="25" width="5.5703125" bestFit="1" customWidth="1"/>
    <col min="26" max="26" width="4.5703125" bestFit="1" customWidth="1"/>
    <col min="27" max="27" width="20.42578125" bestFit="1" customWidth="1"/>
    <col min="28" max="29" width="1.85546875" customWidth="1"/>
    <col min="30" max="30" width="11.85546875" bestFit="1" customWidth="1"/>
    <col min="39" max="39" width="27.7109375" customWidth="1"/>
    <col min="40" max="41" width="12" customWidth="1"/>
    <col min="42" max="42" width="37" customWidth="1"/>
    <col min="44" max="44" width="27.7109375" customWidth="1"/>
    <col min="45" max="45" width="6.42578125" customWidth="1"/>
    <col min="46" max="47" width="13" customWidth="1"/>
    <col min="48" max="48" width="31.42578125" customWidth="1"/>
    <col min="49" max="49" width="40.7109375" customWidth="1"/>
  </cols>
  <sheetData>
    <row r="2" spans="2:49" x14ac:dyDescent="0.25">
      <c r="B2" s="57" t="s">
        <v>185</v>
      </c>
      <c r="C2" s="57"/>
      <c r="D2" s="57"/>
      <c r="E2" s="57"/>
      <c r="F2" s="57"/>
      <c r="G2" s="57"/>
      <c r="H2" s="57"/>
      <c r="I2" s="57"/>
      <c r="J2" s="57"/>
      <c r="K2" s="57"/>
      <c r="L2" s="57"/>
      <c r="M2" s="57"/>
      <c r="N2" s="57"/>
      <c r="O2" s="57"/>
      <c r="P2" s="57"/>
      <c r="Q2" s="57"/>
      <c r="R2" s="57"/>
      <c r="U2" s="131" t="s">
        <v>186</v>
      </c>
      <c r="V2" s="131"/>
      <c r="W2" s="131"/>
      <c r="X2" s="131"/>
      <c r="Y2" s="131"/>
      <c r="Z2" s="131"/>
      <c r="AA2" s="131"/>
      <c r="AD2" s="131" t="s">
        <v>242</v>
      </c>
      <c r="AE2" s="131"/>
      <c r="AF2" s="131"/>
      <c r="AG2" s="131"/>
      <c r="AH2" s="131"/>
      <c r="AI2" s="131"/>
      <c r="AJ2" s="131"/>
      <c r="AM2" s="134" t="s">
        <v>188</v>
      </c>
      <c r="AN2" s="134"/>
      <c r="AO2" s="134"/>
      <c r="AP2" s="134"/>
      <c r="AR2" s="132" t="s">
        <v>189</v>
      </c>
      <c r="AS2" s="133"/>
      <c r="AT2" s="133"/>
      <c r="AU2" s="133"/>
      <c r="AV2" s="133"/>
      <c r="AW2" s="133"/>
    </row>
    <row r="3" spans="2:49" x14ac:dyDescent="0.25">
      <c r="B3" t="s">
        <v>190</v>
      </c>
      <c r="C3" t="s">
        <v>129</v>
      </c>
      <c r="D3" t="s">
        <v>130</v>
      </c>
      <c r="E3" t="s">
        <v>131</v>
      </c>
      <c r="F3" t="s">
        <v>132</v>
      </c>
      <c r="G3" t="s">
        <v>133</v>
      </c>
      <c r="H3" t="s">
        <v>134</v>
      </c>
      <c r="I3" t="s">
        <v>496</v>
      </c>
      <c r="J3" t="s">
        <v>497</v>
      </c>
      <c r="K3" t="s">
        <v>498</v>
      </c>
      <c r="L3" t="s">
        <v>499</v>
      </c>
      <c r="M3" t="s">
        <v>500</v>
      </c>
      <c r="N3" t="s">
        <v>9</v>
      </c>
      <c r="O3" t="s">
        <v>501</v>
      </c>
      <c r="P3" t="s">
        <v>502</v>
      </c>
      <c r="Q3" t="s">
        <v>122</v>
      </c>
      <c r="R3" s="2" t="s">
        <v>177</v>
      </c>
      <c r="S3" s="2" t="s">
        <v>493</v>
      </c>
      <c r="U3" s="3" t="s">
        <v>122</v>
      </c>
      <c r="V3" s="3" t="s">
        <v>123</v>
      </c>
      <c r="W3" s="3" t="s">
        <v>124</v>
      </c>
      <c r="X3" s="3" t="s">
        <v>125</v>
      </c>
      <c r="Y3" s="3" t="s">
        <v>126</v>
      </c>
      <c r="Z3" s="3" t="s">
        <v>127</v>
      </c>
      <c r="AA3" s="3" t="s">
        <v>128</v>
      </c>
      <c r="AB3" s="2"/>
      <c r="AD3" s="3" t="s">
        <v>122</v>
      </c>
      <c r="AE3" s="3" t="s">
        <v>123</v>
      </c>
      <c r="AF3" s="3" t="s">
        <v>124</v>
      </c>
      <c r="AG3" s="3" t="s">
        <v>125</v>
      </c>
      <c r="AH3" s="3" t="s">
        <v>126</v>
      </c>
      <c r="AI3" s="3" t="s">
        <v>127</v>
      </c>
      <c r="AJ3" s="3" t="s">
        <v>128</v>
      </c>
      <c r="AM3" s="3" t="s">
        <v>191</v>
      </c>
      <c r="AN3" s="3" t="s">
        <v>192</v>
      </c>
      <c r="AO3" s="3" t="s">
        <v>193</v>
      </c>
      <c r="AP3" s="3" t="s">
        <v>128</v>
      </c>
      <c r="AR3" s="3" t="s">
        <v>194</v>
      </c>
      <c r="AS3" s="3" t="s">
        <v>195</v>
      </c>
      <c r="AT3" s="3" t="s">
        <v>192</v>
      </c>
      <c r="AU3" s="3" t="s">
        <v>193</v>
      </c>
      <c r="AV3" s="3" t="s">
        <v>128</v>
      </c>
      <c r="AW3" s="3" t="s">
        <v>196</v>
      </c>
    </row>
    <row r="4" spans="2:49" x14ac:dyDescent="0.25">
      <c r="B4" t="s">
        <v>244</v>
      </c>
      <c r="C4" s="56">
        <v>3</v>
      </c>
      <c r="D4" s="56">
        <v>1</v>
      </c>
      <c r="E4" s="56">
        <v>4</v>
      </c>
      <c r="F4" s="56">
        <v>6</v>
      </c>
      <c r="G4" s="37" t="s">
        <v>198</v>
      </c>
      <c r="H4" s="37" t="s">
        <v>198</v>
      </c>
      <c r="I4" s="37"/>
      <c r="J4" s="37"/>
      <c r="K4" s="37"/>
      <c r="L4" s="37"/>
      <c r="M4" s="37"/>
      <c r="N4" s="61"/>
      <c r="O4" s="61"/>
      <c r="P4" s="61"/>
      <c r="R4" s="6"/>
      <c r="S4" s="65"/>
      <c r="AA4" s="2"/>
      <c r="AB4" s="2"/>
      <c r="AD4" s="3"/>
      <c r="AE4" s="2"/>
      <c r="AF4" s="2"/>
      <c r="AG4" s="2"/>
      <c r="AH4" s="2"/>
      <c r="AI4" s="2"/>
      <c r="AJ4" s="2"/>
      <c r="AN4" s="6"/>
      <c r="AO4" s="6"/>
      <c r="AS4" s="6"/>
      <c r="AT4" s="6"/>
      <c r="AU4" s="6"/>
    </row>
    <row r="5" spans="2:49" x14ac:dyDescent="0.25">
      <c r="B5" s="4" t="s">
        <v>245</v>
      </c>
      <c r="C5" s="56">
        <v>9</v>
      </c>
      <c r="D5" s="56">
        <v>11</v>
      </c>
      <c r="E5" s="56">
        <v>4</v>
      </c>
      <c r="F5" s="56">
        <v>6</v>
      </c>
      <c r="G5" s="56" t="s">
        <v>198</v>
      </c>
      <c r="H5" s="56" t="s">
        <v>198</v>
      </c>
      <c r="I5" s="56"/>
      <c r="J5" s="56"/>
      <c r="K5" s="56"/>
      <c r="L5" s="56"/>
      <c r="M5" s="56"/>
      <c r="N5" s="62"/>
      <c r="O5" s="62"/>
      <c r="P5" s="62"/>
      <c r="Q5" s="3"/>
      <c r="R5" s="6"/>
      <c r="S5" s="65"/>
      <c r="U5" s="3"/>
      <c r="V5" s="2"/>
      <c r="W5" s="2"/>
      <c r="X5" s="2"/>
      <c r="Y5" s="2"/>
      <c r="Z5" s="2"/>
      <c r="AA5" s="2"/>
      <c r="AB5" s="2"/>
      <c r="AN5" s="6"/>
      <c r="AO5" s="6"/>
      <c r="AS5" s="6"/>
      <c r="AT5" s="6"/>
      <c r="AU5" s="6"/>
    </row>
    <row r="6" spans="2:49" x14ac:dyDescent="0.25">
      <c r="B6" s="4"/>
      <c r="C6" s="56"/>
      <c r="D6" s="56"/>
      <c r="E6" s="56"/>
      <c r="F6" s="56"/>
      <c r="G6" s="56"/>
      <c r="H6" s="56"/>
      <c r="I6" s="56"/>
      <c r="J6" s="56"/>
      <c r="K6" s="56"/>
      <c r="L6" s="56"/>
      <c r="M6" s="56"/>
      <c r="N6" s="62"/>
      <c r="O6" s="62"/>
      <c r="P6" s="62"/>
      <c r="Q6" s="3"/>
      <c r="R6" s="6"/>
      <c r="S6" s="65"/>
      <c r="U6" s="3"/>
      <c r="V6" s="2"/>
      <c r="W6" s="2"/>
      <c r="X6" s="2"/>
      <c r="Y6" s="2"/>
      <c r="Z6" s="2"/>
      <c r="AA6" s="2"/>
      <c r="AB6" s="2"/>
      <c r="AN6" s="6"/>
      <c r="AO6" s="6"/>
      <c r="AS6" s="6"/>
      <c r="AT6" s="6"/>
      <c r="AU6" s="6"/>
    </row>
    <row r="7" spans="2:49" x14ac:dyDescent="0.25">
      <c r="B7" s="4"/>
      <c r="C7" s="56"/>
      <c r="D7" s="56"/>
      <c r="E7" s="56"/>
      <c r="F7" s="56"/>
      <c r="G7" s="56"/>
      <c r="H7" s="56"/>
      <c r="I7" s="56"/>
      <c r="J7" s="56"/>
      <c r="K7" s="56"/>
      <c r="L7" s="56"/>
      <c r="M7" s="56"/>
      <c r="N7" s="62"/>
      <c r="O7" s="62"/>
      <c r="P7" s="62"/>
      <c r="Q7" s="3"/>
      <c r="R7" s="6"/>
      <c r="S7" s="65"/>
      <c r="U7" s="3"/>
      <c r="V7" s="2"/>
      <c r="W7" s="2"/>
      <c r="X7" s="2"/>
      <c r="Y7" s="2"/>
      <c r="Z7" s="2"/>
      <c r="AA7" s="2"/>
      <c r="AB7" s="2"/>
      <c r="AN7" s="6"/>
      <c r="AO7" s="6"/>
      <c r="AS7" s="6"/>
      <c r="AT7" s="6"/>
      <c r="AU7" s="6"/>
    </row>
    <row r="8" spans="2:49" x14ac:dyDescent="0.25">
      <c r="B8" s="4"/>
      <c r="C8" s="56"/>
      <c r="D8" s="56"/>
      <c r="E8" s="56"/>
      <c r="F8" s="56"/>
      <c r="G8" s="56"/>
      <c r="H8" s="56"/>
      <c r="I8" s="56"/>
      <c r="J8" s="56"/>
      <c r="K8" s="56"/>
      <c r="L8" s="56"/>
      <c r="M8" s="56"/>
      <c r="N8" s="62"/>
      <c r="O8" s="62"/>
      <c r="P8" s="62"/>
      <c r="Q8" s="3"/>
      <c r="R8" s="6"/>
      <c r="S8" s="65"/>
      <c r="U8" s="3"/>
      <c r="W8" s="2"/>
      <c r="X8" s="2"/>
      <c r="Y8" s="2"/>
      <c r="Z8" s="2"/>
      <c r="AA8" s="2"/>
      <c r="AN8" s="6"/>
      <c r="AO8" s="6"/>
      <c r="AS8" s="6"/>
      <c r="AT8" s="6"/>
      <c r="AU8" s="6"/>
    </row>
    <row r="9" spans="2:49" x14ac:dyDescent="0.25">
      <c r="B9" s="4"/>
      <c r="C9" s="56"/>
      <c r="D9" s="56"/>
      <c r="E9" s="56"/>
      <c r="F9" s="56"/>
      <c r="G9" s="56"/>
      <c r="H9" s="56"/>
      <c r="I9" s="56"/>
      <c r="J9" s="56"/>
      <c r="K9" s="56"/>
      <c r="L9" s="56"/>
      <c r="M9" s="56"/>
      <c r="N9" s="62"/>
      <c r="O9" s="62"/>
      <c r="P9" s="62"/>
      <c r="Q9" s="3"/>
      <c r="R9" s="6"/>
      <c r="S9" s="65"/>
      <c r="U9" s="3"/>
      <c r="V9" s="2"/>
      <c r="W9" s="2"/>
      <c r="X9" s="2"/>
      <c r="Y9" s="2"/>
      <c r="Z9" s="2"/>
      <c r="AA9" s="2"/>
      <c r="AN9" s="6"/>
      <c r="AO9" s="6"/>
      <c r="AS9" s="6"/>
      <c r="AT9" s="6"/>
      <c r="AU9" s="6"/>
    </row>
    <row r="10" spans="2:49" x14ac:dyDescent="0.25">
      <c r="B10" s="4"/>
      <c r="C10" s="56"/>
      <c r="D10" s="56"/>
      <c r="E10" s="56"/>
      <c r="F10" s="56"/>
      <c r="G10" s="56"/>
      <c r="H10" s="56"/>
      <c r="I10" s="56"/>
      <c r="J10" s="56"/>
      <c r="K10" s="56"/>
      <c r="L10" s="56"/>
      <c r="M10" s="56"/>
      <c r="N10" s="62"/>
      <c r="O10" s="62"/>
      <c r="P10" s="62"/>
      <c r="Q10" s="3"/>
      <c r="R10" s="6"/>
      <c r="S10" s="65"/>
      <c r="U10" s="3"/>
      <c r="W10" s="22"/>
      <c r="X10" s="2"/>
      <c r="Y10" s="2"/>
      <c r="Z10" s="2"/>
      <c r="AA10" s="2"/>
      <c r="AN10" s="6"/>
      <c r="AO10" s="6"/>
      <c r="AS10" s="6"/>
      <c r="AT10" s="6"/>
      <c r="AU10" s="6"/>
    </row>
    <row r="11" spans="2:49" x14ac:dyDescent="0.25">
      <c r="B11" s="4"/>
      <c r="C11" s="56"/>
      <c r="D11" s="56"/>
      <c r="E11" s="56"/>
      <c r="F11" s="56"/>
      <c r="G11" s="56"/>
      <c r="H11" s="56"/>
      <c r="I11" s="56"/>
      <c r="J11" s="56"/>
      <c r="K11" s="56"/>
      <c r="L11" s="56"/>
      <c r="M11" s="56"/>
      <c r="N11" s="62"/>
      <c r="O11" s="62"/>
      <c r="P11" s="62"/>
      <c r="Q11" s="3"/>
      <c r="R11" s="6"/>
      <c r="S11" s="65"/>
      <c r="U11" s="3"/>
      <c r="V11" s="2"/>
      <c r="W11" s="2"/>
      <c r="X11" s="2"/>
      <c r="Y11" s="2"/>
      <c r="Z11" s="2"/>
      <c r="AA11" s="2"/>
      <c r="AN11" s="6"/>
      <c r="AO11" s="6"/>
      <c r="AS11" s="6"/>
      <c r="AT11" s="6"/>
      <c r="AU11" s="6"/>
    </row>
    <row r="12" spans="2:49" x14ac:dyDescent="0.25">
      <c r="B12" s="4"/>
      <c r="C12" s="56"/>
      <c r="D12" s="56"/>
      <c r="E12" s="56"/>
      <c r="F12" s="56"/>
      <c r="G12" s="56"/>
      <c r="H12" s="56"/>
      <c r="I12" s="56"/>
      <c r="J12" s="56"/>
      <c r="K12" s="56"/>
      <c r="L12" s="56"/>
      <c r="M12" s="56"/>
      <c r="N12" s="62"/>
      <c r="O12" s="62"/>
      <c r="P12" s="62"/>
      <c r="Q12" s="3"/>
      <c r="R12" s="6"/>
      <c r="S12" s="65"/>
      <c r="U12" s="3"/>
      <c r="W12" s="2"/>
      <c r="X12" s="2"/>
      <c r="Y12" s="2"/>
      <c r="Z12" s="2"/>
      <c r="AA12" s="2"/>
      <c r="AN12" s="6"/>
      <c r="AO12" s="6"/>
      <c r="AS12" s="6"/>
      <c r="AT12" s="6"/>
      <c r="AU12" s="6"/>
    </row>
    <row r="13" spans="2:49" x14ac:dyDescent="0.25">
      <c r="B13" s="4"/>
      <c r="C13" s="56"/>
      <c r="D13" s="56"/>
      <c r="E13" s="56"/>
      <c r="F13" s="56"/>
      <c r="G13" s="56"/>
      <c r="H13" s="56"/>
      <c r="I13" s="56"/>
      <c r="J13" s="56"/>
      <c r="K13" s="56"/>
      <c r="L13" s="56"/>
      <c r="M13" s="56"/>
      <c r="N13" s="62"/>
      <c r="O13" s="62"/>
      <c r="P13" s="62"/>
      <c r="Q13" s="3"/>
      <c r="R13" s="6"/>
      <c r="S13" s="65"/>
      <c r="U13" s="3"/>
      <c r="V13" s="2"/>
      <c r="W13" s="2"/>
      <c r="X13" s="2"/>
      <c r="Y13" s="2"/>
      <c r="Z13" s="2"/>
      <c r="AN13" s="6"/>
      <c r="AO13" s="6"/>
      <c r="AS13" s="6"/>
      <c r="AT13" s="6"/>
      <c r="AU13" s="6"/>
    </row>
    <row r="14" spans="2:49" x14ac:dyDescent="0.25">
      <c r="B14" s="4"/>
      <c r="C14" s="56"/>
      <c r="D14" s="56"/>
      <c r="E14" s="56"/>
      <c r="F14" s="56"/>
      <c r="G14" s="56"/>
      <c r="H14" s="56"/>
      <c r="I14" s="56"/>
      <c r="J14" s="56"/>
      <c r="K14" s="56"/>
      <c r="L14" s="56"/>
      <c r="M14" s="56"/>
      <c r="N14" s="62"/>
      <c r="O14" s="62"/>
      <c r="P14" s="62"/>
      <c r="Q14" s="3"/>
      <c r="R14" s="6"/>
      <c r="S14" s="65"/>
      <c r="U14" s="3"/>
      <c r="W14" s="2"/>
      <c r="X14" s="2"/>
      <c r="Y14" s="2"/>
      <c r="Z14" s="2"/>
      <c r="AN14" s="6"/>
      <c r="AO14" s="6"/>
      <c r="AS14" s="6"/>
      <c r="AT14" s="6"/>
      <c r="AU14" s="6"/>
    </row>
    <row r="15" spans="2:49" x14ac:dyDescent="0.25">
      <c r="B15" s="4"/>
      <c r="C15" s="56"/>
      <c r="D15" s="56"/>
      <c r="E15" s="56"/>
      <c r="F15" s="56"/>
      <c r="G15" s="56"/>
      <c r="H15" s="56"/>
      <c r="I15" s="56"/>
      <c r="J15" s="56"/>
      <c r="K15" s="56"/>
      <c r="L15" s="56"/>
      <c r="M15" s="56"/>
      <c r="N15" s="62"/>
      <c r="O15" s="62"/>
      <c r="P15" s="62"/>
      <c r="Q15" s="3"/>
      <c r="R15" s="6"/>
      <c r="S15" s="65"/>
      <c r="U15" s="3"/>
      <c r="V15" s="2"/>
      <c r="W15" s="2"/>
      <c r="X15" s="2"/>
      <c r="Y15" s="2"/>
      <c r="Z15" s="2"/>
      <c r="AN15" s="6"/>
      <c r="AO15" s="6"/>
      <c r="AS15" s="6"/>
      <c r="AT15" s="6"/>
      <c r="AU15" s="6"/>
    </row>
    <row r="16" spans="2:49" x14ac:dyDescent="0.25">
      <c r="C16" s="56"/>
      <c r="D16" s="56"/>
      <c r="E16" s="56"/>
      <c r="F16" s="56"/>
      <c r="G16" s="56"/>
      <c r="H16" s="56"/>
      <c r="I16" s="56"/>
      <c r="J16" s="56"/>
      <c r="K16" s="56"/>
      <c r="L16" s="56"/>
      <c r="M16" s="56"/>
      <c r="N16" s="62"/>
      <c r="O16" s="62"/>
      <c r="P16" s="62"/>
      <c r="R16" s="6"/>
      <c r="S16" s="65"/>
      <c r="AN16" s="6"/>
      <c r="AO16" s="6"/>
      <c r="AS16" s="6"/>
      <c r="AT16" s="6"/>
      <c r="AU16" s="6"/>
    </row>
    <row r="17" spans="3:47" x14ac:dyDescent="0.25">
      <c r="C17" s="56"/>
      <c r="D17" s="56"/>
      <c r="E17" s="56"/>
      <c r="F17" s="56"/>
      <c r="G17" s="56"/>
      <c r="H17" s="56"/>
      <c r="I17" s="56"/>
      <c r="J17" s="56"/>
      <c r="K17" s="56"/>
      <c r="L17" s="56"/>
      <c r="M17" s="56"/>
      <c r="N17" s="62"/>
      <c r="O17" s="62"/>
      <c r="P17" s="62"/>
      <c r="R17" s="6"/>
      <c r="S17" s="65"/>
      <c r="AN17" s="6"/>
      <c r="AO17" s="6"/>
      <c r="AS17" s="6"/>
      <c r="AT17" s="6"/>
      <c r="AU17" s="6"/>
    </row>
    <row r="18" spans="3:47" x14ac:dyDescent="0.25">
      <c r="C18" s="56"/>
      <c r="D18" s="56"/>
      <c r="E18" s="56"/>
      <c r="F18" s="56"/>
      <c r="G18" s="56"/>
      <c r="H18" s="56"/>
      <c r="I18" s="56"/>
      <c r="J18" s="56"/>
      <c r="K18" s="56"/>
      <c r="L18" s="56"/>
      <c r="M18" s="56"/>
      <c r="N18" s="62"/>
      <c r="O18" s="62"/>
      <c r="P18" s="62"/>
      <c r="R18" s="6"/>
      <c r="S18" s="65"/>
      <c r="AN18" s="6"/>
      <c r="AO18" s="6"/>
      <c r="AS18" s="6"/>
      <c r="AT18" s="6"/>
      <c r="AU18" s="6"/>
    </row>
    <row r="19" spans="3:47" x14ac:dyDescent="0.25">
      <c r="C19" s="56"/>
      <c r="D19" s="56"/>
      <c r="E19" s="56"/>
      <c r="F19" s="56"/>
      <c r="G19" s="56"/>
      <c r="H19" s="56"/>
      <c r="I19" s="56"/>
      <c r="J19" s="56"/>
      <c r="K19" s="56"/>
      <c r="L19" s="56"/>
      <c r="M19" s="56"/>
      <c r="N19" s="62"/>
      <c r="O19" s="62"/>
      <c r="P19" s="62"/>
      <c r="R19" s="6"/>
      <c r="S19" s="65"/>
      <c r="AN19" s="6"/>
      <c r="AO19" s="6"/>
      <c r="AS19" s="6"/>
      <c r="AT19" s="6"/>
      <c r="AU19" s="6"/>
    </row>
    <row r="20" spans="3:47" x14ac:dyDescent="0.25">
      <c r="C20" s="56"/>
      <c r="D20" s="56"/>
      <c r="E20" s="56"/>
      <c r="F20" s="56"/>
      <c r="G20" s="56"/>
      <c r="H20" s="56"/>
      <c r="I20" s="56"/>
      <c r="J20" s="56"/>
      <c r="K20" s="56"/>
      <c r="L20" s="56"/>
      <c r="M20" s="56"/>
      <c r="N20" s="62"/>
      <c r="O20" s="62"/>
      <c r="P20" s="62"/>
      <c r="R20" s="6"/>
      <c r="S20" s="65"/>
      <c r="AN20" s="6"/>
      <c r="AO20" s="6"/>
      <c r="AS20" s="6"/>
      <c r="AT20" s="6"/>
      <c r="AU20" s="6"/>
    </row>
    <row r="21" spans="3:47" x14ac:dyDescent="0.25">
      <c r="C21" s="56"/>
      <c r="D21" s="56"/>
      <c r="E21" s="56"/>
      <c r="F21" s="56"/>
      <c r="G21" s="56"/>
      <c r="H21" s="56"/>
      <c r="I21" s="56"/>
      <c r="J21" s="56"/>
      <c r="K21" s="56"/>
      <c r="L21" s="56"/>
      <c r="M21" s="56"/>
      <c r="N21" s="62"/>
      <c r="O21" s="62"/>
      <c r="P21" s="62"/>
      <c r="R21" s="6"/>
      <c r="S21" s="65"/>
      <c r="AN21" s="6"/>
      <c r="AO21" s="6"/>
      <c r="AS21" s="6"/>
      <c r="AT21" s="6"/>
      <c r="AU21" s="6"/>
    </row>
    <row r="22" spans="3:47" x14ac:dyDescent="0.25">
      <c r="C22" s="56"/>
      <c r="D22" s="56"/>
      <c r="E22" s="56"/>
      <c r="F22" s="56"/>
      <c r="G22" s="56"/>
      <c r="H22" s="56"/>
      <c r="I22" s="56"/>
      <c r="J22" s="56"/>
      <c r="K22" s="56"/>
      <c r="L22" s="56"/>
      <c r="M22" s="56"/>
      <c r="N22" s="62"/>
      <c r="O22" s="62"/>
      <c r="P22" s="62"/>
      <c r="R22" s="6"/>
      <c r="S22" s="65"/>
      <c r="AN22" s="6"/>
      <c r="AO22" s="6"/>
      <c r="AS22" s="6"/>
      <c r="AT22" s="6"/>
      <c r="AU22" s="6"/>
    </row>
    <row r="23" spans="3:47" x14ac:dyDescent="0.25">
      <c r="C23" s="56"/>
      <c r="D23" s="56"/>
      <c r="E23" s="56"/>
      <c r="F23" s="56"/>
      <c r="G23" s="56"/>
      <c r="H23" s="56"/>
      <c r="I23" s="56"/>
      <c r="J23" s="56"/>
      <c r="K23" s="56"/>
      <c r="L23" s="56"/>
      <c r="M23" s="56"/>
      <c r="N23" s="62"/>
      <c r="O23" s="62"/>
      <c r="P23" s="62"/>
      <c r="R23" s="6"/>
      <c r="S23" s="65"/>
      <c r="AN23" s="6"/>
      <c r="AO23" s="6"/>
      <c r="AS23" s="6"/>
      <c r="AT23" s="6"/>
      <c r="AU23" s="6"/>
    </row>
    <row r="24" spans="3:47" x14ac:dyDescent="0.25">
      <c r="C24" s="56"/>
      <c r="D24" s="56"/>
      <c r="E24" s="56"/>
      <c r="F24" s="56"/>
      <c r="G24" s="56"/>
      <c r="H24" s="56"/>
      <c r="I24" s="56"/>
      <c r="J24" s="56"/>
      <c r="K24" s="56"/>
      <c r="L24" s="56"/>
      <c r="M24" s="56"/>
      <c r="N24" s="62"/>
      <c r="O24" s="62"/>
      <c r="P24" s="62"/>
      <c r="R24" s="6"/>
      <c r="S24" s="65"/>
      <c r="AN24" s="6"/>
      <c r="AO24" s="6"/>
      <c r="AS24" s="6"/>
      <c r="AT24" s="6"/>
      <c r="AU24" s="6"/>
    </row>
    <row r="25" spans="3:47" x14ac:dyDescent="0.25">
      <c r="C25" s="56"/>
      <c r="D25" s="56"/>
      <c r="E25" s="56"/>
      <c r="F25" s="56"/>
      <c r="G25" s="56"/>
      <c r="H25" s="56"/>
      <c r="I25" s="56"/>
      <c r="J25" s="56"/>
      <c r="K25" s="56"/>
      <c r="L25" s="56"/>
      <c r="M25" s="56"/>
      <c r="N25" s="62"/>
      <c r="O25" s="62"/>
      <c r="P25" s="62"/>
      <c r="R25" s="6"/>
      <c r="S25" s="65"/>
      <c r="AN25" s="6"/>
      <c r="AO25" s="6"/>
      <c r="AS25" s="6"/>
      <c r="AT25" s="6"/>
      <c r="AU25" s="6"/>
    </row>
    <row r="26" spans="3:47" x14ac:dyDescent="0.25">
      <c r="C26" s="56"/>
      <c r="D26" s="56"/>
      <c r="E26" s="56"/>
      <c r="F26" s="56"/>
      <c r="G26" s="56"/>
      <c r="H26" s="56"/>
      <c r="I26" s="56"/>
      <c r="J26" s="56"/>
      <c r="K26" s="56"/>
      <c r="L26" s="56"/>
      <c r="M26" s="56"/>
      <c r="N26" s="62"/>
      <c r="O26" s="62"/>
      <c r="P26" s="62"/>
      <c r="R26" s="6"/>
      <c r="S26" s="65"/>
      <c r="AN26" s="6"/>
      <c r="AO26" s="6"/>
      <c r="AS26" s="6"/>
      <c r="AT26" s="6"/>
      <c r="AU26" s="6"/>
    </row>
    <row r="27" spans="3:47" x14ac:dyDescent="0.25">
      <c r="C27" s="56"/>
      <c r="D27" s="56"/>
      <c r="E27" s="56"/>
      <c r="F27" s="56"/>
      <c r="G27" s="56"/>
      <c r="H27" s="56"/>
      <c r="I27" s="56"/>
      <c r="J27" s="56"/>
      <c r="K27" s="56"/>
      <c r="L27" s="56"/>
      <c r="M27" s="56"/>
      <c r="N27" s="62"/>
      <c r="O27" s="62"/>
      <c r="P27" s="62"/>
      <c r="R27" s="6"/>
      <c r="S27" s="65"/>
      <c r="AN27" s="6"/>
      <c r="AO27" s="6"/>
      <c r="AS27" s="6"/>
      <c r="AT27" s="6"/>
      <c r="AU27" s="6"/>
    </row>
    <row r="28" spans="3:47" x14ac:dyDescent="0.25">
      <c r="C28" s="56"/>
      <c r="D28" s="56"/>
      <c r="E28" s="56"/>
      <c r="F28" s="56"/>
      <c r="G28" s="56"/>
      <c r="H28" s="56"/>
      <c r="I28" s="56"/>
      <c r="J28" s="56"/>
      <c r="K28" s="56"/>
      <c r="L28" s="56"/>
      <c r="M28" s="56"/>
      <c r="N28" s="62"/>
      <c r="O28" s="62"/>
      <c r="P28" s="62"/>
      <c r="R28" s="6"/>
      <c r="S28" s="65"/>
      <c r="AN28" s="6"/>
      <c r="AO28" s="6"/>
      <c r="AS28" s="6"/>
      <c r="AT28" s="6"/>
      <c r="AU28" s="6"/>
    </row>
    <row r="29" spans="3:47" x14ac:dyDescent="0.25">
      <c r="C29" s="56"/>
      <c r="D29" s="56"/>
      <c r="E29" s="56"/>
      <c r="F29" s="56"/>
      <c r="G29" s="56"/>
      <c r="H29" s="56"/>
      <c r="I29" s="56"/>
      <c r="J29" s="56"/>
      <c r="K29" s="56"/>
      <c r="L29" s="56"/>
      <c r="M29" s="56"/>
      <c r="N29" s="62"/>
      <c r="O29" s="62"/>
      <c r="P29" s="62"/>
      <c r="R29" s="6"/>
      <c r="S29" s="65"/>
      <c r="AN29" s="6"/>
      <c r="AO29" s="6"/>
      <c r="AS29" s="6"/>
      <c r="AT29" s="6"/>
      <c r="AU29" s="6"/>
    </row>
    <row r="30" spans="3:47" x14ac:dyDescent="0.25">
      <c r="C30" s="56"/>
      <c r="D30" s="56"/>
      <c r="E30" s="56"/>
      <c r="F30" s="56"/>
      <c r="G30" s="56"/>
      <c r="H30" s="56"/>
      <c r="I30" s="56"/>
      <c r="J30" s="56"/>
      <c r="K30" s="56"/>
      <c r="L30" s="56"/>
      <c r="M30" s="56"/>
      <c r="N30" s="62"/>
      <c r="O30" s="62"/>
      <c r="P30" s="62"/>
      <c r="R30" s="6"/>
      <c r="S30" s="65"/>
      <c r="AN30" s="6"/>
      <c r="AO30" s="6"/>
      <c r="AS30" s="6"/>
      <c r="AT30" s="6"/>
      <c r="AU30" s="6"/>
    </row>
    <row r="31" spans="3:47" x14ac:dyDescent="0.25">
      <c r="C31" s="56"/>
      <c r="D31" s="56"/>
      <c r="E31" s="56"/>
      <c r="F31" s="56"/>
      <c r="G31" s="56"/>
      <c r="H31" s="56"/>
      <c r="I31" s="56"/>
      <c r="J31" s="56"/>
      <c r="K31" s="56"/>
      <c r="L31" s="56"/>
      <c r="M31" s="56"/>
      <c r="N31" s="62"/>
      <c r="O31" s="62"/>
      <c r="P31" s="62"/>
      <c r="R31" s="6"/>
      <c r="S31" s="65"/>
    </row>
    <row r="32" spans="3:47" x14ac:dyDescent="0.25">
      <c r="C32" s="56"/>
      <c r="D32" s="56"/>
      <c r="E32" s="56"/>
      <c r="F32" s="56"/>
      <c r="G32" s="56"/>
      <c r="H32" s="56"/>
      <c r="I32" s="56"/>
      <c r="J32" s="56"/>
      <c r="K32" s="56"/>
      <c r="L32" s="56"/>
      <c r="M32" s="56"/>
      <c r="N32" s="62"/>
      <c r="O32" s="62"/>
      <c r="P32" s="62"/>
      <c r="R32" s="6"/>
      <c r="S32" s="65"/>
    </row>
    <row r="33" spans="3:19" x14ac:dyDescent="0.25">
      <c r="C33" s="56"/>
      <c r="D33" s="56"/>
      <c r="E33" s="56"/>
      <c r="F33" s="56"/>
      <c r="G33" s="56"/>
      <c r="H33" s="56"/>
      <c r="I33" s="56"/>
      <c r="J33" s="56"/>
      <c r="K33" s="56"/>
      <c r="L33" s="56"/>
      <c r="M33" s="56"/>
      <c r="N33" s="62"/>
      <c r="O33" s="62"/>
      <c r="P33" s="62"/>
      <c r="R33" s="6"/>
      <c r="S33" s="65"/>
    </row>
    <row r="34" spans="3:19" x14ac:dyDescent="0.25">
      <c r="C34" s="56"/>
      <c r="D34" s="56"/>
      <c r="E34" s="56"/>
      <c r="F34" s="56"/>
      <c r="G34" s="56"/>
      <c r="H34" s="56"/>
      <c r="I34" s="56"/>
      <c r="J34" s="56"/>
      <c r="K34" s="56"/>
      <c r="L34" s="56"/>
      <c r="M34" s="56"/>
      <c r="N34" s="62"/>
      <c r="O34" s="62"/>
      <c r="P34" s="62"/>
      <c r="R34" s="6"/>
      <c r="S34" s="65"/>
    </row>
    <row r="35" spans="3:19" x14ac:dyDescent="0.25">
      <c r="C35" s="56"/>
      <c r="D35" s="56"/>
      <c r="E35" s="56"/>
      <c r="F35" s="56"/>
      <c r="G35" s="56"/>
      <c r="H35" s="56"/>
      <c r="I35" s="56"/>
      <c r="J35" s="56"/>
      <c r="K35" s="56"/>
      <c r="L35" s="56"/>
      <c r="M35" s="56"/>
      <c r="N35" s="62"/>
      <c r="O35" s="62"/>
      <c r="P35" s="62"/>
      <c r="R35" s="6"/>
      <c r="S35" s="65"/>
    </row>
    <row r="36" spans="3:19" x14ac:dyDescent="0.25">
      <c r="C36" s="56"/>
      <c r="D36" s="56"/>
      <c r="E36" s="56"/>
      <c r="F36" s="56"/>
      <c r="G36" s="56"/>
      <c r="H36" s="56"/>
      <c r="I36" s="56"/>
      <c r="J36" s="56"/>
      <c r="K36" s="56"/>
      <c r="L36" s="56"/>
      <c r="M36" s="56"/>
      <c r="N36" s="62"/>
      <c r="O36" s="62"/>
      <c r="P36" s="62"/>
      <c r="R36" s="6"/>
      <c r="S36" s="65"/>
    </row>
    <row r="37" spans="3:19" x14ac:dyDescent="0.25">
      <c r="C37" s="56"/>
      <c r="D37" s="56"/>
      <c r="E37" s="56"/>
      <c r="F37" s="56"/>
      <c r="G37" s="56"/>
      <c r="H37" s="56"/>
      <c r="I37" s="56"/>
      <c r="J37" s="56"/>
      <c r="K37" s="56"/>
      <c r="L37" s="56"/>
      <c r="M37" s="56"/>
      <c r="N37" s="62"/>
      <c r="O37" s="62"/>
      <c r="P37" s="62"/>
      <c r="R37" s="6"/>
      <c r="S37" s="65"/>
    </row>
    <row r="38" spans="3:19" x14ac:dyDescent="0.25">
      <c r="C38" s="56"/>
      <c r="D38" s="56"/>
      <c r="E38" s="56"/>
      <c r="F38" s="56"/>
      <c r="G38" s="56"/>
      <c r="H38" s="56"/>
      <c r="I38" s="56"/>
      <c r="J38" s="56"/>
      <c r="K38" s="56"/>
      <c r="L38" s="56"/>
      <c r="M38" s="56"/>
      <c r="N38" s="62"/>
      <c r="O38" s="62"/>
      <c r="P38" s="62"/>
      <c r="R38" s="6"/>
      <c r="S38" s="65"/>
    </row>
    <row r="39" spans="3:19" x14ac:dyDescent="0.25">
      <c r="C39" s="56"/>
      <c r="D39" s="56"/>
      <c r="E39" s="56"/>
      <c r="F39" s="56"/>
      <c r="G39" s="56"/>
      <c r="H39" s="56"/>
      <c r="I39" s="56"/>
      <c r="J39" s="56"/>
      <c r="K39" s="56"/>
      <c r="L39" s="56"/>
      <c r="M39" s="56"/>
      <c r="N39" s="62"/>
      <c r="O39" s="62"/>
      <c r="P39" s="62"/>
      <c r="R39" s="6"/>
      <c r="S39" s="65"/>
    </row>
    <row r="40" spans="3:19" x14ac:dyDescent="0.25">
      <c r="C40" s="56"/>
      <c r="D40" s="56"/>
      <c r="E40" s="56"/>
      <c r="F40" s="56"/>
      <c r="G40" s="56"/>
      <c r="H40" s="56"/>
      <c r="I40" s="56"/>
      <c r="J40" s="56"/>
      <c r="K40" s="56"/>
      <c r="L40" s="56"/>
      <c r="M40" s="56"/>
      <c r="N40" s="62"/>
      <c r="O40" s="62"/>
      <c r="P40" s="62"/>
      <c r="R40" s="6"/>
      <c r="S40" s="65"/>
    </row>
    <row r="41" spans="3:19" x14ac:dyDescent="0.25">
      <c r="C41" s="56"/>
      <c r="D41" s="56"/>
      <c r="E41" s="56"/>
      <c r="F41" s="56"/>
      <c r="G41" s="56"/>
      <c r="H41" s="56"/>
      <c r="I41" s="56"/>
      <c r="J41" s="56"/>
      <c r="K41" s="56"/>
      <c r="L41" s="56"/>
      <c r="M41" s="56"/>
      <c r="N41" s="62"/>
      <c r="O41" s="62"/>
      <c r="P41" s="62"/>
      <c r="R41" s="6"/>
      <c r="S41" s="65"/>
    </row>
    <row r="42" spans="3:19" x14ac:dyDescent="0.25">
      <c r="C42" s="56"/>
      <c r="D42" s="56"/>
      <c r="E42" s="56"/>
      <c r="F42" s="56"/>
      <c r="G42" s="56"/>
      <c r="H42" s="56"/>
      <c r="I42" s="56"/>
      <c r="J42" s="56"/>
      <c r="K42" s="56"/>
      <c r="L42" s="56"/>
      <c r="M42" s="56"/>
      <c r="N42" s="62"/>
      <c r="O42" s="62"/>
      <c r="P42" s="62"/>
      <c r="R42" s="6"/>
      <c r="S42" s="65"/>
    </row>
    <row r="43" spans="3:19" x14ac:dyDescent="0.25">
      <c r="C43" s="56"/>
      <c r="D43" s="56"/>
      <c r="E43" s="56"/>
      <c r="F43" s="56"/>
      <c r="G43" s="56"/>
      <c r="H43" s="56"/>
      <c r="I43" s="56"/>
      <c r="J43" s="56"/>
      <c r="K43" s="56"/>
      <c r="L43" s="56"/>
      <c r="M43" s="56"/>
      <c r="N43" s="62"/>
      <c r="O43" s="62"/>
      <c r="P43" s="62"/>
      <c r="R43" s="6"/>
      <c r="S43" s="65"/>
    </row>
    <row r="44" spans="3:19" x14ac:dyDescent="0.25">
      <c r="C44" s="56"/>
      <c r="D44" s="56"/>
      <c r="E44" s="56"/>
      <c r="F44" s="56"/>
      <c r="G44" s="56"/>
      <c r="H44" s="56"/>
      <c r="I44" s="56"/>
      <c r="J44" s="56"/>
      <c r="K44" s="56"/>
      <c r="L44" s="56"/>
      <c r="M44" s="56"/>
      <c r="N44" s="62"/>
      <c r="O44" s="62"/>
      <c r="P44" s="62"/>
      <c r="R44" s="6"/>
      <c r="S44" s="65"/>
    </row>
    <row r="45" spans="3:19" x14ac:dyDescent="0.25">
      <c r="C45" s="56"/>
      <c r="D45" s="56"/>
      <c r="E45" s="56"/>
      <c r="F45" s="56"/>
      <c r="G45" s="56"/>
      <c r="H45" s="56"/>
      <c r="I45" s="56"/>
      <c r="J45" s="56"/>
      <c r="K45" s="56"/>
      <c r="L45" s="56"/>
      <c r="M45" s="56"/>
      <c r="N45" s="62"/>
      <c r="O45" s="62"/>
      <c r="P45" s="62"/>
      <c r="R45" s="6"/>
      <c r="S45" s="65"/>
    </row>
    <row r="46" spans="3:19" x14ac:dyDescent="0.25">
      <c r="C46" s="56"/>
      <c r="D46" s="56"/>
      <c r="E46" s="56"/>
      <c r="F46" s="56"/>
      <c r="G46" s="56"/>
      <c r="H46" s="56"/>
      <c r="I46" s="56"/>
      <c r="J46" s="56"/>
      <c r="K46" s="56"/>
      <c r="L46" s="56"/>
      <c r="M46" s="56"/>
      <c r="N46" s="62"/>
      <c r="O46" s="62"/>
      <c r="P46" s="62"/>
      <c r="R46" s="6"/>
      <c r="S46" s="65"/>
    </row>
    <row r="47" spans="3:19" x14ac:dyDescent="0.25">
      <c r="C47" s="56"/>
      <c r="D47" s="56"/>
      <c r="E47" s="56"/>
      <c r="F47" s="56"/>
      <c r="G47" s="56"/>
      <c r="H47" s="56"/>
      <c r="I47" s="56"/>
      <c r="J47" s="56"/>
      <c r="K47" s="56"/>
      <c r="L47" s="56"/>
      <c r="M47" s="56"/>
      <c r="N47" s="62"/>
      <c r="O47" s="62"/>
      <c r="P47" s="62"/>
      <c r="R47" s="6"/>
      <c r="S47" s="65"/>
    </row>
    <row r="48" spans="3:19" x14ac:dyDescent="0.25">
      <c r="C48" s="56"/>
      <c r="D48" s="56"/>
      <c r="E48" s="56"/>
      <c r="F48" s="56"/>
      <c r="G48" s="56"/>
      <c r="H48" s="56"/>
      <c r="I48" s="56"/>
      <c r="J48" s="56"/>
      <c r="K48" s="56"/>
      <c r="L48" s="56"/>
      <c r="M48" s="56"/>
      <c r="N48" s="62"/>
      <c r="O48" s="62"/>
      <c r="P48" s="62"/>
      <c r="R48" s="6"/>
      <c r="S48" s="65"/>
    </row>
    <row r="49" spans="3:19" x14ac:dyDescent="0.25">
      <c r="C49" s="56"/>
      <c r="D49" s="56"/>
      <c r="E49" s="56"/>
      <c r="F49" s="56"/>
      <c r="G49" s="56"/>
      <c r="H49" s="56"/>
      <c r="I49" s="56"/>
      <c r="J49" s="56"/>
      <c r="K49" s="56"/>
      <c r="L49" s="56"/>
      <c r="M49" s="56"/>
      <c r="N49" s="62"/>
      <c r="O49" s="62"/>
      <c r="P49" s="62"/>
      <c r="R49" s="6"/>
      <c r="S49" s="65"/>
    </row>
    <row r="50" spans="3:19" x14ac:dyDescent="0.25">
      <c r="C50" s="56"/>
      <c r="D50" s="56"/>
      <c r="E50" s="56"/>
      <c r="F50" s="56"/>
      <c r="G50" s="56"/>
      <c r="H50" s="56"/>
      <c r="I50" s="56"/>
      <c r="J50" s="56"/>
      <c r="K50" s="56"/>
      <c r="L50" s="56"/>
      <c r="M50" s="56"/>
      <c r="N50" s="62"/>
      <c r="O50" s="62"/>
      <c r="P50" s="62"/>
      <c r="R50" s="6"/>
      <c r="S50" s="65"/>
    </row>
    <row r="51" spans="3:19" x14ac:dyDescent="0.25">
      <c r="C51" s="56"/>
      <c r="D51" s="56"/>
      <c r="E51" s="56"/>
      <c r="F51" s="56"/>
      <c r="G51" s="56"/>
      <c r="H51" s="56"/>
      <c r="I51" s="56"/>
      <c r="J51" s="56"/>
      <c r="K51" s="56"/>
      <c r="L51" s="56"/>
      <c r="M51" s="56"/>
      <c r="N51" s="62"/>
      <c r="O51" s="62"/>
      <c r="P51" s="62"/>
      <c r="R51" s="6"/>
      <c r="S51" s="65"/>
    </row>
    <row r="52" spans="3:19" x14ac:dyDescent="0.25">
      <c r="C52" s="56"/>
      <c r="D52" s="56"/>
      <c r="E52" s="56"/>
      <c r="F52" s="56"/>
      <c r="G52" s="56"/>
      <c r="H52" s="56"/>
      <c r="I52" s="56"/>
      <c r="J52" s="56"/>
      <c r="K52" s="56"/>
      <c r="L52" s="56"/>
      <c r="M52" s="56"/>
      <c r="N52" s="62"/>
      <c r="O52" s="62"/>
      <c r="P52" s="62"/>
      <c r="R52" s="6"/>
      <c r="S52" s="65"/>
    </row>
    <row r="53" spans="3:19" x14ac:dyDescent="0.25">
      <c r="C53" s="56"/>
      <c r="D53" s="56"/>
      <c r="E53" s="56"/>
      <c r="F53" s="56"/>
      <c r="G53" s="56"/>
      <c r="H53" s="56"/>
      <c r="I53" s="56"/>
      <c r="J53" s="56"/>
      <c r="K53" s="56"/>
      <c r="L53" s="56"/>
      <c r="M53" s="56"/>
      <c r="N53" s="62"/>
      <c r="O53" s="62"/>
      <c r="P53" s="62"/>
      <c r="R53" s="6"/>
      <c r="S53" s="65"/>
    </row>
    <row r="54" spans="3:19" x14ac:dyDescent="0.25">
      <c r="C54" s="56"/>
      <c r="D54" s="56"/>
      <c r="E54" s="56"/>
      <c r="F54" s="56"/>
      <c r="G54" s="56"/>
      <c r="H54" s="56"/>
      <c r="I54" s="56"/>
      <c r="J54" s="56"/>
      <c r="K54" s="56"/>
      <c r="L54" s="56"/>
      <c r="M54" s="56"/>
      <c r="N54" s="62"/>
      <c r="O54" s="62"/>
      <c r="P54" s="62"/>
      <c r="R54" s="6"/>
      <c r="S54" s="65"/>
    </row>
    <row r="55" spans="3:19" x14ac:dyDescent="0.25">
      <c r="C55" s="56"/>
      <c r="D55" s="56"/>
      <c r="E55" s="56"/>
      <c r="F55" s="56"/>
      <c r="G55" s="56"/>
      <c r="H55" s="56"/>
      <c r="I55" s="56"/>
      <c r="J55" s="56"/>
      <c r="K55" s="56"/>
      <c r="L55" s="56"/>
      <c r="M55" s="56"/>
      <c r="N55" s="62"/>
      <c r="O55" s="62"/>
      <c r="P55" s="62"/>
      <c r="R55" s="6"/>
      <c r="S55" s="65"/>
    </row>
    <row r="56" spans="3:19" x14ac:dyDescent="0.25">
      <c r="C56" s="56"/>
      <c r="D56" s="56"/>
      <c r="E56" s="56"/>
      <c r="F56" s="56"/>
      <c r="G56" s="56"/>
      <c r="H56" s="56"/>
      <c r="I56" s="56"/>
      <c r="J56" s="56"/>
      <c r="K56" s="56"/>
      <c r="L56" s="56"/>
      <c r="M56" s="56"/>
      <c r="N56" s="62"/>
      <c r="O56" s="62"/>
      <c r="P56" s="62"/>
      <c r="R56" s="6"/>
      <c r="S56" s="65"/>
    </row>
    <row r="57" spans="3:19" x14ac:dyDescent="0.25">
      <c r="C57" s="56"/>
      <c r="D57" s="56"/>
      <c r="E57" s="56"/>
      <c r="F57" s="56"/>
      <c r="G57" s="56"/>
      <c r="H57" s="56"/>
      <c r="I57" s="56"/>
      <c r="J57" s="56"/>
      <c r="K57" s="56"/>
      <c r="L57" s="56"/>
      <c r="M57" s="56"/>
      <c r="N57" s="62"/>
      <c r="O57" s="62"/>
      <c r="P57" s="62"/>
      <c r="R57" s="6"/>
      <c r="S57" s="65"/>
    </row>
    <row r="58" spans="3:19" x14ac:dyDescent="0.25">
      <c r="C58" s="56"/>
      <c r="D58" s="56"/>
      <c r="E58" s="56"/>
      <c r="F58" s="56"/>
      <c r="G58" s="56"/>
      <c r="H58" s="56"/>
      <c r="I58" s="56"/>
      <c r="J58" s="56"/>
      <c r="K58" s="56"/>
      <c r="L58" s="56"/>
      <c r="M58" s="56"/>
      <c r="N58" s="62"/>
      <c r="O58" s="62"/>
      <c r="P58" s="62"/>
      <c r="R58" s="6"/>
      <c r="S58" s="65"/>
    </row>
    <row r="59" spans="3:19" x14ac:dyDescent="0.25">
      <c r="C59" s="56"/>
      <c r="D59" s="56"/>
      <c r="E59" s="56"/>
      <c r="F59" s="56"/>
      <c r="G59" s="56"/>
      <c r="H59" s="56"/>
      <c r="I59" s="56"/>
      <c r="J59" s="56"/>
      <c r="K59" s="56"/>
      <c r="L59" s="56"/>
      <c r="M59" s="56"/>
      <c r="N59" s="62"/>
      <c r="O59" s="62"/>
      <c r="P59" s="62"/>
      <c r="R59" s="6"/>
      <c r="S59" s="65"/>
    </row>
    <row r="60" spans="3:19" x14ac:dyDescent="0.25">
      <c r="C60" s="56"/>
      <c r="D60" s="56"/>
      <c r="E60" s="56"/>
      <c r="F60" s="56"/>
      <c r="G60" s="56"/>
      <c r="H60" s="56"/>
      <c r="I60" s="56"/>
      <c r="J60" s="56"/>
      <c r="K60" s="56"/>
      <c r="L60" s="56"/>
      <c r="M60" s="56"/>
      <c r="N60" s="62"/>
      <c r="O60" s="62"/>
      <c r="P60" s="62"/>
      <c r="R60" s="6"/>
      <c r="S60" s="65"/>
    </row>
    <row r="61" spans="3:19" x14ac:dyDescent="0.25">
      <c r="C61" s="56"/>
      <c r="D61" s="56"/>
      <c r="E61" s="56"/>
      <c r="F61" s="56"/>
      <c r="G61" s="56"/>
      <c r="H61" s="56"/>
      <c r="I61" s="56"/>
      <c r="J61" s="56"/>
      <c r="K61" s="56"/>
      <c r="L61" s="56"/>
      <c r="M61" s="56"/>
      <c r="N61" s="62"/>
      <c r="O61" s="62"/>
      <c r="P61" s="62"/>
      <c r="R61" s="6"/>
      <c r="S61" s="65"/>
    </row>
    <row r="62" spans="3:19" x14ac:dyDescent="0.25">
      <c r="C62" s="56"/>
      <c r="D62" s="56"/>
      <c r="E62" s="56"/>
      <c r="F62" s="56"/>
      <c r="G62" s="56"/>
      <c r="H62" s="56"/>
      <c r="I62" s="56"/>
      <c r="J62" s="56"/>
      <c r="K62" s="56"/>
      <c r="L62" s="56"/>
      <c r="M62" s="56"/>
      <c r="N62" s="62"/>
      <c r="O62" s="62"/>
      <c r="P62" s="62"/>
      <c r="R62" s="6"/>
      <c r="S62" s="65"/>
    </row>
    <row r="63" spans="3:19" x14ac:dyDescent="0.25">
      <c r="C63" s="56"/>
      <c r="D63" s="56"/>
      <c r="E63" s="56"/>
      <c r="F63" s="56"/>
      <c r="G63" s="56"/>
      <c r="H63" s="56"/>
      <c r="I63" s="56"/>
      <c r="J63" s="56"/>
      <c r="K63" s="56"/>
      <c r="L63" s="56"/>
      <c r="M63" s="56"/>
      <c r="N63" s="62"/>
      <c r="O63" s="62"/>
      <c r="P63" s="62"/>
      <c r="R63" s="6"/>
      <c r="S63" s="65"/>
    </row>
    <row r="64" spans="3:19" x14ac:dyDescent="0.25">
      <c r="C64" s="56"/>
      <c r="D64" s="56"/>
      <c r="E64" s="56"/>
      <c r="F64" s="56"/>
      <c r="G64" s="56"/>
      <c r="H64" s="56"/>
      <c r="I64" s="56"/>
      <c r="J64" s="56"/>
      <c r="K64" s="56"/>
      <c r="L64" s="56"/>
      <c r="M64" s="56"/>
      <c r="N64" s="62"/>
      <c r="O64" s="62"/>
      <c r="P64" s="62"/>
      <c r="R64" s="6"/>
      <c r="S64" s="65"/>
    </row>
    <row r="65" spans="3:19" x14ac:dyDescent="0.25">
      <c r="C65" s="56"/>
      <c r="D65" s="56"/>
      <c r="E65" s="56"/>
      <c r="F65" s="56"/>
      <c r="G65" s="56"/>
      <c r="H65" s="56"/>
      <c r="I65" s="56"/>
      <c r="J65" s="56"/>
      <c r="K65" s="56"/>
      <c r="L65" s="56"/>
      <c r="M65" s="56"/>
      <c r="N65" s="62"/>
      <c r="O65" s="62"/>
      <c r="P65" s="62"/>
      <c r="R65" s="6"/>
      <c r="S65" s="65"/>
    </row>
    <row r="66" spans="3:19" x14ac:dyDescent="0.25">
      <c r="C66" s="56"/>
      <c r="D66" s="56"/>
      <c r="E66" s="56"/>
      <c r="F66" s="56"/>
      <c r="G66" s="56"/>
      <c r="H66" s="56"/>
      <c r="I66" s="56"/>
      <c r="J66" s="56"/>
      <c r="K66" s="56"/>
      <c r="L66" s="56"/>
      <c r="M66" s="56"/>
      <c r="N66" s="62"/>
      <c r="O66" s="62"/>
      <c r="P66" s="62"/>
      <c r="R66" s="6"/>
      <c r="S66" s="65"/>
    </row>
    <row r="67" spans="3:19" x14ac:dyDescent="0.25">
      <c r="C67" s="56"/>
      <c r="D67" s="56"/>
      <c r="E67" s="56"/>
      <c r="F67" s="56"/>
      <c r="G67" s="56"/>
      <c r="H67" s="56"/>
      <c r="I67" s="56"/>
      <c r="J67" s="56"/>
      <c r="K67" s="56"/>
      <c r="L67" s="56"/>
      <c r="M67" s="56"/>
      <c r="N67" s="62"/>
      <c r="O67" s="62"/>
      <c r="P67" s="62"/>
      <c r="R67" s="6"/>
      <c r="S67" s="65"/>
    </row>
    <row r="68" spans="3:19" x14ac:dyDescent="0.25">
      <c r="C68" s="56"/>
      <c r="D68" s="56"/>
      <c r="E68" s="56"/>
      <c r="F68" s="56"/>
      <c r="G68" s="56"/>
      <c r="H68" s="56"/>
      <c r="I68" s="56"/>
      <c r="J68" s="56"/>
      <c r="K68" s="56"/>
      <c r="L68" s="56"/>
      <c r="M68" s="56"/>
      <c r="N68" s="62"/>
      <c r="O68" s="62"/>
      <c r="P68" s="62"/>
      <c r="R68" s="6"/>
      <c r="S68" s="65"/>
    </row>
    <row r="69" spans="3:19" x14ac:dyDescent="0.25">
      <c r="C69" s="56"/>
      <c r="D69" s="56"/>
      <c r="E69" s="56"/>
      <c r="F69" s="56"/>
      <c r="G69" s="56"/>
      <c r="H69" s="56"/>
      <c r="I69" s="56"/>
      <c r="J69" s="56"/>
      <c r="K69" s="56"/>
      <c r="L69" s="56"/>
      <c r="M69" s="56"/>
      <c r="N69" s="62"/>
      <c r="O69" s="62"/>
      <c r="P69" s="62"/>
      <c r="R69" s="6"/>
      <c r="S69" s="65"/>
    </row>
    <row r="70" spans="3:19" x14ac:dyDescent="0.25">
      <c r="C70" s="56"/>
      <c r="D70" s="56"/>
      <c r="E70" s="56"/>
      <c r="F70" s="56"/>
      <c r="G70" s="56"/>
      <c r="H70" s="56"/>
      <c r="I70" s="56"/>
      <c r="J70" s="56"/>
      <c r="K70" s="56"/>
      <c r="L70" s="56"/>
      <c r="M70" s="56"/>
      <c r="N70" s="62"/>
      <c r="O70" s="62"/>
      <c r="P70" s="62"/>
      <c r="R70" s="6"/>
      <c r="S70" s="65"/>
    </row>
    <row r="71" spans="3:19" x14ac:dyDescent="0.25">
      <c r="C71" s="56"/>
      <c r="D71" s="56"/>
      <c r="E71" s="56"/>
      <c r="F71" s="56"/>
      <c r="G71" s="56"/>
      <c r="H71" s="56"/>
      <c r="I71" s="56"/>
      <c r="J71" s="56"/>
      <c r="K71" s="56"/>
      <c r="L71" s="56"/>
      <c r="M71" s="56"/>
      <c r="N71" s="62"/>
      <c r="O71" s="62"/>
      <c r="P71" s="62"/>
      <c r="R71" s="6"/>
      <c r="S71" s="65"/>
    </row>
    <row r="72" spans="3:19" x14ac:dyDescent="0.25">
      <c r="C72" s="56"/>
      <c r="D72" s="56"/>
      <c r="E72" s="56"/>
      <c r="F72" s="56"/>
      <c r="G72" s="56"/>
      <c r="H72" s="56"/>
      <c r="I72" s="56"/>
      <c r="J72" s="56"/>
      <c r="K72" s="56"/>
      <c r="L72" s="56"/>
      <c r="M72" s="56"/>
      <c r="N72" s="62"/>
      <c r="O72" s="62"/>
      <c r="P72" s="62"/>
      <c r="R72" s="6"/>
      <c r="S72" s="65"/>
    </row>
    <row r="73" spans="3:19" x14ac:dyDescent="0.25">
      <c r="C73" s="56"/>
      <c r="D73" s="56"/>
      <c r="E73" s="56"/>
      <c r="F73" s="56"/>
      <c r="G73" s="56"/>
      <c r="H73" s="56"/>
      <c r="I73" s="56"/>
      <c r="J73" s="56"/>
      <c r="K73" s="56"/>
      <c r="L73" s="56"/>
      <c r="M73" s="56"/>
      <c r="N73" s="62"/>
      <c r="O73" s="62"/>
      <c r="P73" s="62"/>
      <c r="R73" s="6"/>
      <c r="S73" s="65"/>
    </row>
    <row r="74" spans="3:19" x14ac:dyDescent="0.25">
      <c r="C74" s="56"/>
      <c r="D74" s="56"/>
      <c r="E74" s="56"/>
      <c r="F74" s="56"/>
      <c r="G74" s="56"/>
      <c r="H74" s="56"/>
      <c r="I74" s="56"/>
      <c r="J74" s="56"/>
      <c r="K74" s="56"/>
      <c r="L74" s="56"/>
      <c r="M74" s="56"/>
      <c r="N74" s="62"/>
      <c r="O74" s="62"/>
      <c r="P74" s="62"/>
      <c r="R74" s="6"/>
      <c r="S74" s="65"/>
    </row>
    <row r="75" spans="3:19" x14ac:dyDescent="0.25">
      <c r="C75" s="56"/>
      <c r="D75" s="56"/>
      <c r="E75" s="56"/>
      <c r="F75" s="56"/>
      <c r="G75" s="56"/>
      <c r="H75" s="56"/>
      <c r="I75" s="56"/>
      <c r="J75" s="56"/>
      <c r="K75" s="56"/>
      <c r="L75" s="56"/>
      <c r="M75" s="56"/>
      <c r="N75" s="62"/>
      <c r="O75" s="62"/>
      <c r="P75" s="62"/>
      <c r="R75" s="6"/>
      <c r="S75" s="65"/>
    </row>
    <row r="76" spans="3:19" x14ac:dyDescent="0.25">
      <c r="C76" s="56"/>
      <c r="D76" s="56"/>
      <c r="E76" s="56"/>
      <c r="F76" s="56"/>
      <c r="G76" s="56"/>
      <c r="H76" s="56"/>
      <c r="I76" s="56"/>
      <c r="J76" s="56"/>
      <c r="K76" s="56"/>
      <c r="L76" s="56"/>
      <c r="M76" s="56"/>
      <c r="N76" s="62"/>
      <c r="O76" s="62"/>
      <c r="P76" s="62"/>
      <c r="R76" s="6"/>
      <c r="S76" s="65"/>
    </row>
    <row r="77" spans="3:19" x14ac:dyDescent="0.25">
      <c r="C77" s="56"/>
      <c r="D77" s="56"/>
      <c r="E77" s="56"/>
      <c r="F77" s="56"/>
      <c r="G77" s="56"/>
      <c r="H77" s="56"/>
      <c r="I77" s="56"/>
      <c r="J77" s="56"/>
      <c r="K77" s="56"/>
      <c r="L77" s="56"/>
      <c r="M77" s="56"/>
      <c r="N77" s="62"/>
      <c r="O77" s="62"/>
      <c r="P77" s="62"/>
      <c r="R77" s="6"/>
      <c r="S77" s="65"/>
    </row>
    <row r="78" spans="3:19" x14ac:dyDescent="0.25">
      <c r="C78" s="56"/>
      <c r="D78" s="56"/>
      <c r="E78" s="56"/>
      <c r="F78" s="56"/>
      <c r="G78" s="56"/>
      <c r="H78" s="56"/>
      <c r="I78" s="56"/>
      <c r="J78" s="56"/>
      <c r="K78" s="56"/>
      <c r="L78" s="56"/>
      <c r="M78" s="56"/>
      <c r="N78" s="62"/>
      <c r="O78" s="62"/>
      <c r="P78" s="62"/>
      <c r="R78" s="6"/>
      <c r="S78" s="65"/>
    </row>
    <row r="79" spans="3:19" x14ac:dyDescent="0.25">
      <c r="C79" s="56"/>
      <c r="D79" s="56"/>
      <c r="E79" s="56"/>
      <c r="F79" s="56"/>
      <c r="G79" s="56"/>
      <c r="H79" s="56"/>
      <c r="I79" s="56"/>
      <c r="J79" s="56"/>
      <c r="K79" s="56"/>
      <c r="L79" s="56"/>
      <c r="M79" s="56"/>
      <c r="N79" s="62"/>
      <c r="O79" s="62"/>
      <c r="P79" s="62"/>
      <c r="R79" s="6"/>
      <c r="S79" s="65"/>
    </row>
    <row r="80" spans="3:19" x14ac:dyDescent="0.25">
      <c r="C80" s="56"/>
      <c r="D80" s="56"/>
      <c r="E80" s="56"/>
      <c r="F80" s="56"/>
      <c r="G80" s="56"/>
      <c r="H80" s="56"/>
      <c r="I80" s="56"/>
      <c r="J80" s="56"/>
      <c r="K80" s="56"/>
      <c r="L80" s="56"/>
      <c r="M80" s="56"/>
      <c r="N80" s="62"/>
      <c r="O80" s="62"/>
      <c r="P80" s="62"/>
      <c r="R80" s="6"/>
      <c r="S80" s="65"/>
    </row>
    <row r="81" spans="3:19" x14ac:dyDescent="0.25">
      <c r="C81" s="56"/>
      <c r="D81" s="56"/>
      <c r="E81" s="56"/>
      <c r="F81" s="56"/>
      <c r="G81" s="56"/>
      <c r="H81" s="56"/>
      <c r="I81" s="56"/>
      <c r="J81" s="56"/>
      <c r="K81" s="56"/>
      <c r="L81" s="56"/>
      <c r="M81" s="56"/>
      <c r="N81" s="62"/>
      <c r="O81" s="62"/>
      <c r="P81" s="62"/>
      <c r="R81" s="6"/>
      <c r="S81" s="65"/>
    </row>
    <row r="82" spans="3:19" x14ac:dyDescent="0.25">
      <c r="C82" s="56"/>
      <c r="D82" s="56"/>
      <c r="E82" s="56"/>
      <c r="F82" s="56"/>
      <c r="G82" s="56"/>
      <c r="H82" s="56"/>
      <c r="I82" s="56"/>
      <c r="J82" s="56"/>
      <c r="K82" s="56"/>
      <c r="L82" s="56"/>
      <c r="M82" s="56"/>
      <c r="N82" s="62"/>
      <c r="O82" s="62"/>
      <c r="P82" s="62"/>
      <c r="R82" s="6"/>
      <c r="S82" s="65"/>
    </row>
    <row r="83" spans="3:19" x14ac:dyDescent="0.25">
      <c r="C83" s="56"/>
      <c r="D83" s="56"/>
      <c r="E83" s="56"/>
      <c r="F83" s="56"/>
      <c r="G83" s="56"/>
      <c r="H83" s="56"/>
      <c r="I83" s="56"/>
      <c r="J83" s="56"/>
      <c r="K83" s="56"/>
      <c r="L83" s="56"/>
      <c r="M83" s="56"/>
      <c r="N83" s="62"/>
      <c r="O83" s="62"/>
      <c r="P83" s="62"/>
      <c r="R83" s="6"/>
      <c r="S83" s="65"/>
    </row>
    <row r="84" spans="3:19" x14ac:dyDescent="0.25">
      <c r="C84" s="56"/>
      <c r="D84" s="56"/>
      <c r="E84" s="56"/>
      <c r="F84" s="56"/>
      <c r="G84" s="56"/>
      <c r="H84" s="56"/>
      <c r="I84" s="56"/>
      <c r="J84" s="56"/>
      <c r="K84" s="56"/>
      <c r="L84" s="56"/>
      <c r="M84" s="56"/>
      <c r="N84" s="62"/>
      <c r="O84" s="62"/>
      <c r="P84" s="62"/>
      <c r="R84" s="6"/>
      <c r="S84" s="65"/>
    </row>
    <row r="85" spans="3:19" x14ac:dyDescent="0.25">
      <c r="C85" s="56"/>
      <c r="D85" s="56"/>
      <c r="E85" s="56"/>
      <c r="F85" s="56"/>
      <c r="G85" s="56"/>
      <c r="H85" s="56"/>
      <c r="I85" s="56"/>
      <c r="J85" s="56"/>
      <c r="K85" s="56"/>
      <c r="L85" s="56"/>
      <c r="M85" s="56"/>
      <c r="N85" s="62"/>
      <c r="O85" s="62"/>
      <c r="P85" s="62"/>
      <c r="R85" s="6"/>
      <c r="S85" s="65"/>
    </row>
    <row r="86" spans="3:19" x14ac:dyDescent="0.25">
      <c r="C86" s="56"/>
      <c r="D86" s="56"/>
      <c r="E86" s="56"/>
      <c r="F86" s="56"/>
      <c r="G86" s="56"/>
      <c r="H86" s="56"/>
      <c r="I86" s="56"/>
      <c r="J86" s="56"/>
      <c r="K86" s="56"/>
      <c r="L86" s="56"/>
      <c r="M86" s="56"/>
      <c r="N86" s="62"/>
      <c r="O86" s="62"/>
      <c r="P86" s="62"/>
      <c r="R86" s="6"/>
      <c r="S86" s="65"/>
    </row>
    <row r="87" spans="3:19" x14ac:dyDescent="0.25">
      <c r="C87" s="56"/>
      <c r="D87" s="56"/>
      <c r="E87" s="56"/>
      <c r="F87" s="56"/>
      <c r="G87" s="56"/>
      <c r="H87" s="56"/>
      <c r="I87" s="56"/>
      <c r="J87" s="56"/>
      <c r="K87" s="56"/>
      <c r="L87" s="56"/>
      <c r="M87" s="56"/>
      <c r="N87" s="62"/>
      <c r="O87" s="62"/>
      <c r="P87" s="62"/>
      <c r="R87" s="6"/>
      <c r="S87" s="65"/>
    </row>
    <row r="88" spans="3:19" x14ac:dyDescent="0.25">
      <c r="C88" s="56"/>
      <c r="D88" s="56"/>
      <c r="E88" s="56"/>
      <c r="F88" s="56"/>
      <c r="G88" s="56"/>
      <c r="H88" s="56"/>
      <c r="I88" s="56"/>
      <c r="J88" s="56"/>
      <c r="K88" s="56"/>
      <c r="L88" s="56"/>
      <c r="M88" s="56"/>
      <c r="N88" s="62"/>
      <c r="O88" s="62"/>
      <c r="P88" s="62"/>
      <c r="R88" s="6"/>
      <c r="S88" s="65"/>
    </row>
    <row r="89" spans="3:19" x14ac:dyDescent="0.25">
      <c r="C89" s="56"/>
      <c r="D89" s="56"/>
      <c r="E89" s="56"/>
      <c r="F89" s="56"/>
      <c r="G89" s="56"/>
      <c r="H89" s="56"/>
      <c r="I89" s="56"/>
      <c r="J89" s="56"/>
      <c r="K89" s="56"/>
      <c r="L89" s="56"/>
      <c r="M89" s="56"/>
      <c r="N89" s="62"/>
      <c r="O89" s="62"/>
      <c r="P89" s="62"/>
      <c r="R89" s="6"/>
      <c r="S89" s="65"/>
    </row>
    <row r="90" spans="3:19" x14ac:dyDescent="0.25">
      <c r="C90" s="56"/>
      <c r="D90" s="56"/>
      <c r="E90" s="56"/>
      <c r="F90" s="56"/>
      <c r="G90" s="56"/>
      <c r="H90" s="56"/>
      <c r="I90" s="56"/>
      <c r="J90" s="56"/>
      <c r="K90" s="56"/>
      <c r="L90" s="56"/>
      <c r="M90" s="56"/>
      <c r="N90" s="62"/>
      <c r="O90" s="62"/>
      <c r="P90" s="62"/>
      <c r="R90" s="6"/>
      <c r="S90" s="65"/>
    </row>
    <row r="91" spans="3:19" x14ac:dyDescent="0.25">
      <c r="C91" s="56"/>
      <c r="D91" s="56"/>
      <c r="E91" s="56"/>
      <c r="F91" s="56"/>
      <c r="G91" s="56"/>
      <c r="H91" s="56"/>
      <c r="I91" s="56"/>
      <c r="J91" s="56"/>
      <c r="K91" s="56"/>
      <c r="L91" s="56"/>
      <c r="M91" s="56"/>
      <c r="N91" s="62"/>
      <c r="O91" s="62"/>
      <c r="P91" s="62"/>
      <c r="R91" s="6"/>
      <c r="S91" s="65"/>
    </row>
    <row r="92" spans="3:19" x14ac:dyDescent="0.25">
      <c r="C92" s="56"/>
      <c r="D92" s="56"/>
      <c r="E92" s="56"/>
      <c r="F92" s="56"/>
      <c r="G92" s="56"/>
      <c r="H92" s="56"/>
      <c r="I92" s="56"/>
      <c r="J92" s="56"/>
      <c r="K92" s="56"/>
      <c r="L92" s="56"/>
      <c r="M92" s="56"/>
      <c r="N92" s="62"/>
      <c r="O92" s="62"/>
      <c r="P92" s="62"/>
      <c r="R92" s="6"/>
      <c r="S92" s="65"/>
    </row>
    <row r="93" spans="3:19" x14ac:dyDescent="0.25">
      <c r="C93" s="56"/>
      <c r="D93" s="56"/>
      <c r="E93" s="56"/>
      <c r="F93" s="56"/>
      <c r="G93" s="56"/>
      <c r="H93" s="56"/>
      <c r="I93" s="56"/>
      <c r="J93" s="56"/>
      <c r="K93" s="56"/>
      <c r="L93" s="56"/>
      <c r="M93" s="56"/>
      <c r="N93" s="62"/>
      <c r="O93" s="62"/>
      <c r="P93" s="62"/>
      <c r="R93" s="6"/>
      <c r="S93" s="65"/>
    </row>
    <row r="94" spans="3:19" x14ac:dyDescent="0.25">
      <c r="C94" s="56"/>
      <c r="D94" s="56"/>
      <c r="E94" s="56"/>
      <c r="F94" s="56"/>
      <c r="G94" s="56"/>
      <c r="H94" s="56"/>
      <c r="I94" s="56"/>
      <c r="J94" s="56"/>
      <c r="K94" s="56"/>
      <c r="L94" s="56"/>
      <c r="M94" s="56"/>
      <c r="N94" s="62"/>
      <c r="O94" s="62"/>
      <c r="P94" s="62"/>
      <c r="R94" s="6"/>
      <c r="S94" s="65"/>
    </row>
    <row r="95" spans="3:19" x14ac:dyDescent="0.25">
      <c r="C95" s="56"/>
      <c r="D95" s="56"/>
      <c r="E95" s="56"/>
      <c r="F95" s="56"/>
      <c r="G95" s="56"/>
      <c r="H95" s="56"/>
      <c r="I95" s="56"/>
      <c r="J95" s="56"/>
      <c r="K95" s="56"/>
      <c r="L95" s="56"/>
      <c r="M95" s="56"/>
      <c r="N95" s="62"/>
      <c r="O95" s="62"/>
      <c r="P95" s="62"/>
      <c r="R95" s="6"/>
      <c r="S95" s="65"/>
    </row>
    <row r="96" spans="3:19" x14ac:dyDescent="0.25">
      <c r="C96" s="56"/>
      <c r="D96" s="56"/>
      <c r="E96" s="56"/>
      <c r="F96" s="56"/>
      <c r="G96" s="56"/>
      <c r="H96" s="56"/>
      <c r="I96" s="56"/>
      <c r="J96" s="56"/>
      <c r="K96" s="56"/>
      <c r="L96" s="56"/>
      <c r="M96" s="56"/>
      <c r="N96" s="62"/>
      <c r="O96" s="62"/>
      <c r="P96" s="62"/>
      <c r="R96" s="6"/>
      <c r="S96" s="65"/>
    </row>
    <row r="97" spans="3:19" x14ac:dyDescent="0.25">
      <c r="C97" s="56"/>
      <c r="D97" s="56"/>
      <c r="E97" s="56"/>
      <c r="F97" s="56"/>
      <c r="G97" s="56"/>
      <c r="H97" s="56"/>
      <c r="I97" s="56"/>
      <c r="J97" s="56"/>
      <c r="K97" s="56"/>
      <c r="L97" s="56"/>
      <c r="M97" s="56"/>
      <c r="N97" s="62"/>
      <c r="O97" s="62"/>
      <c r="P97" s="62"/>
      <c r="R97" s="6"/>
      <c r="S97" s="65"/>
    </row>
    <row r="98" spans="3:19" x14ac:dyDescent="0.25">
      <c r="C98" s="56"/>
      <c r="D98" s="56"/>
      <c r="E98" s="56"/>
      <c r="F98" s="56"/>
      <c r="G98" s="56"/>
      <c r="H98" s="56"/>
      <c r="I98" s="56"/>
      <c r="J98" s="56"/>
      <c r="K98" s="56"/>
      <c r="L98" s="56"/>
      <c r="M98" s="56"/>
      <c r="N98" s="62"/>
      <c r="O98" s="62"/>
      <c r="P98" s="62"/>
      <c r="R98" s="6"/>
      <c r="S98" s="65"/>
    </row>
    <row r="99" spans="3:19" x14ac:dyDescent="0.25">
      <c r="C99" s="56"/>
      <c r="D99" s="56"/>
      <c r="E99" s="56"/>
      <c r="F99" s="56"/>
      <c r="G99" s="56"/>
      <c r="H99" s="56"/>
      <c r="I99" s="56"/>
      <c r="J99" s="56"/>
      <c r="K99" s="56"/>
      <c r="L99" s="56"/>
      <c r="M99" s="56"/>
      <c r="N99" s="62"/>
      <c r="O99" s="62"/>
      <c r="P99" s="62"/>
      <c r="R99" s="6"/>
      <c r="S99" s="65"/>
    </row>
    <row r="100" spans="3:19" x14ac:dyDescent="0.25">
      <c r="C100" s="56"/>
      <c r="D100" s="56"/>
      <c r="E100" s="56"/>
      <c r="F100" s="56"/>
      <c r="G100" s="56"/>
      <c r="H100" s="56"/>
      <c r="I100" s="56"/>
      <c r="J100" s="56"/>
      <c r="K100" s="56"/>
      <c r="L100" s="56"/>
      <c r="M100" s="56"/>
      <c r="N100" s="62"/>
      <c r="O100" s="62"/>
      <c r="P100" s="62"/>
      <c r="R100" s="6"/>
      <c r="S100" s="65"/>
    </row>
  </sheetData>
  <mergeCells count="4">
    <mergeCell ref="AR2:AW2"/>
    <mergeCell ref="U2:AA2"/>
    <mergeCell ref="AD2:AJ2"/>
    <mergeCell ref="AM2:AP2"/>
  </mergeCells>
  <dataValidations count="5">
    <dataValidation type="list" allowBlank="1" showInputMessage="1" showErrorMessage="1" sqref="U21" xr:uid="{800B3BF9-1663-4169-8E60-D4A270B713A4}">
      <formula1>"DeathGuard,Space Marines,Drukhari, Daemons, T'Au, Imperial Guard, Sisters of Battle, Thousand Sons"</formula1>
    </dataValidation>
    <dataValidation type="list" allowBlank="1" showInputMessage="1" showErrorMessage="1" sqref="R4:R100" xr:uid="{47D10753-7FF0-4749-8A07-2165A3E48F80}">
      <formula1>"Ranged,Melee"</formula1>
    </dataValidation>
    <dataValidation type="list" allowBlank="1" showInputMessage="1" showErrorMessage="1" sqref="AN4:AN30 AT4:AT30" xr:uid="{C5D3F629-4761-426D-A564-B64EF552DCA9}">
      <formula1>"Attacker,Target"</formula1>
    </dataValidation>
    <dataValidation type="list" allowBlank="1" showInputMessage="1" showErrorMessage="1" sqref="AO4:AO30 AU4:AU30" xr:uid="{2F0405E2-4119-4C37-8249-BD849AE4A810}">
      <formula1>"Shooting,Fighting,Both"</formula1>
    </dataValidation>
    <dataValidation type="whole" allowBlank="1" showInputMessage="1" showErrorMessage="1" promptTitle="Qty" prompt="How many of this weapon the unit carries. Blank = 1. Use 0 for alternate profiles (e.g. frag/krak) you don't want counted together." sqref="S4:S100" xr:uid="{CB794ACB-D009-48BF-9E4B-BD856F8EB53C}">
      <formula1>0</formula1>
      <formula2>100</formula2>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B8835-9429-4CBF-989F-DECD1F63211B}">
  <sheetPr codeName="Sheet7">
    <tabColor theme="6"/>
  </sheetPr>
  <dimension ref="B2:AW100"/>
  <sheetViews>
    <sheetView workbookViewId="0">
      <selection activeCell="I52" sqref="I52"/>
    </sheetView>
  </sheetViews>
  <sheetFormatPr defaultRowHeight="15" x14ac:dyDescent="0.25"/>
  <cols>
    <col min="2" max="2" width="21.7109375" bestFit="1" customWidth="1"/>
    <col min="3" max="7" width="7.42578125" customWidth="1"/>
    <col min="8" max="8" width="13" customWidth="1"/>
    <col min="9" max="13" width="8.85546875" customWidth="1"/>
    <col min="14" max="15" width="29.7109375" customWidth="1"/>
    <col min="16" max="16" width="48.140625" customWidth="1"/>
    <col min="17" max="17" width="26" bestFit="1" customWidth="1"/>
    <col min="18" max="18" width="4.7109375" customWidth="1"/>
    <col min="19" max="19" width="6.7109375" customWidth="1"/>
    <col min="20" max="20" width="1.85546875" customWidth="1"/>
    <col min="21" max="21" width="26.28515625" bestFit="1" customWidth="1"/>
    <col min="22" max="22" width="4.42578125" bestFit="1" customWidth="1"/>
    <col min="23" max="23" width="5.42578125" bestFit="1" customWidth="1"/>
    <col min="24" max="24" width="4.28515625" bestFit="1" customWidth="1"/>
    <col min="25" max="25" width="5.5703125" bestFit="1" customWidth="1"/>
    <col min="26" max="26" width="4.5703125" bestFit="1" customWidth="1"/>
    <col min="27" max="27" width="20.42578125" bestFit="1" customWidth="1"/>
    <col min="28" max="29" width="1.85546875" customWidth="1"/>
    <col min="30" max="30" width="11.85546875" bestFit="1" customWidth="1"/>
    <col min="39" max="39" width="27.7109375" customWidth="1"/>
    <col min="40" max="41" width="12" customWidth="1"/>
    <col min="42" max="42" width="37" customWidth="1"/>
    <col min="44" max="44" width="27.7109375" customWidth="1"/>
    <col min="45" max="45" width="6.42578125" customWidth="1"/>
    <col min="46" max="47" width="13" customWidth="1"/>
    <col min="48" max="48" width="31.42578125" customWidth="1"/>
    <col min="49" max="49" width="40.7109375" customWidth="1"/>
  </cols>
  <sheetData>
    <row r="2" spans="2:49" x14ac:dyDescent="0.25">
      <c r="B2" s="57" t="s">
        <v>185</v>
      </c>
      <c r="C2" s="57"/>
      <c r="D2" s="57"/>
      <c r="E2" s="57"/>
      <c r="F2" s="57"/>
      <c r="G2" s="57"/>
      <c r="H2" s="57"/>
      <c r="I2" s="57"/>
      <c r="J2" s="57"/>
      <c r="K2" s="57"/>
      <c r="L2" s="57"/>
      <c r="M2" s="57"/>
      <c r="N2" s="57"/>
      <c r="O2" s="57"/>
      <c r="P2" s="57"/>
      <c r="Q2" s="57"/>
      <c r="R2" s="57"/>
      <c r="U2" s="131" t="s">
        <v>186</v>
      </c>
      <c r="V2" s="131"/>
      <c r="W2" s="131"/>
      <c r="X2" s="131"/>
      <c r="Y2" s="131"/>
      <c r="Z2" s="131"/>
      <c r="AA2" s="131"/>
      <c r="AD2" s="131" t="s">
        <v>242</v>
      </c>
      <c r="AE2" s="131"/>
      <c r="AF2" s="131"/>
      <c r="AG2" s="131"/>
      <c r="AH2" s="131"/>
      <c r="AI2" s="131"/>
      <c r="AJ2" s="131"/>
      <c r="AM2" s="134" t="s">
        <v>188</v>
      </c>
      <c r="AN2" s="134"/>
      <c r="AO2" s="134"/>
      <c r="AP2" s="134"/>
      <c r="AR2" s="132" t="s">
        <v>189</v>
      </c>
      <c r="AS2" s="133"/>
      <c r="AT2" s="133"/>
      <c r="AU2" s="133"/>
      <c r="AV2" s="133"/>
      <c r="AW2" s="133"/>
    </row>
    <row r="3" spans="2:49" x14ac:dyDescent="0.25">
      <c r="B3" t="s">
        <v>190</v>
      </c>
      <c r="C3" t="s">
        <v>129</v>
      </c>
      <c r="D3" t="s">
        <v>130</v>
      </c>
      <c r="E3" t="s">
        <v>131</v>
      </c>
      <c r="F3" t="s">
        <v>132</v>
      </c>
      <c r="G3" t="s">
        <v>133</v>
      </c>
      <c r="H3" t="s">
        <v>134</v>
      </c>
      <c r="I3" t="s">
        <v>496</v>
      </c>
      <c r="J3" t="s">
        <v>497</v>
      </c>
      <c r="K3" t="s">
        <v>498</v>
      </c>
      <c r="L3" t="s">
        <v>499</v>
      </c>
      <c r="M3" t="s">
        <v>500</v>
      </c>
      <c r="N3" t="s">
        <v>9</v>
      </c>
      <c r="O3" t="s">
        <v>501</v>
      </c>
      <c r="P3" t="s">
        <v>502</v>
      </c>
      <c r="Q3" t="s">
        <v>122</v>
      </c>
      <c r="R3" s="2" t="s">
        <v>177</v>
      </c>
      <c r="S3" s="2" t="s">
        <v>493</v>
      </c>
      <c r="U3" s="3" t="s">
        <v>122</v>
      </c>
      <c r="V3" s="3" t="s">
        <v>123</v>
      </c>
      <c r="W3" s="3" t="s">
        <v>124</v>
      </c>
      <c r="X3" s="3" t="s">
        <v>125</v>
      </c>
      <c r="Y3" s="3" t="s">
        <v>126</v>
      </c>
      <c r="Z3" s="3" t="s">
        <v>127</v>
      </c>
      <c r="AA3" s="3" t="s">
        <v>128</v>
      </c>
      <c r="AB3" s="2"/>
      <c r="AD3" s="3" t="s">
        <v>122</v>
      </c>
      <c r="AE3" s="3" t="s">
        <v>123</v>
      </c>
      <c r="AF3" s="3" t="s">
        <v>124</v>
      </c>
      <c r="AG3" s="3" t="s">
        <v>125</v>
      </c>
      <c r="AH3" s="3" t="s">
        <v>126</v>
      </c>
      <c r="AI3" s="3" t="s">
        <v>127</v>
      </c>
      <c r="AJ3" s="3" t="s">
        <v>128</v>
      </c>
      <c r="AM3" s="3" t="s">
        <v>191</v>
      </c>
      <c r="AN3" s="3" t="s">
        <v>192</v>
      </c>
      <c r="AO3" s="3" t="s">
        <v>193</v>
      </c>
      <c r="AP3" s="3" t="s">
        <v>128</v>
      </c>
      <c r="AR3" s="3" t="s">
        <v>194</v>
      </c>
      <c r="AS3" s="3" t="s">
        <v>195</v>
      </c>
      <c r="AT3" s="3" t="s">
        <v>192</v>
      </c>
      <c r="AU3" s="3" t="s">
        <v>193</v>
      </c>
      <c r="AV3" s="3" t="s">
        <v>128</v>
      </c>
      <c r="AW3" s="3" t="s">
        <v>196</v>
      </c>
    </row>
    <row r="4" spans="2:49" x14ac:dyDescent="0.25">
      <c r="C4" s="56"/>
      <c r="D4" s="56"/>
      <c r="E4" s="56"/>
      <c r="F4" s="56"/>
      <c r="G4" s="56"/>
      <c r="H4" s="56"/>
      <c r="I4" s="56"/>
      <c r="J4" s="56"/>
      <c r="K4" s="56"/>
      <c r="L4" s="56"/>
      <c r="M4" s="56"/>
      <c r="N4" s="62"/>
      <c r="O4" s="62"/>
      <c r="P4" s="62"/>
      <c r="R4" s="6"/>
      <c r="S4" s="65"/>
      <c r="AA4" s="2"/>
      <c r="AB4" s="2"/>
      <c r="AD4" s="3"/>
      <c r="AE4" s="2"/>
      <c r="AF4" s="2"/>
      <c r="AG4" s="2"/>
      <c r="AH4" s="2"/>
      <c r="AI4" s="2"/>
      <c r="AJ4" s="2"/>
      <c r="AN4" s="6"/>
      <c r="AO4" s="6"/>
      <c r="AS4" s="6"/>
      <c r="AT4" s="6"/>
      <c r="AU4" s="6"/>
    </row>
    <row r="5" spans="2:49" x14ac:dyDescent="0.25">
      <c r="B5" s="4"/>
      <c r="C5" s="56"/>
      <c r="D5" s="56"/>
      <c r="E5" s="56"/>
      <c r="F5" s="56"/>
      <c r="G5" s="56"/>
      <c r="H5" s="56"/>
      <c r="I5" s="56"/>
      <c r="J5" s="56"/>
      <c r="K5" s="56"/>
      <c r="L5" s="56"/>
      <c r="M5" s="56"/>
      <c r="N5" s="62"/>
      <c r="O5" s="62"/>
      <c r="P5" s="62"/>
      <c r="Q5" s="3"/>
      <c r="R5" s="6"/>
      <c r="S5" s="65"/>
      <c r="U5" s="3"/>
      <c r="V5" s="2"/>
      <c r="W5" s="2"/>
      <c r="X5" s="2"/>
      <c r="Y5" s="2"/>
      <c r="Z5" s="2"/>
      <c r="AA5" s="2"/>
      <c r="AB5" s="2"/>
      <c r="AN5" s="6"/>
      <c r="AO5" s="6"/>
      <c r="AS5" s="6"/>
      <c r="AT5" s="6"/>
      <c r="AU5" s="6"/>
    </row>
    <row r="6" spans="2:49" x14ac:dyDescent="0.25">
      <c r="B6" s="4"/>
      <c r="C6" s="56"/>
      <c r="D6" s="56"/>
      <c r="E6" s="56"/>
      <c r="F6" s="56"/>
      <c r="G6" s="56"/>
      <c r="H6" s="56"/>
      <c r="I6" s="56"/>
      <c r="J6" s="56"/>
      <c r="K6" s="56"/>
      <c r="L6" s="56"/>
      <c r="M6" s="56"/>
      <c r="N6" s="62"/>
      <c r="O6" s="62"/>
      <c r="P6" s="62"/>
      <c r="Q6" s="3"/>
      <c r="R6" s="6"/>
      <c r="S6" s="65"/>
      <c r="U6" s="3"/>
      <c r="V6" s="2"/>
      <c r="W6" s="2"/>
      <c r="X6" s="2"/>
      <c r="Y6" s="2"/>
      <c r="Z6" s="2"/>
      <c r="AA6" s="2"/>
      <c r="AB6" s="2"/>
      <c r="AN6" s="6"/>
      <c r="AO6" s="6"/>
      <c r="AS6" s="6"/>
      <c r="AT6" s="6"/>
      <c r="AU6" s="6"/>
    </row>
    <row r="7" spans="2:49" x14ac:dyDescent="0.25">
      <c r="B7" s="4"/>
      <c r="C7" s="56"/>
      <c r="D7" s="56"/>
      <c r="E7" s="56"/>
      <c r="F7" s="56"/>
      <c r="G7" s="56"/>
      <c r="H7" s="56"/>
      <c r="I7" s="56"/>
      <c r="J7" s="56"/>
      <c r="K7" s="56"/>
      <c r="L7" s="56"/>
      <c r="M7" s="56"/>
      <c r="N7" s="62"/>
      <c r="O7" s="62"/>
      <c r="P7" s="62"/>
      <c r="Q7" s="3"/>
      <c r="R7" s="6"/>
      <c r="S7" s="65"/>
      <c r="U7" s="3"/>
      <c r="V7" s="2"/>
      <c r="W7" s="2"/>
      <c r="X7" s="2"/>
      <c r="Y7" s="2"/>
      <c r="Z7" s="2"/>
      <c r="AA7" s="2"/>
      <c r="AB7" s="2"/>
      <c r="AN7" s="6"/>
      <c r="AO7" s="6"/>
      <c r="AS7" s="6"/>
      <c r="AT7" s="6"/>
      <c r="AU7" s="6"/>
    </row>
    <row r="8" spans="2:49" x14ac:dyDescent="0.25">
      <c r="B8" s="4"/>
      <c r="C8" s="56"/>
      <c r="D8" s="56"/>
      <c r="E8" s="56"/>
      <c r="F8" s="56"/>
      <c r="G8" s="56"/>
      <c r="H8" s="56"/>
      <c r="I8" s="56"/>
      <c r="J8" s="56"/>
      <c r="K8" s="56"/>
      <c r="L8" s="56"/>
      <c r="M8" s="56"/>
      <c r="N8" s="62"/>
      <c r="O8" s="62"/>
      <c r="P8" s="62"/>
      <c r="Q8" s="3"/>
      <c r="R8" s="6"/>
      <c r="S8" s="65"/>
      <c r="U8" s="3"/>
      <c r="W8" s="2"/>
      <c r="X8" s="2"/>
      <c r="Y8" s="2"/>
      <c r="Z8" s="2"/>
      <c r="AA8" s="2"/>
      <c r="AN8" s="6"/>
      <c r="AO8" s="6"/>
      <c r="AS8" s="6"/>
      <c r="AT8" s="6"/>
      <c r="AU8" s="6"/>
    </row>
    <row r="9" spans="2:49" x14ac:dyDescent="0.25">
      <c r="B9" s="4"/>
      <c r="C9" s="56"/>
      <c r="D9" s="56"/>
      <c r="E9" s="56"/>
      <c r="F9" s="56"/>
      <c r="G9" s="56"/>
      <c r="H9" s="56"/>
      <c r="I9" s="56"/>
      <c r="J9" s="56"/>
      <c r="K9" s="56"/>
      <c r="L9" s="56"/>
      <c r="M9" s="56"/>
      <c r="N9" s="62"/>
      <c r="O9" s="62"/>
      <c r="P9" s="62"/>
      <c r="Q9" s="3"/>
      <c r="R9" s="6"/>
      <c r="S9" s="65"/>
      <c r="U9" s="3"/>
      <c r="V9" s="2"/>
      <c r="W9" s="2"/>
      <c r="X9" s="2"/>
      <c r="Y9" s="2"/>
      <c r="Z9" s="2"/>
      <c r="AA9" s="2"/>
      <c r="AN9" s="6"/>
      <c r="AO9" s="6"/>
      <c r="AS9" s="6"/>
      <c r="AT9" s="6"/>
      <c r="AU9" s="6"/>
    </row>
    <row r="10" spans="2:49" x14ac:dyDescent="0.25">
      <c r="B10" s="4"/>
      <c r="C10" s="56"/>
      <c r="D10" s="56"/>
      <c r="E10" s="56"/>
      <c r="F10" s="56"/>
      <c r="G10" s="56"/>
      <c r="H10" s="56"/>
      <c r="I10" s="56"/>
      <c r="J10" s="56"/>
      <c r="K10" s="56"/>
      <c r="L10" s="56"/>
      <c r="M10" s="56"/>
      <c r="N10" s="62"/>
      <c r="O10" s="62"/>
      <c r="P10" s="62"/>
      <c r="Q10" s="3"/>
      <c r="R10" s="6"/>
      <c r="S10" s="65"/>
      <c r="U10" s="3"/>
      <c r="W10" s="22"/>
      <c r="X10" s="2"/>
      <c r="Y10" s="2"/>
      <c r="Z10" s="2"/>
      <c r="AA10" s="2"/>
      <c r="AN10" s="6"/>
      <c r="AO10" s="6"/>
      <c r="AS10" s="6"/>
      <c r="AT10" s="6"/>
      <c r="AU10" s="6"/>
    </row>
    <row r="11" spans="2:49" x14ac:dyDescent="0.25">
      <c r="B11" s="4"/>
      <c r="C11" s="56"/>
      <c r="D11" s="56"/>
      <c r="E11" s="56"/>
      <c r="F11" s="56"/>
      <c r="G11" s="56"/>
      <c r="H11" s="56"/>
      <c r="I11" s="56"/>
      <c r="J11" s="56"/>
      <c r="K11" s="56"/>
      <c r="L11" s="56"/>
      <c r="M11" s="56"/>
      <c r="N11" s="62"/>
      <c r="O11" s="62"/>
      <c r="P11" s="62"/>
      <c r="Q11" s="3"/>
      <c r="R11" s="6"/>
      <c r="S11" s="65"/>
      <c r="U11" s="3"/>
      <c r="V11" s="2"/>
      <c r="W11" s="2"/>
      <c r="X11" s="2"/>
      <c r="Y11" s="2"/>
      <c r="Z11" s="2"/>
      <c r="AA11" s="2"/>
      <c r="AN11" s="6"/>
      <c r="AO11" s="6"/>
      <c r="AS11" s="6"/>
      <c r="AT11" s="6"/>
      <c r="AU11" s="6"/>
    </row>
    <row r="12" spans="2:49" x14ac:dyDescent="0.25">
      <c r="B12" s="4"/>
      <c r="C12" s="56"/>
      <c r="D12" s="56"/>
      <c r="E12" s="56"/>
      <c r="F12" s="56"/>
      <c r="G12" s="56"/>
      <c r="H12" s="56"/>
      <c r="I12" s="56"/>
      <c r="J12" s="56"/>
      <c r="K12" s="56"/>
      <c r="L12" s="56"/>
      <c r="M12" s="56"/>
      <c r="N12" s="62"/>
      <c r="O12" s="62"/>
      <c r="P12" s="62"/>
      <c r="Q12" s="3"/>
      <c r="R12" s="6"/>
      <c r="S12" s="65"/>
      <c r="U12" s="3"/>
      <c r="W12" s="2"/>
      <c r="X12" s="2"/>
      <c r="Y12" s="2"/>
      <c r="Z12" s="2"/>
      <c r="AA12" s="2"/>
      <c r="AN12" s="6"/>
      <c r="AO12" s="6"/>
      <c r="AS12" s="6"/>
      <c r="AT12" s="6"/>
      <c r="AU12" s="6"/>
    </row>
    <row r="13" spans="2:49" x14ac:dyDescent="0.25">
      <c r="B13" s="4"/>
      <c r="C13" s="56"/>
      <c r="D13" s="56"/>
      <c r="E13" s="56"/>
      <c r="F13" s="56"/>
      <c r="G13" s="56"/>
      <c r="H13" s="56"/>
      <c r="I13" s="56"/>
      <c r="J13" s="56"/>
      <c r="K13" s="56"/>
      <c r="L13" s="56"/>
      <c r="M13" s="56"/>
      <c r="N13" s="62"/>
      <c r="O13" s="62"/>
      <c r="P13" s="62"/>
      <c r="Q13" s="3"/>
      <c r="R13" s="6"/>
      <c r="S13" s="65"/>
      <c r="U13" s="3"/>
      <c r="V13" s="2"/>
      <c r="W13" s="2"/>
      <c r="X13" s="2"/>
      <c r="Y13" s="2"/>
      <c r="Z13" s="2"/>
      <c r="AN13" s="6"/>
      <c r="AO13" s="6"/>
      <c r="AS13" s="6"/>
      <c r="AT13" s="6"/>
      <c r="AU13" s="6"/>
    </row>
    <row r="14" spans="2:49" x14ac:dyDescent="0.25">
      <c r="B14" s="4"/>
      <c r="C14" s="56"/>
      <c r="D14" s="56"/>
      <c r="E14" s="56"/>
      <c r="F14" s="56"/>
      <c r="G14" s="56"/>
      <c r="H14" s="56"/>
      <c r="I14" s="56"/>
      <c r="J14" s="56"/>
      <c r="K14" s="56"/>
      <c r="L14" s="56"/>
      <c r="M14" s="56"/>
      <c r="N14" s="62"/>
      <c r="O14" s="62"/>
      <c r="P14" s="62"/>
      <c r="Q14" s="3"/>
      <c r="R14" s="6"/>
      <c r="S14" s="65"/>
      <c r="U14" s="3"/>
      <c r="W14" s="2"/>
      <c r="X14" s="2"/>
      <c r="Y14" s="2"/>
      <c r="Z14" s="2"/>
      <c r="AN14" s="6"/>
      <c r="AO14" s="6"/>
      <c r="AS14" s="6"/>
      <c r="AT14" s="6"/>
      <c r="AU14" s="6"/>
    </row>
    <row r="15" spans="2:49" x14ac:dyDescent="0.25">
      <c r="B15" s="4"/>
      <c r="C15" s="56"/>
      <c r="D15" s="56"/>
      <c r="E15" s="56"/>
      <c r="F15" s="56"/>
      <c r="G15" s="56"/>
      <c r="H15" s="56"/>
      <c r="I15" s="56"/>
      <c r="J15" s="56"/>
      <c r="K15" s="56"/>
      <c r="L15" s="56"/>
      <c r="M15" s="56"/>
      <c r="N15" s="62"/>
      <c r="O15" s="62"/>
      <c r="P15" s="62"/>
      <c r="Q15" s="3"/>
      <c r="R15" s="6"/>
      <c r="S15" s="65"/>
      <c r="U15" s="3"/>
      <c r="V15" s="2"/>
      <c r="W15" s="2"/>
      <c r="X15" s="2"/>
      <c r="Y15" s="2"/>
      <c r="Z15" s="2"/>
      <c r="AN15" s="6"/>
      <c r="AO15" s="6"/>
      <c r="AS15" s="6"/>
      <c r="AT15" s="6"/>
      <c r="AU15" s="6"/>
    </row>
    <row r="16" spans="2:49" x14ac:dyDescent="0.25">
      <c r="C16" s="56"/>
      <c r="D16" s="56"/>
      <c r="E16" s="56"/>
      <c r="F16" s="56"/>
      <c r="G16" s="56"/>
      <c r="H16" s="56"/>
      <c r="I16" s="56"/>
      <c r="J16" s="56"/>
      <c r="K16" s="56"/>
      <c r="L16" s="56"/>
      <c r="M16" s="56"/>
      <c r="N16" s="62"/>
      <c r="O16" s="62"/>
      <c r="P16" s="62"/>
      <c r="R16" s="6"/>
      <c r="S16" s="65"/>
      <c r="AN16" s="6"/>
      <c r="AO16" s="6"/>
      <c r="AS16" s="6"/>
      <c r="AT16" s="6"/>
      <c r="AU16" s="6"/>
    </row>
    <row r="17" spans="3:47" x14ac:dyDescent="0.25">
      <c r="C17" s="56"/>
      <c r="D17" s="56"/>
      <c r="E17" s="56"/>
      <c r="F17" s="56"/>
      <c r="G17" s="56"/>
      <c r="H17" s="56"/>
      <c r="I17" s="56"/>
      <c r="J17" s="56"/>
      <c r="K17" s="56"/>
      <c r="L17" s="56"/>
      <c r="M17" s="56"/>
      <c r="N17" s="62"/>
      <c r="O17" s="62"/>
      <c r="P17" s="62"/>
      <c r="R17" s="6"/>
      <c r="S17" s="65"/>
      <c r="AN17" s="6"/>
      <c r="AO17" s="6"/>
      <c r="AS17" s="6"/>
      <c r="AT17" s="6"/>
      <c r="AU17" s="6"/>
    </row>
    <row r="18" spans="3:47" x14ac:dyDescent="0.25">
      <c r="C18" s="56"/>
      <c r="D18" s="56"/>
      <c r="E18" s="56"/>
      <c r="F18" s="56"/>
      <c r="G18" s="56"/>
      <c r="H18" s="56"/>
      <c r="I18" s="56"/>
      <c r="J18" s="56"/>
      <c r="K18" s="56"/>
      <c r="L18" s="56"/>
      <c r="M18" s="56"/>
      <c r="N18" s="62"/>
      <c r="O18" s="62"/>
      <c r="P18" s="62"/>
      <c r="R18" s="6"/>
      <c r="S18" s="65"/>
      <c r="AN18" s="6"/>
      <c r="AO18" s="6"/>
      <c r="AS18" s="6"/>
      <c r="AT18" s="6"/>
      <c r="AU18" s="6"/>
    </row>
    <row r="19" spans="3:47" x14ac:dyDescent="0.25">
      <c r="C19" s="56"/>
      <c r="D19" s="56"/>
      <c r="E19" s="56"/>
      <c r="F19" s="56"/>
      <c r="G19" s="56"/>
      <c r="H19" s="56"/>
      <c r="I19" s="56"/>
      <c r="J19" s="56"/>
      <c r="K19" s="56"/>
      <c r="L19" s="56"/>
      <c r="M19" s="56"/>
      <c r="N19" s="62"/>
      <c r="O19" s="62"/>
      <c r="P19" s="62"/>
      <c r="R19" s="6"/>
      <c r="S19" s="65"/>
      <c r="AN19" s="6"/>
      <c r="AO19" s="6"/>
      <c r="AS19" s="6"/>
      <c r="AT19" s="6"/>
      <c r="AU19" s="6"/>
    </row>
    <row r="20" spans="3:47" x14ac:dyDescent="0.25">
      <c r="C20" s="56"/>
      <c r="D20" s="56"/>
      <c r="E20" s="56"/>
      <c r="F20" s="56"/>
      <c r="G20" s="56"/>
      <c r="H20" s="56"/>
      <c r="I20" s="56"/>
      <c r="J20" s="56"/>
      <c r="K20" s="56"/>
      <c r="L20" s="56"/>
      <c r="M20" s="56"/>
      <c r="N20" s="62"/>
      <c r="O20" s="62"/>
      <c r="P20" s="62"/>
      <c r="R20" s="6"/>
      <c r="S20" s="65"/>
      <c r="AN20" s="6"/>
      <c r="AO20" s="6"/>
      <c r="AS20" s="6"/>
      <c r="AT20" s="6"/>
      <c r="AU20" s="6"/>
    </row>
    <row r="21" spans="3:47" x14ac:dyDescent="0.25">
      <c r="C21" s="56"/>
      <c r="D21" s="56"/>
      <c r="E21" s="56"/>
      <c r="F21" s="56"/>
      <c r="G21" s="56"/>
      <c r="H21" s="56"/>
      <c r="I21" s="56"/>
      <c r="J21" s="56"/>
      <c r="K21" s="56"/>
      <c r="L21" s="56"/>
      <c r="M21" s="56"/>
      <c r="N21" s="62"/>
      <c r="O21" s="62"/>
      <c r="P21" s="62"/>
      <c r="R21" s="6"/>
      <c r="S21" s="65"/>
      <c r="AN21" s="6"/>
      <c r="AO21" s="6"/>
      <c r="AS21" s="6"/>
      <c r="AT21" s="6"/>
      <c r="AU21" s="6"/>
    </row>
    <row r="22" spans="3:47" x14ac:dyDescent="0.25">
      <c r="C22" s="56"/>
      <c r="D22" s="56"/>
      <c r="E22" s="56"/>
      <c r="F22" s="56"/>
      <c r="G22" s="56"/>
      <c r="H22" s="56"/>
      <c r="I22" s="56"/>
      <c r="J22" s="56"/>
      <c r="K22" s="56"/>
      <c r="L22" s="56"/>
      <c r="M22" s="56"/>
      <c r="N22" s="62"/>
      <c r="O22" s="62"/>
      <c r="P22" s="62"/>
      <c r="R22" s="6"/>
      <c r="S22" s="65"/>
      <c r="AN22" s="6"/>
      <c r="AO22" s="6"/>
      <c r="AS22" s="6"/>
      <c r="AT22" s="6"/>
      <c r="AU22" s="6"/>
    </row>
    <row r="23" spans="3:47" x14ac:dyDescent="0.25">
      <c r="C23" s="56"/>
      <c r="D23" s="56"/>
      <c r="E23" s="56"/>
      <c r="F23" s="56"/>
      <c r="G23" s="56"/>
      <c r="H23" s="56"/>
      <c r="I23" s="56"/>
      <c r="J23" s="56"/>
      <c r="K23" s="56"/>
      <c r="L23" s="56"/>
      <c r="M23" s="56"/>
      <c r="N23" s="62"/>
      <c r="O23" s="62"/>
      <c r="P23" s="62"/>
      <c r="R23" s="6"/>
      <c r="S23" s="65"/>
      <c r="AN23" s="6"/>
      <c r="AO23" s="6"/>
      <c r="AS23" s="6"/>
      <c r="AT23" s="6"/>
      <c r="AU23" s="6"/>
    </row>
    <row r="24" spans="3:47" x14ac:dyDescent="0.25">
      <c r="C24" s="56"/>
      <c r="D24" s="56"/>
      <c r="E24" s="56"/>
      <c r="F24" s="56"/>
      <c r="G24" s="56"/>
      <c r="H24" s="56"/>
      <c r="I24" s="56"/>
      <c r="J24" s="56"/>
      <c r="K24" s="56"/>
      <c r="L24" s="56"/>
      <c r="M24" s="56"/>
      <c r="N24" s="62"/>
      <c r="O24" s="62"/>
      <c r="P24" s="62"/>
      <c r="R24" s="6"/>
      <c r="S24" s="65"/>
      <c r="AN24" s="6"/>
      <c r="AO24" s="6"/>
      <c r="AS24" s="6"/>
      <c r="AT24" s="6"/>
      <c r="AU24" s="6"/>
    </row>
    <row r="25" spans="3:47" x14ac:dyDescent="0.25">
      <c r="C25" s="56"/>
      <c r="D25" s="56"/>
      <c r="E25" s="56"/>
      <c r="F25" s="56"/>
      <c r="G25" s="56"/>
      <c r="H25" s="56"/>
      <c r="I25" s="56"/>
      <c r="J25" s="56"/>
      <c r="K25" s="56"/>
      <c r="L25" s="56"/>
      <c r="M25" s="56"/>
      <c r="N25" s="62"/>
      <c r="O25" s="62"/>
      <c r="P25" s="62"/>
      <c r="R25" s="6"/>
      <c r="S25" s="65"/>
      <c r="AN25" s="6"/>
      <c r="AO25" s="6"/>
      <c r="AS25" s="6"/>
      <c r="AT25" s="6"/>
      <c r="AU25" s="6"/>
    </row>
    <row r="26" spans="3:47" x14ac:dyDescent="0.25">
      <c r="C26" s="56"/>
      <c r="D26" s="56"/>
      <c r="E26" s="56"/>
      <c r="F26" s="56"/>
      <c r="G26" s="56"/>
      <c r="H26" s="56"/>
      <c r="I26" s="56"/>
      <c r="J26" s="56"/>
      <c r="K26" s="56"/>
      <c r="L26" s="56"/>
      <c r="M26" s="56"/>
      <c r="N26" s="62"/>
      <c r="O26" s="62"/>
      <c r="P26" s="62"/>
      <c r="R26" s="6"/>
      <c r="S26" s="65"/>
      <c r="AN26" s="6"/>
      <c r="AO26" s="6"/>
      <c r="AS26" s="6"/>
      <c r="AT26" s="6"/>
      <c r="AU26" s="6"/>
    </row>
    <row r="27" spans="3:47" x14ac:dyDescent="0.25">
      <c r="C27" s="56"/>
      <c r="D27" s="56"/>
      <c r="E27" s="56"/>
      <c r="F27" s="56"/>
      <c r="G27" s="56"/>
      <c r="H27" s="56"/>
      <c r="I27" s="56"/>
      <c r="J27" s="56"/>
      <c r="K27" s="56"/>
      <c r="L27" s="56"/>
      <c r="M27" s="56"/>
      <c r="N27" s="62"/>
      <c r="O27" s="62"/>
      <c r="P27" s="62"/>
      <c r="R27" s="6"/>
      <c r="S27" s="65"/>
      <c r="AN27" s="6"/>
      <c r="AO27" s="6"/>
      <c r="AS27" s="6"/>
      <c r="AT27" s="6"/>
      <c r="AU27" s="6"/>
    </row>
    <row r="28" spans="3:47" x14ac:dyDescent="0.25">
      <c r="C28" s="56"/>
      <c r="D28" s="56"/>
      <c r="E28" s="56"/>
      <c r="F28" s="56"/>
      <c r="G28" s="56"/>
      <c r="H28" s="56"/>
      <c r="I28" s="56"/>
      <c r="J28" s="56"/>
      <c r="K28" s="56"/>
      <c r="L28" s="56"/>
      <c r="M28" s="56"/>
      <c r="N28" s="62"/>
      <c r="O28" s="62"/>
      <c r="P28" s="62"/>
      <c r="R28" s="6"/>
      <c r="S28" s="65"/>
      <c r="AN28" s="6"/>
      <c r="AO28" s="6"/>
      <c r="AS28" s="6"/>
      <c r="AT28" s="6"/>
      <c r="AU28" s="6"/>
    </row>
    <row r="29" spans="3:47" x14ac:dyDescent="0.25">
      <c r="C29" s="56"/>
      <c r="D29" s="56"/>
      <c r="E29" s="56"/>
      <c r="F29" s="56"/>
      <c r="G29" s="56"/>
      <c r="H29" s="56"/>
      <c r="I29" s="56"/>
      <c r="J29" s="56"/>
      <c r="K29" s="56"/>
      <c r="L29" s="56"/>
      <c r="M29" s="56"/>
      <c r="N29" s="62"/>
      <c r="O29" s="62"/>
      <c r="P29" s="62"/>
      <c r="R29" s="6"/>
      <c r="S29" s="65"/>
      <c r="AN29" s="6"/>
      <c r="AO29" s="6"/>
      <c r="AS29" s="6"/>
      <c r="AT29" s="6"/>
      <c r="AU29" s="6"/>
    </row>
    <row r="30" spans="3:47" x14ac:dyDescent="0.25">
      <c r="C30" s="56"/>
      <c r="D30" s="56"/>
      <c r="E30" s="56"/>
      <c r="F30" s="56"/>
      <c r="G30" s="56"/>
      <c r="H30" s="56"/>
      <c r="I30" s="56"/>
      <c r="J30" s="56"/>
      <c r="K30" s="56"/>
      <c r="L30" s="56"/>
      <c r="M30" s="56"/>
      <c r="N30" s="62"/>
      <c r="O30" s="62"/>
      <c r="P30" s="62"/>
      <c r="R30" s="6"/>
      <c r="S30" s="65"/>
      <c r="AN30" s="6"/>
      <c r="AO30" s="6"/>
      <c r="AS30" s="6"/>
      <c r="AT30" s="6"/>
      <c r="AU30" s="6"/>
    </row>
    <row r="31" spans="3:47" x14ac:dyDescent="0.25">
      <c r="C31" s="56"/>
      <c r="D31" s="56"/>
      <c r="E31" s="56"/>
      <c r="F31" s="56"/>
      <c r="G31" s="56"/>
      <c r="H31" s="56"/>
      <c r="I31" s="56"/>
      <c r="J31" s="56"/>
      <c r="K31" s="56"/>
      <c r="L31" s="56"/>
      <c r="M31" s="56"/>
      <c r="N31" s="62"/>
      <c r="O31" s="62"/>
      <c r="P31" s="62"/>
      <c r="R31" s="6"/>
      <c r="S31" s="65"/>
    </row>
    <row r="32" spans="3:47" x14ac:dyDescent="0.25">
      <c r="C32" s="56"/>
      <c r="D32" s="56"/>
      <c r="E32" s="56"/>
      <c r="F32" s="56"/>
      <c r="G32" s="56"/>
      <c r="H32" s="56"/>
      <c r="I32" s="56"/>
      <c r="J32" s="56"/>
      <c r="K32" s="56"/>
      <c r="L32" s="56"/>
      <c r="M32" s="56"/>
      <c r="N32" s="62"/>
      <c r="O32" s="62"/>
      <c r="P32" s="62"/>
      <c r="R32" s="6"/>
      <c r="S32" s="65"/>
    </row>
    <row r="33" spans="3:19" x14ac:dyDescent="0.25">
      <c r="C33" s="56"/>
      <c r="D33" s="56"/>
      <c r="E33" s="56"/>
      <c r="F33" s="56"/>
      <c r="G33" s="56"/>
      <c r="H33" s="56"/>
      <c r="I33" s="56"/>
      <c r="J33" s="56"/>
      <c r="K33" s="56"/>
      <c r="L33" s="56"/>
      <c r="M33" s="56"/>
      <c r="N33" s="62"/>
      <c r="O33" s="62"/>
      <c r="P33" s="62"/>
      <c r="R33" s="6"/>
      <c r="S33" s="65"/>
    </row>
    <row r="34" spans="3:19" x14ac:dyDescent="0.25">
      <c r="C34" s="56"/>
      <c r="D34" s="56"/>
      <c r="E34" s="56"/>
      <c r="F34" s="56"/>
      <c r="G34" s="56"/>
      <c r="H34" s="56"/>
      <c r="I34" s="56"/>
      <c r="J34" s="56"/>
      <c r="K34" s="56"/>
      <c r="L34" s="56"/>
      <c r="M34" s="56"/>
      <c r="N34" s="62"/>
      <c r="O34" s="62"/>
      <c r="P34" s="62"/>
      <c r="R34" s="6"/>
      <c r="S34" s="65"/>
    </row>
    <row r="35" spans="3:19" x14ac:dyDescent="0.25">
      <c r="C35" s="56"/>
      <c r="D35" s="56"/>
      <c r="E35" s="56"/>
      <c r="F35" s="56"/>
      <c r="G35" s="56"/>
      <c r="H35" s="56"/>
      <c r="I35" s="56"/>
      <c r="J35" s="56"/>
      <c r="K35" s="56"/>
      <c r="L35" s="56"/>
      <c r="M35" s="56"/>
      <c r="N35" s="62"/>
      <c r="O35" s="62"/>
      <c r="P35" s="62"/>
      <c r="R35" s="6"/>
      <c r="S35" s="65"/>
    </row>
    <row r="36" spans="3:19" x14ac:dyDescent="0.25">
      <c r="C36" s="56"/>
      <c r="D36" s="56"/>
      <c r="E36" s="56"/>
      <c r="F36" s="56"/>
      <c r="G36" s="56"/>
      <c r="H36" s="56"/>
      <c r="I36" s="56"/>
      <c r="J36" s="56"/>
      <c r="K36" s="56"/>
      <c r="L36" s="56"/>
      <c r="M36" s="56"/>
      <c r="N36" s="62"/>
      <c r="O36" s="62"/>
      <c r="P36" s="62"/>
      <c r="R36" s="6"/>
      <c r="S36" s="65"/>
    </row>
    <row r="37" spans="3:19" x14ac:dyDescent="0.25">
      <c r="C37" s="56"/>
      <c r="D37" s="56"/>
      <c r="E37" s="56"/>
      <c r="F37" s="56"/>
      <c r="G37" s="56"/>
      <c r="H37" s="56"/>
      <c r="I37" s="56"/>
      <c r="J37" s="56"/>
      <c r="K37" s="56"/>
      <c r="L37" s="56"/>
      <c r="M37" s="56"/>
      <c r="N37" s="62"/>
      <c r="O37" s="62"/>
      <c r="P37" s="62"/>
      <c r="R37" s="6"/>
      <c r="S37" s="65"/>
    </row>
    <row r="38" spans="3:19" x14ac:dyDescent="0.25">
      <c r="C38" s="56"/>
      <c r="D38" s="56"/>
      <c r="E38" s="56"/>
      <c r="F38" s="56"/>
      <c r="G38" s="56"/>
      <c r="H38" s="56"/>
      <c r="I38" s="56"/>
      <c r="J38" s="56"/>
      <c r="K38" s="56"/>
      <c r="L38" s="56"/>
      <c r="M38" s="56"/>
      <c r="N38" s="62"/>
      <c r="O38" s="62"/>
      <c r="P38" s="62"/>
      <c r="R38" s="6"/>
      <c r="S38" s="65"/>
    </row>
    <row r="39" spans="3:19" x14ac:dyDescent="0.25">
      <c r="C39" s="56"/>
      <c r="D39" s="56"/>
      <c r="E39" s="56"/>
      <c r="F39" s="56"/>
      <c r="G39" s="56"/>
      <c r="H39" s="56"/>
      <c r="I39" s="56"/>
      <c r="J39" s="56"/>
      <c r="K39" s="56"/>
      <c r="L39" s="56"/>
      <c r="M39" s="56"/>
      <c r="N39" s="62"/>
      <c r="O39" s="62"/>
      <c r="P39" s="62"/>
      <c r="R39" s="6"/>
      <c r="S39" s="65"/>
    </row>
    <row r="40" spans="3:19" x14ac:dyDescent="0.25">
      <c r="C40" s="56"/>
      <c r="D40" s="56"/>
      <c r="E40" s="56"/>
      <c r="F40" s="56"/>
      <c r="G40" s="56"/>
      <c r="H40" s="56"/>
      <c r="I40" s="56"/>
      <c r="J40" s="56"/>
      <c r="K40" s="56"/>
      <c r="L40" s="56"/>
      <c r="M40" s="56"/>
      <c r="N40" s="62"/>
      <c r="O40" s="62"/>
      <c r="P40" s="62"/>
      <c r="R40" s="6"/>
      <c r="S40" s="65"/>
    </row>
    <row r="41" spans="3:19" x14ac:dyDescent="0.25">
      <c r="C41" s="56"/>
      <c r="D41" s="56"/>
      <c r="E41" s="56"/>
      <c r="F41" s="56"/>
      <c r="G41" s="56"/>
      <c r="H41" s="56"/>
      <c r="I41" s="56"/>
      <c r="J41" s="56"/>
      <c r="K41" s="56"/>
      <c r="L41" s="56"/>
      <c r="M41" s="56"/>
      <c r="N41" s="62"/>
      <c r="O41" s="62"/>
      <c r="P41" s="62"/>
      <c r="R41" s="6"/>
      <c r="S41" s="65"/>
    </row>
    <row r="42" spans="3:19" x14ac:dyDescent="0.25">
      <c r="C42" s="56"/>
      <c r="D42" s="56"/>
      <c r="E42" s="56"/>
      <c r="F42" s="56"/>
      <c r="G42" s="56"/>
      <c r="H42" s="56"/>
      <c r="I42" s="56"/>
      <c r="J42" s="56"/>
      <c r="K42" s="56"/>
      <c r="L42" s="56"/>
      <c r="M42" s="56"/>
      <c r="N42" s="62"/>
      <c r="O42" s="62"/>
      <c r="P42" s="62"/>
      <c r="R42" s="6"/>
      <c r="S42" s="65"/>
    </row>
    <row r="43" spans="3:19" x14ac:dyDescent="0.25">
      <c r="C43" s="56"/>
      <c r="D43" s="56"/>
      <c r="E43" s="56"/>
      <c r="F43" s="56"/>
      <c r="G43" s="56"/>
      <c r="H43" s="56"/>
      <c r="I43" s="56"/>
      <c r="J43" s="56"/>
      <c r="K43" s="56"/>
      <c r="L43" s="56"/>
      <c r="M43" s="56"/>
      <c r="N43" s="62"/>
      <c r="O43" s="62"/>
      <c r="P43" s="62"/>
      <c r="R43" s="6"/>
      <c r="S43" s="65"/>
    </row>
    <row r="44" spans="3:19" x14ac:dyDescent="0.25">
      <c r="C44" s="56"/>
      <c r="D44" s="56"/>
      <c r="E44" s="56"/>
      <c r="F44" s="56"/>
      <c r="G44" s="56"/>
      <c r="H44" s="56"/>
      <c r="I44" s="56"/>
      <c r="J44" s="56"/>
      <c r="K44" s="56"/>
      <c r="L44" s="56"/>
      <c r="M44" s="56"/>
      <c r="N44" s="62"/>
      <c r="O44" s="62"/>
      <c r="P44" s="62"/>
      <c r="R44" s="6"/>
      <c r="S44" s="65"/>
    </row>
    <row r="45" spans="3:19" x14ac:dyDescent="0.25">
      <c r="C45" s="56"/>
      <c r="D45" s="56"/>
      <c r="E45" s="56"/>
      <c r="F45" s="56"/>
      <c r="G45" s="56"/>
      <c r="H45" s="56"/>
      <c r="I45" s="56"/>
      <c r="J45" s="56"/>
      <c r="K45" s="56"/>
      <c r="L45" s="56"/>
      <c r="M45" s="56"/>
      <c r="N45" s="62"/>
      <c r="O45" s="62"/>
      <c r="P45" s="62"/>
      <c r="R45" s="6"/>
      <c r="S45" s="65"/>
    </row>
    <row r="46" spans="3:19" x14ac:dyDescent="0.25">
      <c r="C46" s="56"/>
      <c r="D46" s="56"/>
      <c r="E46" s="56"/>
      <c r="F46" s="56"/>
      <c r="G46" s="56"/>
      <c r="H46" s="56"/>
      <c r="I46" s="56"/>
      <c r="J46" s="56"/>
      <c r="K46" s="56"/>
      <c r="L46" s="56"/>
      <c r="M46" s="56"/>
      <c r="N46" s="62"/>
      <c r="O46" s="62"/>
      <c r="P46" s="62"/>
      <c r="R46" s="6"/>
      <c r="S46" s="65"/>
    </row>
    <row r="47" spans="3:19" x14ac:dyDescent="0.25">
      <c r="C47" s="56"/>
      <c r="D47" s="56"/>
      <c r="E47" s="56"/>
      <c r="F47" s="56"/>
      <c r="G47" s="56"/>
      <c r="H47" s="56"/>
      <c r="I47" s="56"/>
      <c r="J47" s="56"/>
      <c r="K47" s="56"/>
      <c r="L47" s="56"/>
      <c r="M47" s="56"/>
      <c r="N47" s="62"/>
      <c r="O47" s="62"/>
      <c r="P47" s="62"/>
      <c r="R47" s="6"/>
      <c r="S47" s="65"/>
    </row>
    <row r="48" spans="3:19" x14ac:dyDescent="0.25">
      <c r="C48" s="56"/>
      <c r="D48" s="56"/>
      <c r="E48" s="56"/>
      <c r="F48" s="56"/>
      <c r="G48" s="56"/>
      <c r="H48" s="56"/>
      <c r="I48" s="56"/>
      <c r="J48" s="56"/>
      <c r="K48" s="56"/>
      <c r="L48" s="56"/>
      <c r="M48" s="56"/>
      <c r="N48" s="62"/>
      <c r="O48" s="62"/>
      <c r="P48" s="62"/>
      <c r="R48" s="6"/>
      <c r="S48" s="65"/>
    </row>
    <row r="49" spans="3:19" x14ac:dyDescent="0.25">
      <c r="C49" s="56"/>
      <c r="D49" s="56"/>
      <c r="E49" s="56"/>
      <c r="F49" s="56"/>
      <c r="G49" s="56"/>
      <c r="H49" s="56"/>
      <c r="I49" s="56"/>
      <c r="J49" s="56"/>
      <c r="K49" s="56"/>
      <c r="L49" s="56"/>
      <c r="M49" s="56"/>
      <c r="N49" s="62"/>
      <c r="O49" s="62"/>
      <c r="P49" s="62"/>
      <c r="R49" s="6"/>
      <c r="S49" s="65"/>
    </row>
    <row r="50" spans="3:19" x14ac:dyDescent="0.25">
      <c r="C50" s="56"/>
      <c r="D50" s="56"/>
      <c r="E50" s="56"/>
      <c r="F50" s="56"/>
      <c r="G50" s="56"/>
      <c r="H50" s="56"/>
      <c r="I50" s="56"/>
      <c r="J50" s="56"/>
      <c r="K50" s="56"/>
      <c r="L50" s="56"/>
      <c r="M50" s="56"/>
      <c r="N50" s="62"/>
      <c r="O50" s="62"/>
      <c r="P50" s="62"/>
      <c r="R50" s="6"/>
      <c r="S50" s="65"/>
    </row>
    <row r="51" spans="3:19" x14ac:dyDescent="0.25">
      <c r="C51" s="56"/>
      <c r="D51" s="56"/>
      <c r="E51" s="56"/>
      <c r="F51" s="56"/>
      <c r="G51" s="56"/>
      <c r="H51" s="56"/>
      <c r="I51" s="56"/>
      <c r="J51" s="56"/>
      <c r="K51" s="56"/>
      <c r="L51" s="56"/>
      <c r="M51" s="56"/>
      <c r="N51" s="62"/>
      <c r="O51" s="62"/>
      <c r="P51" s="62"/>
      <c r="R51" s="6"/>
      <c r="S51" s="65"/>
    </row>
    <row r="52" spans="3:19" x14ac:dyDescent="0.25">
      <c r="C52" s="56"/>
      <c r="D52" s="56"/>
      <c r="E52" s="56"/>
      <c r="F52" s="56"/>
      <c r="G52" s="56"/>
      <c r="H52" s="56"/>
      <c r="I52" s="56"/>
      <c r="J52" s="56"/>
      <c r="K52" s="56"/>
      <c r="L52" s="56"/>
      <c r="M52" s="56"/>
      <c r="N52" s="62"/>
      <c r="O52" s="62"/>
      <c r="P52" s="62"/>
      <c r="R52" s="6"/>
      <c r="S52" s="65"/>
    </row>
    <row r="53" spans="3:19" x14ac:dyDescent="0.25">
      <c r="C53" s="56"/>
      <c r="D53" s="56"/>
      <c r="E53" s="56"/>
      <c r="F53" s="56"/>
      <c r="G53" s="56"/>
      <c r="H53" s="56"/>
      <c r="I53" s="56"/>
      <c r="J53" s="56"/>
      <c r="K53" s="56"/>
      <c r="L53" s="56"/>
      <c r="M53" s="56"/>
      <c r="N53" s="62"/>
      <c r="O53" s="62"/>
      <c r="P53" s="62"/>
      <c r="R53" s="6"/>
      <c r="S53" s="65"/>
    </row>
    <row r="54" spans="3:19" x14ac:dyDescent="0.25">
      <c r="C54" s="56"/>
      <c r="D54" s="56"/>
      <c r="E54" s="56"/>
      <c r="F54" s="56"/>
      <c r="G54" s="56"/>
      <c r="H54" s="56"/>
      <c r="I54" s="56"/>
      <c r="J54" s="56"/>
      <c r="K54" s="56"/>
      <c r="L54" s="56"/>
      <c r="M54" s="56"/>
      <c r="N54" s="62"/>
      <c r="O54" s="62"/>
      <c r="P54" s="62"/>
      <c r="R54" s="6"/>
      <c r="S54" s="65"/>
    </row>
    <row r="55" spans="3:19" x14ac:dyDescent="0.25">
      <c r="C55" s="56"/>
      <c r="D55" s="56"/>
      <c r="E55" s="56"/>
      <c r="F55" s="56"/>
      <c r="G55" s="56"/>
      <c r="H55" s="56"/>
      <c r="I55" s="56"/>
      <c r="J55" s="56"/>
      <c r="K55" s="56"/>
      <c r="L55" s="56"/>
      <c r="M55" s="56"/>
      <c r="N55" s="62"/>
      <c r="O55" s="62"/>
      <c r="P55" s="62"/>
      <c r="R55" s="6"/>
      <c r="S55" s="65"/>
    </row>
    <row r="56" spans="3:19" x14ac:dyDescent="0.25">
      <c r="C56" s="56"/>
      <c r="D56" s="56"/>
      <c r="E56" s="56"/>
      <c r="F56" s="56"/>
      <c r="G56" s="56"/>
      <c r="H56" s="56"/>
      <c r="I56" s="56"/>
      <c r="J56" s="56"/>
      <c r="K56" s="56"/>
      <c r="L56" s="56"/>
      <c r="M56" s="56"/>
      <c r="N56" s="62"/>
      <c r="O56" s="62"/>
      <c r="P56" s="62"/>
      <c r="R56" s="6"/>
      <c r="S56" s="65"/>
    </row>
    <row r="57" spans="3:19" x14ac:dyDescent="0.25">
      <c r="C57" s="56"/>
      <c r="D57" s="56"/>
      <c r="E57" s="56"/>
      <c r="F57" s="56"/>
      <c r="G57" s="56"/>
      <c r="H57" s="56"/>
      <c r="I57" s="56"/>
      <c r="J57" s="56"/>
      <c r="K57" s="56"/>
      <c r="L57" s="56"/>
      <c r="M57" s="56"/>
      <c r="N57" s="62"/>
      <c r="O57" s="62"/>
      <c r="P57" s="62"/>
      <c r="R57" s="6"/>
      <c r="S57" s="65"/>
    </row>
    <row r="58" spans="3:19" x14ac:dyDescent="0.25">
      <c r="C58" s="56"/>
      <c r="D58" s="56"/>
      <c r="E58" s="56"/>
      <c r="F58" s="56"/>
      <c r="G58" s="56"/>
      <c r="H58" s="56"/>
      <c r="I58" s="56"/>
      <c r="J58" s="56"/>
      <c r="K58" s="56"/>
      <c r="L58" s="56"/>
      <c r="M58" s="56"/>
      <c r="N58" s="62"/>
      <c r="O58" s="62"/>
      <c r="P58" s="62"/>
      <c r="R58" s="6"/>
      <c r="S58" s="65"/>
    </row>
    <row r="59" spans="3:19" x14ac:dyDescent="0.25">
      <c r="C59" s="56"/>
      <c r="D59" s="56"/>
      <c r="E59" s="56"/>
      <c r="F59" s="56"/>
      <c r="G59" s="56"/>
      <c r="H59" s="56"/>
      <c r="I59" s="56"/>
      <c r="J59" s="56"/>
      <c r="K59" s="56"/>
      <c r="L59" s="56"/>
      <c r="M59" s="56"/>
      <c r="N59" s="62"/>
      <c r="O59" s="62"/>
      <c r="P59" s="62"/>
      <c r="R59" s="6"/>
      <c r="S59" s="65"/>
    </row>
    <row r="60" spans="3:19" x14ac:dyDescent="0.25">
      <c r="C60" s="56"/>
      <c r="D60" s="56"/>
      <c r="E60" s="56"/>
      <c r="F60" s="56"/>
      <c r="G60" s="56"/>
      <c r="H60" s="56"/>
      <c r="I60" s="56"/>
      <c r="J60" s="56"/>
      <c r="K60" s="56"/>
      <c r="L60" s="56"/>
      <c r="M60" s="56"/>
      <c r="N60" s="62"/>
      <c r="O60" s="62"/>
      <c r="P60" s="62"/>
      <c r="R60" s="6"/>
      <c r="S60" s="65"/>
    </row>
    <row r="61" spans="3:19" x14ac:dyDescent="0.25">
      <c r="C61" s="56"/>
      <c r="D61" s="56"/>
      <c r="E61" s="56"/>
      <c r="F61" s="56"/>
      <c r="G61" s="56"/>
      <c r="H61" s="56"/>
      <c r="I61" s="56"/>
      <c r="J61" s="56"/>
      <c r="K61" s="56"/>
      <c r="L61" s="56"/>
      <c r="M61" s="56"/>
      <c r="N61" s="62"/>
      <c r="O61" s="62"/>
      <c r="P61" s="62"/>
      <c r="R61" s="6"/>
      <c r="S61" s="65"/>
    </row>
    <row r="62" spans="3:19" x14ac:dyDescent="0.25">
      <c r="C62" s="56"/>
      <c r="D62" s="56"/>
      <c r="E62" s="56"/>
      <c r="F62" s="56"/>
      <c r="G62" s="56"/>
      <c r="H62" s="56"/>
      <c r="I62" s="56"/>
      <c r="J62" s="56"/>
      <c r="K62" s="56"/>
      <c r="L62" s="56"/>
      <c r="M62" s="56"/>
      <c r="N62" s="62"/>
      <c r="O62" s="62"/>
      <c r="P62" s="62"/>
      <c r="R62" s="6"/>
      <c r="S62" s="65"/>
    </row>
    <row r="63" spans="3:19" x14ac:dyDescent="0.25">
      <c r="C63" s="56"/>
      <c r="D63" s="56"/>
      <c r="E63" s="56"/>
      <c r="F63" s="56"/>
      <c r="G63" s="56"/>
      <c r="H63" s="56"/>
      <c r="I63" s="56"/>
      <c r="J63" s="56"/>
      <c r="K63" s="56"/>
      <c r="L63" s="56"/>
      <c r="M63" s="56"/>
      <c r="N63" s="62"/>
      <c r="O63" s="62"/>
      <c r="P63" s="62"/>
      <c r="R63" s="6"/>
      <c r="S63" s="65"/>
    </row>
    <row r="64" spans="3:19" x14ac:dyDescent="0.25">
      <c r="C64" s="56"/>
      <c r="D64" s="56"/>
      <c r="E64" s="56"/>
      <c r="F64" s="56"/>
      <c r="G64" s="56"/>
      <c r="H64" s="56"/>
      <c r="I64" s="56"/>
      <c r="J64" s="56"/>
      <c r="K64" s="56"/>
      <c r="L64" s="56"/>
      <c r="M64" s="56"/>
      <c r="N64" s="62"/>
      <c r="O64" s="62"/>
      <c r="P64" s="62"/>
      <c r="R64" s="6"/>
      <c r="S64" s="65"/>
    </row>
    <row r="65" spans="3:19" x14ac:dyDescent="0.25">
      <c r="C65" s="56"/>
      <c r="D65" s="56"/>
      <c r="E65" s="56"/>
      <c r="F65" s="56"/>
      <c r="G65" s="56"/>
      <c r="H65" s="56"/>
      <c r="I65" s="56"/>
      <c r="J65" s="56"/>
      <c r="K65" s="56"/>
      <c r="L65" s="56"/>
      <c r="M65" s="56"/>
      <c r="N65" s="62"/>
      <c r="O65" s="62"/>
      <c r="P65" s="62"/>
      <c r="R65" s="6"/>
      <c r="S65" s="65"/>
    </row>
    <row r="66" spans="3:19" x14ac:dyDescent="0.25">
      <c r="C66" s="56"/>
      <c r="D66" s="56"/>
      <c r="E66" s="56"/>
      <c r="F66" s="56"/>
      <c r="G66" s="56"/>
      <c r="H66" s="56"/>
      <c r="I66" s="56"/>
      <c r="J66" s="56"/>
      <c r="K66" s="56"/>
      <c r="L66" s="56"/>
      <c r="M66" s="56"/>
      <c r="N66" s="62"/>
      <c r="O66" s="62"/>
      <c r="P66" s="62"/>
      <c r="R66" s="6"/>
      <c r="S66" s="65"/>
    </row>
    <row r="67" spans="3:19" x14ac:dyDescent="0.25">
      <c r="C67" s="56"/>
      <c r="D67" s="56"/>
      <c r="E67" s="56"/>
      <c r="F67" s="56"/>
      <c r="G67" s="56"/>
      <c r="H67" s="56"/>
      <c r="I67" s="56"/>
      <c r="J67" s="56"/>
      <c r="K67" s="56"/>
      <c r="L67" s="56"/>
      <c r="M67" s="56"/>
      <c r="N67" s="62"/>
      <c r="O67" s="62"/>
      <c r="P67" s="62"/>
      <c r="R67" s="6"/>
      <c r="S67" s="65"/>
    </row>
    <row r="68" spans="3:19" x14ac:dyDescent="0.25">
      <c r="C68" s="56"/>
      <c r="D68" s="56"/>
      <c r="E68" s="56"/>
      <c r="F68" s="56"/>
      <c r="G68" s="56"/>
      <c r="H68" s="56"/>
      <c r="I68" s="56"/>
      <c r="J68" s="56"/>
      <c r="K68" s="56"/>
      <c r="L68" s="56"/>
      <c r="M68" s="56"/>
      <c r="N68" s="62"/>
      <c r="O68" s="62"/>
      <c r="P68" s="62"/>
      <c r="R68" s="6"/>
      <c r="S68" s="65"/>
    </row>
    <row r="69" spans="3:19" x14ac:dyDescent="0.25">
      <c r="C69" s="56"/>
      <c r="D69" s="56"/>
      <c r="E69" s="56"/>
      <c r="F69" s="56"/>
      <c r="G69" s="56"/>
      <c r="H69" s="56"/>
      <c r="I69" s="56"/>
      <c r="J69" s="56"/>
      <c r="K69" s="56"/>
      <c r="L69" s="56"/>
      <c r="M69" s="56"/>
      <c r="N69" s="62"/>
      <c r="O69" s="62"/>
      <c r="P69" s="62"/>
      <c r="R69" s="6"/>
      <c r="S69" s="65"/>
    </row>
    <row r="70" spans="3:19" x14ac:dyDescent="0.25">
      <c r="C70" s="56"/>
      <c r="D70" s="56"/>
      <c r="E70" s="56"/>
      <c r="F70" s="56"/>
      <c r="G70" s="56"/>
      <c r="H70" s="56"/>
      <c r="I70" s="56"/>
      <c r="J70" s="56"/>
      <c r="K70" s="56"/>
      <c r="L70" s="56"/>
      <c r="M70" s="56"/>
      <c r="N70" s="62"/>
      <c r="O70" s="62"/>
      <c r="P70" s="62"/>
      <c r="R70" s="6"/>
      <c r="S70" s="65"/>
    </row>
    <row r="71" spans="3:19" x14ac:dyDescent="0.25">
      <c r="C71" s="56"/>
      <c r="D71" s="56"/>
      <c r="E71" s="56"/>
      <c r="F71" s="56"/>
      <c r="G71" s="56"/>
      <c r="H71" s="56"/>
      <c r="I71" s="56"/>
      <c r="J71" s="56"/>
      <c r="K71" s="56"/>
      <c r="L71" s="56"/>
      <c r="M71" s="56"/>
      <c r="N71" s="62"/>
      <c r="O71" s="62"/>
      <c r="P71" s="62"/>
      <c r="R71" s="6"/>
      <c r="S71" s="65"/>
    </row>
    <row r="72" spans="3:19" x14ac:dyDescent="0.25">
      <c r="C72" s="56"/>
      <c r="D72" s="56"/>
      <c r="E72" s="56"/>
      <c r="F72" s="56"/>
      <c r="G72" s="56"/>
      <c r="H72" s="56"/>
      <c r="I72" s="56"/>
      <c r="J72" s="56"/>
      <c r="K72" s="56"/>
      <c r="L72" s="56"/>
      <c r="M72" s="56"/>
      <c r="N72" s="62"/>
      <c r="O72" s="62"/>
      <c r="P72" s="62"/>
      <c r="R72" s="6"/>
      <c r="S72" s="65"/>
    </row>
    <row r="73" spans="3:19" x14ac:dyDescent="0.25">
      <c r="C73" s="56"/>
      <c r="D73" s="56"/>
      <c r="E73" s="56"/>
      <c r="F73" s="56"/>
      <c r="G73" s="56"/>
      <c r="H73" s="56"/>
      <c r="I73" s="56"/>
      <c r="J73" s="56"/>
      <c r="K73" s="56"/>
      <c r="L73" s="56"/>
      <c r="M73" s="56"/>
      <c r="N73" s="62"/>
      <c r="O73" s="62"/>
      <c r="P73" s="62"/>
      <c r="R73" s="6"/>
      <c r="S73" s="65"/>
    </row>
    <row r="74" spans="3:19" x14ac:dyDescent="0.25">
      <c r="C74" s="56"/>
      <c r="D74" s="56"/>
      <c r="E74" s="56"/>
      <c r="F74" s="56"/>
      <c r="G74" s="56"/>
      <c r="H74" s="56"/>
      <c r="I74" s="56"/>
      <c r="J74" s="56"/>
      <c r="K74" s="56"/>
      <c r="L74" s="56"/>
      <c r="M74" s="56"/>
      <c r="N74" s="62"/>
      <c r="O74" s="62"/>
      <c r="P74" s="62"/>
      <c r="R74" s="6"/>
      <c r="S74" s="65"/>
    </row>
    <row r="75" spans="3:19" x14ac:dyDescent="0.25">
      <c r="C75" s="56"/>
      <c r="D75" s="56"/>
      <c r="E75" s="56"/>
      <c r="F75" s="56"/>
      <c r="G75" s="56"/>
      <c r="H75" s="56"/>
      <c r="I75" s="56"/>
      <c r="J75" s="56"/>
      <c r="K75" s="56"/>
      <c r="L75" s="56"/>
      <c r="M75" s="56"/>
      <c r="N75" s="62"/>
      <c r="O75" s="62"/>
      <c r="P75" s="62"/>
      <c r="R75" s="6"/>
      <c r="S75" s="65"/>
    </row>
    <row r="76" spans="3:19" x14ac:dyDescent="0.25">
      <c r="C76" s="56"/>
      <c r="D76" s="56"/>
      <c r="E76" s="56"/>
      <c r="F76" s="56"/>
      <c r="G76" s="56"/>
      <c r="H76" s="56"/>
      <c r="I76" s="56"/>
      <c r="J76" s="56"/>
      <c r="K76" s="56"/>
      <c r="L76" s="56"/>
      <c r="M76" s="56"/>
      <c r="N76" s="62"/>
      <c r="O76" s="62"/>
      <c r="P76" s="62"/>
      <c r="R76" s="6"/>
      <c r="S76" s="65"/>
    </row>
    <row r="77" spans="3:19" x14ac:dyDescent="0.25">
      <c r="C77" s="56"/>
      <c r="D77" s="56"/>
      <c r="E77" s="56"/>
      <c r="F77" s="56"/>
      <c r="G77" s="56"/>
      <c r="H77" s="56"/>
      <c r="I77" s="56"/>
      <c r="J77" s="56"/>
      <c r="K77" s="56"/>
      <c r="L77" s="56"/>
      <c r="M77" s="56"/>
      <c r="N77" s="62"/>
      <c r="O77" s="62"/>
      <c r="P77" s="62"/>
      <c r="R77" s="6"/>
      <c r="S77" s="65"/>
    </row>
    <row r="78" spans="3:19" x14ac:dyDescent="0.25">
      <c r="C78" s="56"/>
      <c r="D78" s="56"/>
      <c r="E78" s="56"/>
      <c r="F78" s="56"/>
      <c r="G78" s="56"/>
      <c r="H78" s="56"/>
      <c r="I78" s="56"/>
      <c r="J78" s="56"/>
      <c r="K78" s="56"/>
      <c r="L78" s="56"/>
      <c r="M78" s="56"/>
      <c r="N78" s="62"/>
      <c r="O78" s="62"/>
      <c r="P78" s="62"/>
      <c r="R78" s="6"/>
      <c r="S78" s="65"/>
    </row>
    <row r="79" spans="3:19" x14ac:dyDescent="0.25">
      <c r="C79" s="56"/>
      <c r="D79" s="56"/>
      <c r="E79" s="56"/>
      <c r="F79" s="56"/>
      <c r="G79" s="56"/>
      <c r="H79" s="56"/>
      <c r="I79" s="56"/>
      <c r="J79" s="56"/>
      <c r="K79" s="56"/>
      <c r="L79" s="56"/>
      <c r="M79" s="56"/>
      <c r="N79" s="62"/>
      <c r="O79" s="62"/>
      <c r="P79" s="62"/>
      <c r="R79" s="6"/>
      <c r="S79" s="65"/>
    </row>
    <row r="80" spans="3:19" x14ac:dyDescent="0.25">
      <c r="C80" s="56"/>
      <c r="D80" s="56"/>
      <c r="E80" s="56"/>
      <c r="F80" s="56"/>
      <c r="G80" s="56"/>
      <c r="H80" s="56"/>
      <c r="I80" s="56"/>
      <c r="J80" s="56"/>
      <c r="K80" s="56"/>
      <c r="L80" s="56"/>
      <c r="M80" s="56"/>
      <c r="N80" s="62"/>
      <c r="O80" s="62"/>
      <c r="P80" s="62"/>
      <c r="R80" s="6"/>
      <c r="S80" s="65"/>
    </row>
    <row r="81" spans="3:19" x14ac:dyDescent="0.25">
      <c r="C81" s="56"/>
      <c r="D81" s="56"/>
      <c r="E81" s="56"/>
      <c r="F81" s="56"/>
      <c r="G81" s="56"/>
      <c r="H81" s="56"/>
      <c r="I81" s="56"/>
      <c r="J81" s="56"/>
      <c r="K81" s="56"/>
      <c r="L81" s="56"/>
      <c r="M81" s="56"/>
      <c r="N81" s="62"/>
      <c r="O81" s="62"/>
      <c r="P81" s="62"/>
      <c r="R81" s="6"/>
      <c r="S81" s="65"/>
    </row>
    <row r="82" spans="3:19" x14ac:dyDescent="0.25">
      <c r="C82" s="56"/>
      <c r="D82" s="56"/>
      <c r="E82" s="56"/>
      <c r="F82" s="56"/>
      <c r="G82" s="56"/>
      <c r="H82" s="56"/>
      <c r="I82" s="56"/>
      <c r="J82" s="56"/>
      <c r="K82" s="56"/>
      <c r="L82" s="56"/>
      <c r="M82" s="56"/>
      <c r="N82" s="62"/>
      <c r="O82" s="62"/>
      <c r="P82" s="62"/>
      <c r="R82" s="6"/>
      <c r="S82" s="65"/>
    </row>
    <row r="83" spans="3:19" x14ac:dyDescent="0.25">
      <c r="C83" s="56"/>
      <c r="D83" s="56"/>
      <c r="E83" s="56"/>
      <c r="F83" s="56"/>
      <c r="G83" s="56"/>
      <c r="H83" s="56"/>
      <c r="I83" s="56"/>
      <c r="J83" s="56"/>
      <c r="K83" s="56"/>
      <c r="L83" s="56"/>
      <c r="M83" s="56"/>
      <c r="N83" s="62"/>
      <c r="O83" s="62"/>
      <c r="P83" s="62"/>
      <c r="R83" s="6"/>
      <c r="S83" s="65"/>
    </row>
    <row r="84" spans="3:19" x14ac:dyDescent="0.25">
      <c r="C84" s="56"/>
      <c r="D84" s="56"/>
      <c r="E84" s="56"/>
      <c r="F84" s="56"/>
      <c r="G84" s="56"/>
      <c r="H84" s="56"/>
      <c r="I84" s="56"/>
      <c r="J84" s="56"/>
      <c r="K84" s="56"/>
      <c r="L84" s="56"/>
      <c r="M84" s="56"/>
      <c r="N84" s="62"/>
      <c r="O84" s="62"/>
      <c r="P84" s="62"/>
      <c r="R84" s="6"/>
      <c r="S84" s="65"/>
    </row>
    <row r="85" spans="3:19" x14ac:dyDescent="0.25">
      <c r="C85" s="56"/>
      <c r="D85" s="56"/>
      <c r="E85" s="56"/>
      <c r="F85" s="56"/>
      <c r="G85" s="56"/>
      <c r="H85" s="56"/>
      <c r="I85" s="56"/>
      <c r="J85" s="56"/>
      <c r="K85" s="56"/>
      <c r="L85" s="56"/>
      <c r="M85" s="56"/>
      <c r="N85" s="62"/>
      <c r="O85" s="62"/>
      <c r="P85" s="62"/>
      <c r="R85" s="6"/>
      <c r="S85" s="65"/>
    </row>
    <row r="86" spans="3:19" x14ac:dyDescent="0.25">
      <c r="C86" s="56"/>
      <c r="D86" s="56"/>
      <c r="E86" s="56"/>
      <c r="F86" s="56"/>
      <c r="G86" s="56"/>
      <c r="H86" s="56"/>
      <c r="I86" s="56"/>
      <c r="J86" s="56"/>
      <c r="K86" s="56"/>
      <c r="L86" s="56"/>
      <c r="M86" s="56"/>
      <c r="N86" s="62"/>
      <c r="O86" s="62"/>
      <c r="P86" s="62"/>
      <c r="R86" s="6"/>
      <c r="S86" s="65"/>
    </row>
    <row r="87" spans="3:19" x14ac:dyDescent="0.25">
      <c r="C87" s="56"/>
      <c r="D87" s="56"/>
      <c r="E87" s="56"/>
      <c r="F87" s="56"/>
      <c r="G87" s="56"/>
      <c r="H87" s="56"/>
      <c r="I87" s="56"/>
      <c r="J87" s="56"/>
      <c r="K87" s="56"/>
      <c r="L87" s="56"/>
      <c r="M87" s="56"/>
      <c r="N87" s="62"/>
      <c r="O87" s="62"/>
      <c r="P87" s="62"/>
      <c r="R87" s="6"/>
      <c r="S87" s="65"/>
    </row>
    <row r="88" spans="3:19" x14ac:dyDescent="0.25">
      <c r="C88" s="56"/>
      <c r="D88" s="56"/>
      <c r="E88" s="56"/>
      <c r="F88" s="56"/>
      <c r="G88" s="56"/>
      <c r="H88" s="56"/>
      <c r="I88" s="56"/>
      <c r="J88" s="56"/>
      <c r="K88" s="56"/>
      <c r="L88" s="56"/>
      <c r="M88" s="56"/>
      <c r="N88" s="62"/>
      <c r="O88" s="62"/>
      <c r="P88" s="62"/>
      <c r="R88" s="6"/>
      <c r="S88" s="65"/>
    </row>
    <row r="89" spans="3:19" x14ac:dyDescent="0.25">
      <c r="C89" s="56"/>
      <c r="D89" s="56"/>
      <c r="E89" s="56"/>
      <c r="F89" s="56"/>
      <c r="G89" s="56"/>
      <c r="H89" s="56"/>
      <c r="I89" s="56"/>
      <c r="J89" s="56"/>
      <c r="K89" s="56"/>
      <c r="L89" s="56"/>
      <c r="M89" s="56"/>
      <c r="N89" s="62"/>
      <c r="O89" s="62"/>
      <c r="P89" s="62"/>
      <c r="R89" s="6"/>
      <c r="S89" s="65"/>
    </row>
    <row r="90" spans="3:19" x14ac:dyDescent="0.25">
      <c r="C90" s="56"/>
      <c r="D90" s="56"/>
      <c r="E90" s="56"/>
      <c r="F90" s="56"/>
      <c r="G90" s="56"/>
      <c r="H90" s="56"/>
      <c r="I90" s="56"/>
      <c r="J90" s="56"/>
      <c r="K90" s="56"/>
      <c r="L90" s="56"/>
      <c r="M90" s="56"/>
      <c r="N90" s="62"/>
      <c r="O90" s="62"/>
      <c r="P90" s="62"/>
      <c r="R90" s="6"/>
      <c r="S90" s="65"/>
    </row>
    <row r="91" spans="3:19" x14ac:dyDescent="0.25">
      <c r="C91" s="56"/>
      <c r="D91" s="56"/>
      <c r="E91" s="56"/>
      <c r="F91" s="56"/>
      <c r="G91" s="56"/>
      <c r="H91" s="56"/>
      <c r="I91" s="56"/>
      <c r="J91" s="56"/>
      <c r="K91" s="56"/>
      <c r="L91" s="56"/>
      <c r="M91" s="56"/>
      <c r="N91" s="62"/>
      <c r="O91" s="62"/>
      <c r="P91" s="62"/>
      <c r="R91" s="6"/>
      <c r="S91" s="65"/>
    </row>
    <row r="92" spans="3:19" x14ac:dyDescent="0.25">
      <c r="C92" s="56"/>
      <c r="D92" s="56"/>
      <c r="E92" s="56"/>
      <c r="F92" s="56"/>
      <c r="G92" s="56"/>
      <c r="H92" s="56"/>
      <c r="I92" s="56"/>
      <c r="J92" s="56"/>
      <c r="K92" s="56"/>
      <c r="L92" s="56"/>
      <c r="M92" s="56"/>
      <c r="N92" s="62"/>
      <c r="O92" s="62"/>
      <c r="P92" s="62"/>
      <c r="R92" s="6"/>
      <c r="S92" s="65"/>
    </row>
    <row r="93" spans="3:19" x14ac:dyDescent="0.25">
      <c r="C93" s="56"/>
      <c r="D93" s="56"/>
      <c r="E93" s="56"/>
      <c r="F93" s="56"/>
      <c r="G93" s="56"/>
      <c r="H93" s="56"/>
      <c r="I93" s="56"/>
      <c r="J93" s="56"/>
      <c r="K93" s="56"/>
      <c r="L93" s="56"/>
      <c r="M93" s="56"/>
      <c r="N93" s="62"/>
      <c r="O93" s="62"/>
      <c r="P93" s="62"/>
      <c r="R93" s="6"/>
      <c r="S93" s="65"/>
    </row>
    <row r="94" spans="3:19" x14ac:dyDescent="0.25">
      <c r="C94" s="56"/>
      <c r="D94" s="56"/>
      <c r="E94" s="56"/>
      <c r="F94" s="56"/>
      <c r="G94" s="56"/>
      <c r="H94" s="56"/>
      <c r="I94" s="56"/>
      <c r="J94" s="56"/>
      <c r="K94" s="56"/>
      <c r="L94" s="56"/>
      <c r="M94" s="56"/>
      <c r="N94" s="62"/>
      <c r="O94" s="62"/>
      <c r="P94" s="62"/>
      <c r="R94" s="6"/>
      <c r="S94" s="65"/>
    </row>
    <row r="95" spans="3:19" x14ac:dyDescent="0.25">
      <c r="C95" s="56"/>
      <c r="D95" s="56"/>
      <c r="E95" s="56"/>
      <c r="F95" s="56"/>
      <c r="G95" s="56"/>
      <c r="H95" s="56"/>
      <c r="I95" s="56"/>
      <c r="J95" s="56"/>
      <c r="K95" s="56"/>
      <c r="L95" s="56"/>
      <c r="M95" s="56"/>
      <c r="N95" s="62"/>
      <c r="O95" s="62"/>
      <c r="P95" s="62"/>
      <c r="R95" s="6"/>
      <c r="S95" s="65"/>
    </row>
    <row r="96" spans="3:19" x14ac:dyDescent="0.25">
      <c r="C96" s="56"/>
      <c r="D96" s="56"/>
      <c r="E96" s="56"/>
      <c r="F96" s="56"/>
      <c r="G96" s="56"/>
      <c r="H96" s="56"/>
      <c r="I96" s="56"/>
      <c r="J96" s="56"/>
      <c r="K96" s="56"/>
      <c r="L96" s="56"/>
      <c r="M96" s="56"/>
      <c r="N96" s="62"/>
      <c r="O96" s="62"/>
      <c r="P96" s="62"/>
      <c r="R96" s="6"/>
      <c r="S96" s="65"/>
    </row>
    <row r="97" spans="3:19" x14ac:dyDescent="0.25">
      <c r="C97" s="56"/>
      <c r="D97" s="56"/>
      <c r="E97" s="56"/>
      <c r="F97" s="56"/>
      <c r="G97" s="56"/>
      <c r="H97" s="56"/>
      <c r="I97" s="56"/>
      <c r="J97" s="56"/>
      <c r="K97" s="56"/>
      <c r="L97" s="56"/>
      <c r="M97" s="56"/>
      <c r="N97" s="62"/>
      <c r="O97" s="62"/>
      <c r="P97" s="62"/>
      <c r="R97" s="6"/>
      <c r="S97" s="65"/>
    </row>
    <row r="98" spans="3:19" x14ac:dyDescent="0.25">
      <c r="C98" s="56"/>
      <c r="D98" s="56"/>
      <c r="E98" s="56"/>
      <c r="F98" s="56"/>
      <c r="G98" s="56"/>
      <c r="H98" s="56"/>
      <c r="I98" s="56"/>
      <c r="J98" s="56"/>
      <c r="K98" s="56"/>
      <c r="L98" s="56"/>
      <c r="M98" s="56"/>
      <c r="N98" s="62"/>
      <c r="O98" s="62"/>
      <c r="P98" s="62"/>
      <c r="R98" s="6"/>
      <c r="S98" s="65"/>
    </row>
    <row r="99" spans="3:19" x14ac:dyDescent="0.25">
      <c r="C99" s="56"/>
      <c r="D99" s="56"/>
      <c r="E99" s="56"/>
      <c r="F99" s="56"/>
      <c r="G99" s="56"/>
      <c r="H99" s="56"/>
      <c r="I99" s="56"/>
      <c r="J99" s="56"/>
      <c r="K99" s="56"/>
      <c r="L99" s="56"/>
      <c r="M99" s="56"/>
      <c r="N99" s="62"/>
      <c r="O99" s="62"/>
      <c r="P99" s="62"/>
      <c r="R99" s="6"/>
      <c r="S99" s="65"/>
    </row>
    <row r="100" spans="3:19" x14ac:dyDescent="0.25">
      <c r="C100" s="56"/>
      <c r="D100" s="56"/>
      <c r="E100" s="56"/>
      <c r="F100" s="56"/>
      <c r="G100" s="56"/>
      <c r="H100" s="56"/>
      <c r="I100" s="56"/>
      <c r="J100" s="56"/>
      <c r="K100" s="56"/>
      <c r="L100" s="56"/>
      <c r="M100" s="56"/>
      <c r="N100" s="62"/>
      <c r="O100" s="62"/>
      <c r="P100" s="62"/>
      <c r="R100" s="6"/>
      <c r="S100" s="65"/>
    </row>
  </sheetData>
  <mergeCells count="4">
    <mergeCell ref="AR2:AW2"/>
    <mergeCell ref="U2:AA2"/>
    <mergeCell ref="AD2:AJ2"/>
    <mergeCell ref="AM2:AP2"/>
  </mergeCells>
  <dataValidations count="5">
    <dataValidation type="list" allowBlank="1" showInputMessage="1" showErrorMessage="1" sqref="U21" xr:uid="{6BCCA2D2-7512-43A7-9AA9-DAC4BFD8CDC4}">
      <formula1>"DeathGuard,Space Marines,Drukhari, Daemons, T'Au, Imperial Guard, Sisters of Battle, Thousand Sons"</formula1>
    </dataValidation>
    <dataValidation type="list" allowBlank="1" showInputMessage="1" showErrorMessage="1" sqref="R4:R100" xr:uid="{E8AAD933-EB03-47BF-9CD7-59C57D9466BB}">
      <formula1>"Ranged,Melee"</formula1>
    </dataValidation>
    <dataValidation type="list" allowBlank="1" showInputMessage="1" showErrorMessage="1" sqref="AN4:AN30 AT4:AT30" xr:uid="{8FE3E76C-5E4E-461D-8310-0FD404E0854D}">
      <formula1>"Attacker,Target"</formula1>
    </dataValidation>
    <dataValidation type="list" allowBlank="1" showInputMessage="1" showErrorMessage="1" sqref="AO4:AO30 AU4:AU30" xr:uid="{A270B206-E662-404B-8F4B-A202087B9E05}">
      <formula1>"Shooting,Fighting,Both"</formula1>
    </dataValidation>
    <dataValidation type="whole" allowBlank="1" showInputMessage="1" showErrorMessage="1" promptTitle="Qty" prompt="How many of this weapon the unit carries. Blank = 1. Use 0 for alternate profiles (e.g. frag/krak) you don't want counted together." sqref="S4:S100" xr:uid="{813713D2-7A5F-4BC7-ABAA-93CAEBFA901F}">
      <formula1>0</formula1>
      <formula2>100</formula2>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C0CEF-D7C5-4837-B147-BDB1EC8751B5}">
  <sheetPr codeName="Sheet8">
    <tabColor theme="6"/>
  </sheetPr>
  <dimension ref="B2:AW100"/>
  <sheetViews>
    <sheetView workbookViewId="0">
      <selection activeCell="I52" sqref="I52"/>
    </sheetView>
  </sheetViews>
  <sheetFormatPr defaultRowHeight="15" x14ac:dyDescent="0.25"/>
  <cols>
    <col min="2" max="2" width="21.7109375" bestFit="1" customWidth="1"/>
    <col min="3" max="7" width="7.42578125" customWidth="1"/>
    <col min="8" max="8" width="13" customWidth="1"/>
    <col min="9" max="13" width="8.85546875" customWidth="1"/>
    <col min="14" max="15" width="29.7109375" customWidth="1"/>
    <col min="16" max="16" width="48.140625" customWidth="1"/>
    <col min="17" max="17" width="26" bestFit="1" customWidth="1"/>
    <col min="18" max="18" width="4.7109375" customWidth="1"/>
    <col min="19" max="19" width="6.7109375" customWidth="1"/>
    <col min="20" max="20" width="1.85546875" customWidth="1"/>
    <col min="21" max="21" width="26.28515625" bestFit="1" customWidth="1"/>
    <col min="22" max="22" width="4.42578125" bestFit="1" customWidth="1"/>
    <col min="23" max="23" width="5.42578125" bestFit="1" customWidth="1"/>
    <col min="24" max="24" width="4.28515625" bestFit="1" customWidth="1"/>
    <col min="25" max="25" width="5.5703125" bestFit="1" customWidth="1"/>
    <col min="26" max="26" width="4.5703125" bestFit="1" customWidth="1"/>
    <col min="27" max="27" width="20.42578125" bestFit="1" customWidth="1"/>
    <col min="28" max="29" width="1.85546875" customWidth="1"/>
    <col min="30" max="30" width="11.85546875" bestFit="1" customWidth="1"/>
    <col min="39" max="39" width="27.7109375" customWidth="1"/>
    <col min="40" max="41" width="12" customWidth="1"/>
    <col min="42" max="42" width="37" customWidth="1"/>
    <col min="44" max="44" width="27.7109375" customWidth="1"/>
    <col min="45" max="45" width="6.42578125" customWidth="1"/>
    <col min="46" max="47" width="13" customWidth="1"/>
    <col min="48" max="48" width="31.42578125" customWidth="1"/>
    <col min="49" max="49" width="40.7109375" customWidth="1"/>
  </cols>
  <sheetData>
    <row r="2" spans="2:49" x14ac:dyDescent="0.25">
      <c r="B2" s="57" t="s">
        <v>185</v>
      </c>
      <c r="C2" s="57"/>
      <c r="D2" s="57"/>
      <c r="E2" s="57"/>
      <c r="F2" s="57"/>
      <c r="G2" s="57"/>
      <c r="H2" s="57"/>
      <c r="I2" s="57"/>
      <c r="J2" s="57"/>
      <c r="K2" s="57"/>
      <c r="L2" s="57"/>
      <c r="M2" s="57"/>
      <c r="N2" s="57"/>
      <c r="O2" s="57"/>
      <c r="P2" s="57"/>
      <c r="Q2" s="57"/>
      <c r="R2" s="57"/>
      <c r="U2" s="131" t="s">
        <v>186</v>
      </c>
      <c r="V2" s="131"/>
      <c r="W2" s="131"/>
      <c r="X2" s="131"/>
      <c r="Y2" s="131"/>
      <c r="Z2" s="131"/>
      <c r="AA2" s="131"/>
      <c r="AD2" s="131" t="s">
        <v>242</v>
      </c>
      <c r="AE2" s="131"/>
      <c r="AF2" s="131"/>
      <c r="AG2" s="131"/>
      <c r="AH2" s="131"/>
      <c r="AI2" s="131"/>
      <c r="AJ2" s="131"/>
      <c r="AM2" s="134" t="s">
        <v>188</v>
      </c>
      <c r="AN2" s="134"/>
      <c r="AO2" s="134"/>
      <c r="AP2" s="134"/>
      <c r="AR2" s="132" t="s">
        <v>189</v>
      </c>
      <c r="AS2" s="133"/>
      <c r="AT2" s="133"/>
      <c r="AU2" s="133"/>
      <c r="AV2" s="133"/>
      <c r="AW2" s="133"/>
    </row>
    <row r="3" spans="2:49" x14ac:dyDescent="0.25">
      <c r="B3" t="s">
        <v>190</v>
      </c>
      <c r="C3" t="s">
        <v>129</v>
      </c>
      <c r="D3" t="s">
        <v>130</v>
      </c>
      <c r="E3" t="s">
        <v>131</v>
      </c>
      <c r="F3" t="s">
        <v>132</v>
      </c>
      <c r="G3" t="s">
        <v>133</v>
      </c>
      <c r="H3" t="s">
        <v>134</v>
      </c>
      <c r="I3" t="s">
        <v>496</v>
      </c>
      <c r="J3" t="s">
        <v>497</v>
      </c>
      <c r="K3" t="s">
        <v>498</v>
      </c>
      <c r="L3" t="s">
        <v>499</v>
      </c>
      <c r="M3" t="s">
        <v>500</v>
      </c>
      <c r="N3" t="s">
        <v>9</v>
      </c>
      <c r="O3" t="s">
        <v>501</v>
      </c>
      <c r="P3" t="s">
        <v>502</v>
      </c>
      <c r="Q3" t="s">
        <v>122</v>
      </c>
      <c r="R3" s="2" t="s">
        <v>177</v>
      </c>
      <c r="S3" s="2" t="s">
        <v>493</v>
      </c>
      <c r="U3" s="3" t="s">
        <v>122</v>
      </c>
      <c r="V3" s="3" t="s">
        <v>123</v>
      </c>
      <c r="W3" s="3" t="s">
        <v>124</v>
      </c>
      <c r="X3" s="3" t="s">
        <v>125</v>
      </c>
      <c r="Y3" s="3" t="s">
        <v>126</v>
      </c>
      <c r="Z3" s="3" t="s">
        <v>127</v>
      </c>
      <c r="AA3" s="3" t="s">
        <v>128</v>
      </c>
      <c r="AB3" s="2"/>
      <c r="AD3" s="3" t="s">
        <v>122</v>
      </c>
      <c r="AE3" s="3" t="s">
        <v>123</v>
      </c>
      <c r="AF3" s="3" t="s">
        <v>124</v>
      </c>
      <c r="AG3" s="3" t="s">
        <v>125</v>
      </c>
      <c r="AH3" s="3" t="s">
        <v>126</v>
      </c>
      <c r="AI3" s="3" t="s">
        <v>127</v>
      </c>
      <c r="AJ3" s="3" t="s">
        <v>128</v>
      </c>
      <c r="AM3" s="3" t="s">
        <v>191</v>
      </c>
      <c r="AN3" s="3" t="s">
        <v>192</v>
      </c>
      <c r="AO3" s="3" t="s">
        <v>193</v>
      </c>
      <c r="AP3" s="3" t="s">
        <v>128</v>
      </c>
      <c r="AR3" s="3" t="s">
        <v>194</v>
      </c>
      <c r="AS3" s="3" t="s">
        <v>195</v>
      </c>
      <c r="AT3" s="3" t="s">
        <v>192</v>
      </c>
      <c r="AU3" s="3" t="s">
        <v>193</v>
      </c>
      <c r="AV3" s="3" t="s">
        <v>128</v>
      </c>
      <c r="AW3" s="3" t="s">
        <v>196</v>
      </c>
    </row>
    <row r="4" spans="2:49" x14ac:dyDescent="0.25">
      <c r="C4" s="56"/>
      <c r="D4" s="56"/>
      <c r="E4" s="56"/>
      <c r="F4" s="56"/>
      <c r="G4" s="56"/>
      <c r="H4" s="56"/>
      <c r="I4" s="56"/>
      <c r="J4" s="56"/>
      <c r="K4" s="56"/>
      <c r="L4" s="56"/>
      <c r="M4" s="56"/>
      <c r="N4" s="62"/>
      <c r="O4" s="62"/>
      <c r="P4" s="62"/>
      <c r="R4" s="6"/>
      <c r="S4" s="65"/>
      <c r="AA4" s="2"/>
      <c r="AB4" s="2"/>
      <c r="AD4" s="3"/>
      <c r="AE4" s="2"/>
      <c r="AF4" s="2"/>
      <c r="AG4" s="2"/>
      <c r="AH4" s="2"/>
      <c r="AI4" s="2"/>
      <c r="AJ4" s="2"/>
      <c r="AN4" s="6"/>
      <c r="AO4" s="6"/>
      <c r="AS4" s="6"/>
      <c r="AT4" s="6"/>
      <c r="AU4" s="6"/>
    </row>
    <row r="5" spans="2:49" x14ac:dyDescent="0.25">
      <c r="B5" s="4"/>
      <c r="C5" s="56"/>
      <c r="D5" s="56"/>
      <c r="E5" s="56"/>
      <c r="F5" s="56"/>
      <c r="G5" s="56"/>
      <c r="H5" s="56"/>
      <c r="I5" s="56"/>
      <c r="J5" s="56"/>
      <c r="K5" s="56"/>
      <c r="L5" s="56"/>
      <c r="M5" s="56"/>
      <c r="N5" s="62"/>
      <c r="O5" s="62"/>
      <c r="P5" s="62"/>
      <c r="Q5" s="3"/>
      <c r="R5" s="6"/>
      <c r="S5" s="65"/>
      <c r="U5" s="3"/>
      <c r="V5" s="2"/>
      <c r="W5" s="2"/>
      <c r="X5" s="2"/>
      <c r="Y5" s="2"/>
      <c r="Z5" s="2"/>
      <c r="AA5" s="2"/>
      <c r="AB5" s="2"/>
      <c r="AN5" s="6"/>
      <c r="AO5" s="6"/>
      <c r="AS5" s="6"/>
      <c r="AT5" s="6"/>
      <c r="AU5" s="6"/>
    </row>
    <row r="6" spans="2:49" x14ac:dyDescent="0.25">
      <c r="B6" s="4"/>
      <c r="C6" s="56"/>
      <c r="D6" s="56"/>
      <c r="E6" s="56"/>
      <c r="F6" s="56"/>
      <c r="G6" s="56"/>
      <c r="H6" s="56"/>
      <c r="I6" s="56"/>
      <c r="J6" s="56"/>
      <c r="K6" s="56"/>
      <c r="L6" s="56"/>
      <c r="M6" s="56"/>
      <c r="N6" s="62"/>
      <c r="O6" s="62"/>
      <c r="P6" s="62"/>
      <c r="Q6" s="3"/>
      <c r="R6" s="6"/>
      <c r="S6" s="65"/>
      <c r="U6" s="3"/>
      <c r="V6" s="2"/>
      <c r="W6" s="2"/>
      <c r="X6" s="2"/>
      <c r="Y6" s="2"/>
      <c r="Z6" s="2"/>
      <c r="AA6" s="2"/>
      <c r="AB6" s="2"/>
      <c r="AN6" s="6"/>
      <c r="AO6" s="6"/>
      <c r="AS6" s="6"/>
      <c r="AT6" s="6"/>
      <c r="AU6" s="6"/>
    </row>
    <row r="7" spans="2:49" x14ac:dyDescent="0.25">
      <c r="B7" s="4"/>
      <c r="C7" s="56"/>
      <c r="D7" s="56"/>
      <c r="E7" s="56"/>
      <c r="F7" s="56"/>
      <c r="G7" s="56"/>
      <c r="H7" s="56"/>
      <c r="I7" s="56"/>
      <c r="J7" s="56"/>
      <c r="K7" s="56"/>
      <c r="L7" s="56"/>
      <c r="M7" s="56"/>
      <c r="N7" s="62"/>
      <c r="O7" s="62"/>
      <c r="P7" s="62"/>
      <c r="Q7" s="3"/>
      <c r="R7" s="6"/>
      <c r="S7" s="65"/>
      <c r="U7" s="3"/>
      <c r="V7" s="2"/>
      <c r="W7" s="2"/>
      <c r="X7" s="2"/>
      <c r="Y7" s="2"/>
      <c r="Z7" s="2"/>
      <c r="AA7" s="2"/>
      <c r="AB7" s="2"/>
      <c r="AN7" s="6"/>
      <c r="AO7" s="6"/>
      <c r="AS7" s="6"/>
      <c r="AT7" s="6"/>
      <c r="AU7" s="6"/>
    </row>
    <row r="8" spans="2:49" x14ac:dyDescent="0.25">
      <c r="B8" s="4"/>
      <c r="C8" s="56"/>
      <c r="D8" s="56"/>
      <c r="E8" s="56"/>
      <c r="F8" s="56"/>
      <c r="G8" s="56"/>
      <c r="H8" s="56"/>
      <c r="I8" s="56"/>
      <c r="J8" s="56"/>
      <c r="K8" s="56"/>
      <c r="L8" s="56"/>
      <c r="M8" s="56"/>
      <c r="N8" s="62"/>
      <c r="O8" s="62"/>
      <c r="P8" s="62"/>
      <c r="Q8" s="3"/>
      <c r="R8" s="6"/>
      <c r="S8" s="65"/>
      <c r="U8" s="3"/>
      <c r="W8" s="2"/>
      <c r="X8" s="2"/>
      <c r="Y8" s="2"/>
      <c r="Z8" s="2"/>
      <c r="AA8" s="2"/>
      <c r="AN8" s="6"/>
      <c r="AO8" s="6"/>
      <c r="AS8" s="6"/>
      <c r="AT8" s="6"/>
      <c r="AU8" s="6"/>
    </row>
    <row r="9" spans="2:49" x14ac:dyDescent="0.25">
      <c r="B9" s="4"/>
      <c r="C9" s="56"/>
      <c r="D9" s="56"/>
      <c r="E9" s="56"/>
      <c r="F9" s="56"/>
      <c r="G9" s="56"/>
      <c r="H9" s="56"/>
      <c r="I9" s="56"/>
      <c r="J9" s="56"/>
      <c r="K9" s="56"/>
      <c r="L9" s="56"/>
      <c r="M9" s="56"/>
      <c r="N9" s="62"/>
      <c r="O9" s="62"/>
      <c r="P9" s="62"/>
      <c r="Q9" s="3"/>
      <c r="R9" s="6"/>
      <c r="S9" s="65"/>
      <c r="U9" s="3"/>
      <c r="V9" s="2"/>
      <c r="W9" s="2"/>
      <c r="X9" s="2"/>
      <c r="Y9" s="2"/>
      <c r="Z9" s="2"/>
      <c r="AA9" s="2"/>
      <c r="AN9" s="6"/>
      <c r="AO9" s="6"/>
      <c r="AS9" s="6"/>
      <c r="AT9" s="6"/>
      <c r="AU9" s="6"/>
    </row>
    <row r="10" spans="2:49" x14ac:dyDescent="0.25">
      <c r="B10" s="4"/>
      <c r="C10" s="56"/>
      <c r="D10" s="56"/>
      <c r="E10" s="56"/>
      <c r="F10" s="56"/>
      <c r="G10" s="56"/>
      <c r="H10" s="56"/>
      <c r="I10" s="56"/>
      <c r="J10" s="56"/>
      <c r="K10" s="56"/>
      <c r="L10" s="56"/>
      <c r="M10" s="56"/>
      <c r="N10" s="62"/>
      <c r="O10" s="62"/>
      <c r="P10" s="62"/>
      <c r="Q10" s="3"/>
      <c r="R10" s="6"/>
      <c r="S10" s="65"/>
      <c r="U10" s="3"/>
      <c r="W10" s="22"/>
      <c r="X10" s="2"/>
      <c r="Y10" s="2"/>
      <c r="Z10" s="2"/>
      <c r="AA10" s="2"/>
      <c r="AN10" s="6"/>
      <c r="AO10" s="6"/>
      <c r="AS10" s="6"/>
      <c r="AT10" s="6"/>
      <c r="AU10" s="6"/>
    </row>
    <row r="11" spans="2:49" x14ac:dyDescent="0.25">
      <c r="B11" s="4"/>
      <c r="C11" s="56"/>
      <c r="D11" s="56"/>
      <c r="E11" s="56"/>
      <c r="F11" s="56"/>
      <c r="G11" s="56"/>
      <c r="H11" s="56"/>
      <c r="I11" s="56"/>
      <c r="J11" s="56"/>
      <c r="K11" s="56"/>
      <c r="L11" s="56"/>
      <c r="M11" s="56"/>
      <c r="N11" s="62"/>
      <c r="O11" s="62"/>
      <c r="P11" s="62"/>
      <c r="Q11" s="3"/>
      <c r="R11" s="6"/>
      <c r="S11" s="65"/>
      <c r="U11" s="3"/>
      <c r="V11" s="2"/>
      <c r="W11" s="2"/>
      <c r="X11" s="2"/>
      <c r="Y11" s="2"/>
      <c r="Z11" s="2"/>
      <c r="AA11" s="2"/>
      <c r="AN11" s="6"/>
      <c r="AO11" s="6"/>
      <c r="AS11" s="6"/>
      <c r="AT11" s="6"/>
      <c r="AU11" s="6"/>
    </row>
    <row r="12" spans="2:49" x14ac:dyDescent="0.25">
      <c r="B12" s="4"/>
      <c r="C12" s="56"/>
      <c r="D12" s="56"/>
      <c r="E12" s="56"/>
      <c r="F12" s="56"/>
      <c r="G12" s="56"/>
      <c r="H12" s="56"/>
      <c r="I12" s="56"/>
      <c r="J12" s="56"/>
      <c r="K12" s="56"/>
      <c r="L12" s="56"/>
      <c r="M12" s="56"/>
      <c r="N12" s="62"/>
      <c r="O12" s="62"/>
      <c r="P12" s="62"/>
      <c r="Q12" s="3"/>
      <c r="R12" s="6"/>
      <c r="S12" s="65"/>
      <c r="U12" s="3"/>
      <c r="W12" s="2"/>
      <c r="X12" s="2"/>
      <c r="Y12" s="2"/>
      <c r="Z12" s="2"/>
      <c r="AA12" s="2"/>
      <c r="AN12" s="6"/>
      <c r="AO12" s="6"/>
      <c r="AS12" s="6"/>
      <c r="AT12" s="6"/>
      <c r="AU12" s="6"/>
    </row>
    <row r="13" spans="2:49" x14ac:dyDescent="0.25">
      <c r="B13" s="4"/>
      <c r="C13" s="56"/>
      <c r="D13" s="56"/>
      <c r="E13" s="56"/>
      <c r="F13" s="56"/>
      <c r="G13" s="56"/>
      <c r="H13" s="56"/>
      <c r="I13" s="56"/>
      <c r="J13" s="56"/>
      <c r="K13" s="56"/>
      <c r="L13" s="56"/>
      <c r="M13" s="56"/>
      <c r="N13" s="62"/>
      <c r="O13" s="62"/>
      <c r="P13" s="62"/>
      <c r="Q13" s="3"/>
      <c r="R13" s="6"/>
      <c r="S13" s="65"/>
      <c r="U13" s="3"/>
      <c r="V13" s="2"/>
      <c r="W13" s="2"/>
      <c r="X13" s="2"/>
      <c r="Y13" s="2"/>
      <c r="Z13" s="2"/>
      <c r="AN13" s="6"/>
      <c r="AO13" s="6"/>
      <c r="AS13" s="6"/>
      <c r="AT13" s="6"/>
      <c r="AU13" s="6"/>
    </row>
    <row r="14" spans="2:49" x14ac:dyDescent="0.25">
      <c r="B14" s="4"/>
      <c r="C14" s="56"/>
      <c r="D14" s="56"/>
      <c r="E14" s="56"/>
      <c r="F14" s="56"/>
      <c r="G14" s="56"/>
      <c r="H14" s="56"/>
      <c r="I14" s="56"/>
      <c r="J14" s="56"/>
      <c r="K14" s="56"/>
      <c r="L14" s="56"/>
      <c r="M14" s="56"/>
      <c r="N14" s="62"/>
      <c r="O14" s="62"/>
      <c r="P14" s="62"/>
      <c r="Q14" s="3"/>
      <c r="R14" s="6"/>
      <c r="S14" s="65"/>
      <c r="U14" s="3"/>
      <c r="W14" s="2"/>
      <c r="X14" s="2"/>
      <c r="Y14" s="2"/>
      <c r="Z14" s="2"/>
      <c r="AN14" s="6"/>
      <c r="AO14" s="6"/>
      <c r="AS14" s="6"/>
      <c r="AT14" s="6"/>
      <c r="AU14" s="6"/>
    </row>
    <row r="15" spans="2:49" x14ac:dyDescent="0.25">
      <c r="B15" s="4"/>
      <c r="C15" s="56"/>
      <c r="D15" s="56"/>
      <c r="E15" s="56"/>
      <c r="F15" s="56"/>
      <c r="G15" s="56"/>
      <c r="H15" s="56"/>
      <c r="I15" s="56"/>
      <c r="J15" s="56"/>
      <c r="K15" s="56"/>
      <c r="L15" s="56"/>
      <c r="M15" s="56"/>
      <c r="N15" s="62"/>
      <c r="O15" s="62"/>
      <c r="P15" s="62"/>
      <c r="Q15" s="3"/>
      <c r="R15" s="6"/>
      <c r="S15" s="65"/>
      <c r="U15" s="3"/>
      <c r="V15" s="2"/>
      <c r="W15" s="2"/>
      <c r="X15" s="2"/>
      <c r="Y15" s="2"/>
      <c r="Z15" s="2"/>
      <c r="AN15" s="6"/>
      <c r="AO15" s="6"/>
      <c r="AS15" s="6"/>
      <c r="AT15" s="6"/>
      <c r="AU15" s="6"/>
    </row>
    <row r="16" spans="2:49" x14ac:dyDescent="0.25">
      <c r="C16" s="56"/>
      <c r="D16" s="56"/>
      <c r="E16" s="56"/>
      <c r="F16" s="56"/>
      <c r="G16" s="56"/>
      <c r="H16" s="56"/>
      <c r="I16" s="56"/>
      <c r="J16" s="56"/>
      <c r="K16" s="56"/>
      <c r="L16" s="56"/>
      <c r="M16" s="56"/>
      <c r="N16" s="62"/>
      <c r="O16" s="62"/>
      <c r="P16" s="62"/>
      <c r="R16" s="6"/>
      <c r="S16" s="65"/>
      <c r="AN16" s="6"/>
      <c r="AO16" s="6"/>
      <c r="AS16" s="6"/>
      <c r="AT16" s="6"/>
      <c r="AU16" s="6"/>
    </row>
    <row r="17" spans="3:47" x14ac:dyDescent="0.25">
      <c r="C17" s="56"/>
      <c r="D17" s="56"/>
      <c r="E17" s="56"/>
      <c r="F17" s="56"/>
      <c r="G17" s="56"/>
      <c r="H17" s="56"/>
      <c r="I17" s="56"/>
      <c r="J17" s="56"/>
      <c r="K17" s="56"/>
      <c r="L17" s="56"/>
      <c r="M17" s="56"/>
      <c r="N17" s="62"/>
      <c r="O17" s="62"/>
      <c r="P17" s="62"/>
      <c r="R17" s="6"/>
      <c r="S17" s="65"/>
      <c r="AN17" s="6"/>
      <c r="AO17" s="6"/>
      <c r="AS17" s="6"/>
      <c r="AT17" s="6"/>
      <c r="AU17" s="6"/>
    </row>
    <row r="18" spans="3:47" x14ac:dyDescent="0.25">
      <c r="C18" s="56"/>
      <c r="D18" s="56"/>
      <c r="E18" s="56"/>
      <c r="F18" s="56"/>
      <c r="G18" s="56"/>
      <c r="H18" s="56"/>
      <c r="I18" s="56"/>
      <c r="J18" s="56"/>
      <c r="K18" s="56"/>
      <c r="L18" s="56"/>
      <c r="M18" s="56"/>
      <c r="N18" s="62"/>
      <c r="O18" s="62"/>
      <c r="P18" s="62"/>
      <c r="R18" s="6"/>
      <c r="S18" s="65"/>
      <c r="AN18" s="6"/>
      <c r="AO18" s="6"/>
      <c r="AS18" s="6"/>
      <c r="AT18" s="6"/>
      <c r="AU18" s="6"/>
    </row>
    <row r="19" spans="3:47" x14ac:dyDescent="0.25">
      <c r="C19" s="56"/>
      <c r="D19" s="56"/>
      <c r="E19" s="56"/>
      <c r="F19" s="56"/>
      <c r="G19" s="56"/>
      <c r="H19" s="56"/>
      <c r="I19" s="56"/>
      <c r="J19" s="56"/>
      <c r="K19" s="56"/>
      <c r="L19" s="56"/>
      <c r="M19" s="56"/>
      <c r="N19" s="62"/>
      <c r="O19" s="62"/>
      <c r="P19" s="62"/>
      <c r="R19" s="6"/>
      <c r="S19" s="65"/>
      <c r="AN19" s="6"/>
      <c r="AO19" s="6"/>
      <c r="AS19" s="6"/>
      <c r="AT19" s="6"/>
      <c r="AU19" s="6"/>
    </row>
    <row r="20" spans="3:47" x14ac:dyDescent="0.25">
      <c r="C20" s="56"/>
      <c r="D20" s="56"/>
      <c r="E20" s="56"/>
      <c r="F20" s="56"/>
      <c r="G20" s="56"/>
      <c r="H20" s="56"/>
      <c r="I20" s="56"/>
      <c r="J20" s="56"/>
      <c r="K20" s="56"/>
      <c r="L20" s="56"/>
      <c r="M20" s="56"/>
      <c r="N20" s="62"/>
      <c r="O20" s="62"/>
      <c r="P20" s="62"/>
      <c r="R20" s="6"/>
      <c r="S20" s="65"/>
      <c r="AN20" s="6"/>
      <c r="AO20" s="6"/>
      <c r="AS20" s="6"/>
      <c r="AT20" s="6"/>
      <c r="AU20" s="6"/>
    </row>
    <row r="21" spans="3:47" x14ac:dyDescent="0.25">
      <c r="C21" s="56"/>
      <c r="D21" s="56"/>
      <c r="E21" s="56"/>
      <c r="F21" s="56"/>
      <c r="G21" s="56"/>
      <c r="H21" s="56"/>
      <c r="I21" s="56"/>
      <c r="J21" s="56"/>
      <c r="K21" s="56"/>
      <c r="L21" s="56"/>
      <c r="M21" s="56"/>
      <c r="N21" s="62"/>
      <c r="O21" s="62"/>
      <c r="P21" s="62"/>
      <c r="R21" s="6"/>
      <c r="S21" s="65"/>
      <c r="AN21" s="6"/>
      <c r="AO21" s="6"/>
      <c r="AS21" s="6"/>
      <c r="AT21" s="6"/>
      <c r="AU21" s="6"/>
    </row>
    <row r="22" spans="3:47" x14ac:dyDescent="0.25">
      <c r="C22" s="56"/>
      <c r="D22" s="56"/>
      <c r="E22" s="56"/>
      <c r="F22" s="56"/>
      <c r="G22" s="56"/>
      <c r="H22" s="56"/>
      <c r="I22" s="56"/>
      <c r="J22" s="56"/>
      <c r="K22" s="56"/>
      <c r="L22" s="56"/>
      <c r="M22" s="56"/>
      <c r="N22" s="62"/>
      <c r="O22" s="62"/>
      <c r="P22" s="62"/>
      <c r="R22" s="6"/>
      <c r="S22" s="65"/>
      <c r="AN22" s="6"/>
      <c r="AO22" s="6"/>
      <c r="AS22" s="6"/>
      <c r="AT22" s="6"/>
      <c r="AU22" s="6"/>
    </row>
    <row r="23" spans="3:47" x14ac:dyDescent="0.25">
      <c r="C23" s="56"/>
      <c r="D23" s="56"/>
      <c r="E23" s="56"/>
      <c r="F23" s="56"/>
      <c r="G23" s="56"/>
      <c r="H23" s="56"/>
      <c r="I23" s="56"/>
      <c r="J23" s="56"/>
      <c r="K23" s="56"/>
      <c r="L23" s="56"/>
      <c r="M23" s="56"/>
      <c r="N23" s="62"/>
      <c r="O23" s="62"/>
      <c r="P23" s="62"/>
      <c r="R23" s="6"/>
      <c r="S23" s="65"/>
      <c r="AN23" s="6"/>
      <c r="AO23" s="6"/>
      <c r="AS23" s="6"/>
      <c r="AT23" s="6"/>
      <c r="AU23" s="6"/>
    </row>
    <row r="24" spans="3:47" x14ac:dyDescent="0.25">
      <c r="C24" s="56"/>
      <c r="D24" s="56"/>
      <c r="E24" s="56"/>
      <c r="F24" s="56"/>
      <c r="G24" s="56"/>
      <c r="H24" s="56"/>
      <c r="I24" s="56"/>
      <c r="J24" s="56"/>
      <c r="K24" s="56"/>
      <c r="L24" s="56"/>
      <c r="M24" s="56"/>
      <c r="N24" s="62"/>
      <c r="O24" s="62"/>
      <c r="P24" s="62"/>
      <c r="R24" s="6"/>
      <c r="S24" s="65"/>
      <c r="AN24" s="6"/>
      <c r="AO24" s="6"/>
      <c r="AS24" s="6"/>
      <c r="AT24" s="6"/>
      <c r="AU24" s="6"/>
    </row>
    <row r="25" spans="3:47" x14ac:dyDescent="0.25">
      <c r="C25" s="56"/>
      <c r="D25" s="56"/>
      <c r="E25" s="56"/>
      <c r="F25" s="56"/>
      <c r="G25" s="56"/>
      <c r="H25" s="56"/>
      <c r="I25" s="56"/>
      <c r="J25" s="56"/>
      <c r="K25" s="56"/>
      <c r="L25" s="56"/>
      <c r="M25" s="56"/>
      <c r="N25" s="62"/>
      <c r="O25" s="62"/>
      <c r="P25" s="62"/>
      <c r="R25" s="6"/>
      <c r="S25" s="65"/>
      <c r="AN25" s="6"/>
      <c r="AO25" s="6"/>
      <c r="AS25" s="6"/>
      <c r="AT25" s="6"/>
      <c r="AU25" s="6"/>
    </row>
    <row r="26" spans="3:47" x14ac:dyDescent="0.25">
      <c r="C26" s="56"/>
      <c r="D26" s="56"/>
      <c r="E26" s="56"/>
      <c r="F26" s="56"/>
      <c r="G26" s="56"/>
      <c r="H26" s="56"/>
      <c r="I26" s="56"/>
      <c r="J26" s="56"/>
      <c r="K26" s="56"/>
      <c r="L26" s="56"/>
      <c r="M26" s="56"/>
      <c r="N26" s="62"/>
      <c r="O26" s="62"/>
      <c r="P26" s="62"/>
      <c r="R26" s="6"/>
      <c r="S26" s="65"/>
      <c r="AN26" s="6"/>
      <c r="AO26" s="6"/>
      <c r="AS26" s="6"/>
      <c r="AT26" s="6"/>
      <c r="AU26" s="6"/>
    </row>
    <row r="27" spans="3:47" x14ac:dyDescent="0.25">
      <c r="C27" s="56"/>
      <c r="D27" s="56"/>
      <c r="E27" s="56"/>
      <c r="F27" s="56"/>
      <c r="G27" s="56"/>
      <c r="H27" s="56"/>
      <c r="I27" s="56"/>
      <c r="J27" s="56"/>
      <c r="K27" s="56"/>
      <c r="L27" s="56"/>
      <c r="M27" s="56"/>
      <c r="N27" s="62"/>
      <c r="O27" s="62"/>
      <c r="P27" s="62"/>
      <c r="R27" s="6"/>
      <c r="S27" s="65"/>
      <c r="AN27" s="6"/>
      <c r="AO27" s="6"/>
      <c r="AS27" s="6"/>
      <c r="AT27" s="6"/>
      <c r="AU27" s="6"/>
    </row>
    <row r="28" spans="3:47" x14ac:dyDescent="0.25">
      <c r="C28" s="56"/>
      <c r="D28" s="56"/>
      <c r="E28" s="56"/>
      <c r="F28" s="56"/>
      <c r="G28" s="56"/>
      <c r="H28" s="56"/>
      <c r="I28" s="56"/>
      <c r="J28" s="56"/>
      <c r="K28" s="56"/>
      <c r="L28" s="56"/>
      <c r="M28" s="56"/>
      <c r="N28" s="62"/>
      <c r="O28" s="62"/>
      <c r="P28" s="62"/>
      <c r="R28" s="6"/>
      <c r="S28" s="65"/>
      <c r="AN28" s="6"/>
      <c r="AO28" s="6"/>
      <c r="AS28" s="6"/>
      <c r="AT28" s="6"/>
      <c r="AU28" s="6"/>
    </row>
    <row r="29" spans="3:47" x14ac:dyDescent="0.25">
      <c r="C29" s="56"/>
      <c r="D29" s="56"/>
      <c r="E29" s="56"/>
      <c r="F29" s="56"/>
      <c r="G29" s="56"/>
      <c r="H29" s="56"/>
      <c r="I29" s="56"/>
      <c r="J29" s="56"/>
      <c r="K29" s="56"/>
      <c r="L29" s="56"/>
      <c r="M29" s="56"/>
      <c r="N29" s="62"/>
      <c r="O29" s="62"/>
      <c r="P29" s="62"/>
      <c r="R29" s="6"/>
      <c r="S29" s="65"/>
      <c r="AN29" s="6"/>
      <c r="AO29" s="6"/>
      <c r="AS29" s="6"/>
      <c r="AT29" s="6"/>
      <c r="AU29" s="6"/>
    </row>
    <row r="30" spans="3:47" x14ac:dyDescent="0.25">
      <c r="C30" s="56"/>
      <c r="D30" s="56"/>
      <c r="E30" s="56"/>
      <c r="F30" s="56"/>
      <c r="G30" s="56"/>
      <c r="H30" s="56"/>
      <c r="I30" s="56"/>
      <c r="J30" s="56"/>
      <c r="K30" s="56"/>
      <c r="L30" s="56"/>
      <c r="M30" s="56"/>
      <c r="N30" s="62"/>
      <c r="O30" s="62"/>
      <c r="P30" s="62"/>
      <c r="R30" s="6"/>
      <c r="S30" s="65"/>
      <c r="AN30" s="6"/>
      <c r="AO30" s="6"/>
      <c r="AS30" s="6"/>
      <c r="AT30" s="6"/>
      <c r="AU30" s="6"/>
    </row>
    <row r="31" spans="3:47" x14ac:dyDescent="0.25">
      <c r="C31" s="56"/>
      <c r="D31" s="56"/>
      <c r="E31" s="56"/>
      <c r="F31" s="56"/>
      <c r="G31" s="56"/>
      <c r="H31" s="56"/>
      <c r="I31" s="56"/>
      <c r="J31" s="56"/>
      <c r="K31" s="56"/>
      <c r="L31" s="56"/>
      <c r="M31" s="56"/>
      <c r="N31" s="62"/>
      <c r="O31" s="62"/>
      <c r="P31" s="62"/>
      <c r="R31" s="6"/>
      <c r="S31" s="65"/>
    </row>
    <row r="32" spans="3:47" x14ac:dyDescent="0.25">
      <c r="C32" s="56"/>
      <c r="D32" s="56"/>
      <c r="E32" s="56"/>
      <c r="F32" s="56"/>
      <c r="G32" s="56"/>
      <c r="H32" s="56"/>
      <c r="I32" s="56"/>
      <c r="J32" s="56"/>
      <c r="K32" s="56"/>
      <c r="L32" s="56"/>
      <c r="M32" s="56"/>
      <c r="N32" s="62"/>
      <c r="O32" s="62"/>
      <c r="P32" s="62"/>
      <c r="R32" s="6"/>
      <c r="S32" s="65"/>
    </row>
    <row r="33" spans="3:19" x14ac:dyDescent="0.25">
      <c r="C33" s="56"/>
      <c r="D33" s="56"/>
      <c r="E33" s="56"/>
      <c r="F33" s="56"/>
      <c r="G33" s="56"/>
      <c r="H33" s="56"/>
      <c r="I33" s="56"/>
      <c r="J33" s="56"/>
      <c r="K33" s="56"/>
      <c r="L33" s="56"/>
      <c r="M33" s="56"/>
      <c r="N33" s="62"/>
      <c r="O33" s="62"/>
      <c r="P33" s="62"/>
      <c r="R33" s="6"/>
      <c r="S33" s="65"/>
    </row>
    <row r="34" spans="3:19" x14ac:dyDescent="0.25">
      <c r="C34" s="56"/>
      <c r="D34" s="56"/>
      <c r="E34" s="56"/>
      <c r="F34" s="56"/>
      <c r="G34" s="56"/>
      <c r="H34" s="56"/>
      <c r="I34" s="56"/>
      <c r="J34" s="56"/>
      <c r="K34" s="56"/>
      <c r="L34" s="56"/>
      <c r="M34" s="56"/>
      <c r="N34" s="62"/>
      <c r="O34" s="62"/>
      <c r="P34" s="62"/>
      <c r="R34" s="6"/>
      <c r="S34" s="65"/>
    </row>
    <row r="35" spans="3:19" x14ac:dyDescent="0.25">
      <c r="C35" s="56"/>
      <c r="D35" s="56"/>
      <c r="E35" s="56"/>
      <c r="F35" s="56"/>
      <c r="G35" s="56"/>
      <c r="H35" s="56"/>
      <c r="I35" s="56"/>
      <c r="J35" s="56"/>
      <c r="K35" s="56"/>
      <c r="L35" s="56"/>
      <c r="M35" s="56"/>
      <c r="N35" s="62"/>
      <c r="O35" s="62"/>
      <c r="P35" s="62"/>
      <c r="R35" s="6"/>
      <c r="S35" s="65"/>
    </row>
    <row r="36" spans="3:19" x14ac:dyDescent="0.25">
      <c r="C36" s="56"/>
      <c r="D36" s="56"/>
      <c r="E36" s="56"/>
      <c r="F36" s="56"/>
      <c r="G36" s="56"/>
      <c r="H36" s="56"/>
      <c r="I36" s="56"/>
      <c r="J36" s="56"/>
      <c r="K36" s="56"/>
      <c r="L36" s="56"/>
      <c r="M36" s="56"/>
      <c r="N36" s="62"/>
      <c r="O36" s="62"/>
      <c r="P36" s="62"/>
      <c r="R36" s="6"/>
      <c r="S36" s="65"/>
    </row>
    <row r="37" spans="3:19" x14ac:dyDescent="0.25">
      <c r="C37" s="56"/>
      <c r="D37" s="56"/>
      <c r="E37" s="56"/>
      <c r="F37" s="56"/>
      <c r="G37" s="56"/>
      <c r="H37" s="56"/>
      <c r="I37" s="56"/>
      <c r="J37" s="56"/>
      <c r="K37" s="56"/>
      <c r="L37" s="56"/>
      <c r="M37" s="56"/>
      <c r="N37" s="62"/>
      <c r="O37" s="62"/>
      <c r="P37" s="62"/>
      <c r="R37" s="6"/>
      <c r="S37" s="65"/>
    </row>
    <row r="38" spans="3:19" x14ac:dyDescent="0.25">
      <c r="C38" s="56"/>
      <c r="D38" s="56"/>
      <c r="E38" s="56"/>
      <c r="F38" s="56"/>
      <c r="G38" s="56"/>
      <c r="H38" s="56"/>
      <c r="I38" s="56"/>
      <c r="J38" s="56"/>
      <c r="K38" s="56"/>
      <c r="L38" s="56"/>
      <c r="M38" s="56"/>
      <c r="N38" s="62"/>
      <c r="O38" s="62"/>
      <c r="P38" s="62"/>
      <c r="R38" s="6"/>
      <c r="S38" s="65"/>
    </row>
    <row r="39" spans="3:19" x14ac:dyDescent="0.25">
      <c r="C39" s="56"/>
      <c r="D39" s="56"/>
      <c r="E39" s="56"/>
      <c r="F39" s="56"/>
      <c r="G39" s="56"/>
      <c r="H39" s="56"/>
      <c r="I39" s="56"/>
      <c r="J39" s="56"/>
      <c r="K39" s="56"/>
      <c r="L39" s="56"/>
      <c r="M39" s="56"/>
      <c r="N39" s="62"/>
      <c r="O39" s="62"/>
      <c r="P39" s="62"/>
      <c r="R39" s="6"/>
      <c r="S39" s="65"/>
    </row>
    <row r="40" spans="3:19" x14ac:dyDescent="0.25">
      <c r="C40" s="56"/>
      <c r="D40" s="56"/>
      <c r="E40" s="56"/>
      <c r="F40" s="56"/>
      <c r="G40" s="56"/>
      <c r="H40" s="56"/>
      <c r="I40" s="56"/>
      <c r="J40" s="56"/>
      <c r="K40" s="56"/>
      <c r="L40" s="56"/>
      <c r="M40" s="56"/>
      <c r="N40" s="62"/>
      <c r="O40" s="62"/>
      <c r="P40" s="62"/>
      <c r="R40" s="6"/>
      <c r="S40" s="65"/>
    </row>
    <row r="41" spans="3:19" x14ac:dyDescent="0.25">
      <c r="C41" s="56"/>
      <c r="D41" s="56"/>
      <c r="E41" s="56"/>
      <c r="F41" s="56"/>
      <c r="G41" s="56"/>
      <c r="H41" s="56"/>
      <c r="I41" s="56"/>
      <c r="J41" s="56"/>
      <c r="K41" s="56"/>
      <c r="L41" s="56"/>
      <c r="M41" s="56"/>
      <c r="N41" s="62"/>
      <c r="O41" s="62"/>
      <c r="P41" s="62"/>
      <c r="R41" s="6"/>
      <c r="S41" s="65"/>
    </row>
    <row r="42" spans="3:19" x14ac:dyDescent="0.25">
      <c r="C42" s="56"/>
      <c r="D42" s="56"/>
      <c r="E42" s="56"/>
      <c r="F42" s="56"/>
      <c r="G42" s="56"/>
      <c r="H42" s="56"/>
      <c r="I42" s="56"/>
      <c r="J42" s="56"/>
      <c r="K42" s="56"/>
      <c r="L42" s="56"/>
      <c r="M42" s="56"/>
      <c r="N42" s="62"/>
      <c r="O42" s="62"/>
      <c r="P42" s="62"/>
      <c r="R42" s="6"/>
      <c r="S42" s="65"/>
    </row>
    <row r="43" spans="3:19" x14ac:dyDescent="0.25">
      <c r="C43" s="56"/>
      <c r="D43" s="56"/>
      <c r="E43" s="56"/>
      <c r="F43" s="56"/>
      <c r="G43" s="56"/>
      <c r="H43" s="56"/>
      <c r="I43" s="56"/>
      <c r="J43" s="56"/>
      <c r="K43" s="56"/>
      <c r="L43" s="56"/>
      <c r="M43" s="56"/>
      <c r="N43" s="62"/>
      <c r="O43" s="62"/>
      <c r="P43" s="62"/>
      <c r="R43" s="6"/>
      <c r="S43" s="65"/>
    </row>
    <row r="44" spans="3:19" x14ac:dyDescent="0.25">
      <c r="C44" s="56"/>
      <c r="D44" s="56"/>
      <c r="E44" s="56"/>
      <c r="F44" s="56"/>
      <c r="G44" s="56"/>
      <c r="H44" s="56"/>
      <c r="I44" s="56"/>
      <c r="J44" s="56"/>
      <c r="K44" s="56"/>
      <c r="L44" s="56"/>
      <c r="M44" s="56"/>
      <c r="N44" s="62"/>
      <c r="O44" s="62"/>
      <c r="P44" s="62"/>
      <c r="R44" s="6"/>
      <c r="S44" s="65"/>
    </row>
    <row r="45" spans="3:19" x14ac:dyDescent="0.25">
      <c r="C45" s="56"/>
      <c r="D45" s="56"/>
      <c r="E45" s="56"/>
      <c r="F45" s="56"/>
      <c r="G45" s="56"/>
      <c r="H45" s="56"/>
      <c r="I45" s="56"/>
      <c r="J45" s="56"/>
      <c r="K45" s="56"/>
      <c r="L45" s="56"/>
      <c r="M45" s="56"/>
      <c r="N45" s="62"/>
      <c r="O45" s="62"/>
      <c r="P45" s="62"/>
      <c r="R45" s="6"/>
      <c r="S45" s="65"/>
    </row>
    <row r="46" spans="3:19" x14ac:dyDescent="0.25">
      <c r="C46" s="56"/>
      <c r="D46" s="56"/>
      <c r="E46" s="56"/>
      <c r="F46" s="56"/>
      <c r="G46" s="56"/>
      <c r="H46" s="56"/>
      <c r="I46" s="56"/>
      <c r="J46" s="56"/>
      <c r="K46" s="56"/>
      <c r="L46" s="56"/>
      <c r="M46" s="56"/>
      <c r="N46" s="62"/>
      <c r="O46" s="62"/>
      <c r="P46" s="62"/>
      <c r="R46" s="6"/>
      <c r="S46" s="65"/>
    </row>
    <row r="47" spans="3:19" x14ac:dyDescent="0.25">
      <c r="C47" s="56"/>
      <c r="D47" s="56"/>
      <c r="E47" s="56"/>
      <c r="F47" s="56"/>
      <c r="G47" s="56"/>
      <c r="H47" s="56"/>
      <c r="I47" s="56"/>
      <c r="J47" s="56"/>
      <c r="K47" s="56"/>
      <c r="L47" s="56"/>
      <c r="M47" s="56"/>
      <c r="N47" s="62"/>
      <c r="O47" s="62"/>
      <c r="P47" s="62"/>
      <c r="R47" s="6"/>
      <c r="S47" s="65"/>
    </row>
    <row r="48" spans="3:19" x14ac:dyDescent="0.25">
      <c r="C48" s="56"/>
      <c r="D48" s="56"/>
      <c r="E48" s="56"/>
      <c r="F48" s="56"/>
      <c r="G48" s="56"/>
      <c r="H48" s="56"/>
      <c r="I48" s="56"/>
      <c r="J48" s="56"/>
      <c r="K48" s="56"/>
      <c r="L48" s="56"/>
      <c r="M48" s="56"/>
      <c r="N48" s="62"/>
      <c r="O48" s="62"/>
      <c r="P48" s="62"/>
      <c r="R48" s="6"/>
      <c r="S48" s="65"/>
    </row>
    <row r="49" spans="3:19" x14ac:dyDescent="0.25">
      <c r="C49" s="56"/>
      <c r="D49" s="56"/>
      <c r="E49" s="56"/>
      <c r="F49" s="56"/>
      <c r="G49" s="56"/>
      <c r="H49" s="56"/>
      <c r="I49" s="56"/>
      <c r="J49" s="56"/>
      <c r="K49" s="56"/>
      <c r="L49" s="56"/>
      <c r="M49" s="56"/>
      <c r="N49" s="62"/>
      <c r="O49" s="62"/>
      <c r="P49" s="62"/>
      <c r="R49" s="6"/>
      <c r="S49" s="65"/>
    </row>
    <row r="50" spans="3:19" x14ac:dyDescent="0.25">
      <c r="C50" s="56"/>
      <c r="D50" s="56"/>
      <c r="E50" s="56"/>
      <c r="F50" s="56"/>
      <c r="G50" s="56"/>
      <c r="H50" s="56"/>
      <c r="I50" s="56"/>
      <c r="J50" s="56"/>
      <c r="K50" s="56"/>
      <c r="L50" s="56"/>
      <c r="M50" s="56"/>
      <c r="N50" s="62"/>
      <c r="O50" s="62"/>
      <c r="P50" s="62"/>
      <c r="R50" s="6"/>
      <c r="S50" s="65"/>
    </row>
    <row r="51" spans="3:19" x14ac:dyDescent="0.25">
      <c r="C51" s="56"/>
      <c r="D51" s="56"/>
      <c r="E51" s="56"/>
      <c r="F51" s="56"/>
      <c r="G51" s="56"/>
      <c r="H51" s="56"/>
      <c r="I51" s="56"/>
      <c r="J51" s="56"/>
      <c r="K51" s="56"/>
      <c r="L51" s="56"/>
      <c r="M51" s="56"/>
      <c r="N51" s="62"/>
      <c r="O51" s="62"/>
      <c r="P51" s="62"/>
      <c r="R51" s="6"/>
      <c r="S51" s="65"/>
    </row>
    <row r="52" spans="3:19" x14ac:dyDescent="0.25">
      <c r="C52" s="56"/>
      <c r="D52" s="56"/>
      <c r="E52" s="56"/>
      <c r="F52" s="56"/>
      <c r="G52" s="56"/>
      <c r="H52" s="56"/>
      <c r="I52" s="56"/>
      <c r="J52" s="56"/>
      <c r="K52" s="56"/>
      <c r="L52" s="56"/>
      <c r="M52" s="56"/>
      <c r="N52" s="62"/>
      <c r="O52" s="62"/>
      <c r="P52" s="62"/>
      <c r="R52" s="6"/>
      <c r="S52" s="65"/>
    </row>
    <row r="53" spans="3:19" x14ac:dyDescent="0.25">
      <c r="C53" s="56"/>
      <c r="D53" s="56"/>
      <c r="E53" s="56"/>
      <c r="F53" s="56"/>
      <c r="G53" s="56"/>
      <c r="H53" s="56"/>
      <c r="I53" s="56"/>
      <c r="J53" s="56"/>
      <c r="K53" s="56"/>
      <c r="L53" s="56"/>
      <c r="M53" s="56"/>
      <c r="N53" s="62"/>
      <c r="O53" s="62"/>
      <c r="P53" s="62"/>
      <c r="R53" s="6"/>
      <c r="S53" s="65"/>
    </row>
    <row r="54" spans="3:19" x14ac:dyDescent="0.25">
      <c r="C54" s="56"/>
      <c r="D54" s="56"/>
      <c r="E54" s="56"/>
      <c r="F54" s="56"/>
      <c r="G54" s="56"/>
      <c r="H54" s="56"/>
      <c r="I54" s="56"/>
      <c r="J54" s="56"/>
      <c r="K54" s="56"/>
      <c r="L54" s="56"/>
      <c r="M54" s="56"/>
      <c r="N54" s="62"/>
      <c r="O54" s="62"/>
      <c r="P54" s="62"/>
      <c r="R54" s="6"/>
      <c r="S54" s="65"/>
    </row>
    <row r="55" spans="3:19" x14ac:dyDescent="0.25">
      <c r="C55" s="56"/>
      <c r="D55" s="56"/>
      <c r="E55" s="56"/>
      <c r="F55" s="56"/>
      <c r="G55" s="56"/>
      <c r="H55" s="56"/>
      <c r="I55" s="56"/>
      <c r="J55" s="56"/>
      <c r="K55" s="56"/>
      <c r="L55" s="56"/>
      <c r="M55" s="56"/>
      <c r="N55" s="62"/>
      <c r="O55" s="62"/>
      <c r="P55" s="62"/>
      <c r="R55" s="6"/>
      <c r="S55" s="65"/>
    </row>
    <row r="56" spans="3:19" x14ac:dyDescent="0.25">
      <c r="C56" s="56"/>
      <c r="D56" s="56"/>
      <c r="E56" s="56"/>
      <c r="F56" s="56"/>
      <c r="G56" s="56"/>
      <c r="H56" s="56"/>
      <c r="I56" s="56"/>
      <c r="J56" s="56"/>
      <c r="K56" s="56"/>
      <c r="L56" s="56"/>
      <c r="M56" s="56"/>
      <c r="N56" s="62"/>
      <c r="O56" s="62"/>
      <c r="P56" s="62"/>
      <c r="R56" s="6"/>
      <c r="S56" s="65"/>
    </row>
    <row r="57" spans="3:19" x14ac:dyDescent="0.25">
      <c r="C57" s="56"/>
      <c r="D57" s="56"/>
      <c r="E57" s="56"/>
      <c r="F57" s="56"/>
      <c r="G57" s="56"/>
      <c r="H57" s="56"/>
      <c r="I57" s="56"/>
      <c r="J57" s="56"/>
      <c r="K57" s="56"/>
      <c r="L57" s="56"/>
      <c r="M57" s="56"/>
      <c r="N57" s="62"/>
      <c r="O57" s="62"/>
      <c r="P57" s="62"/>
      <c r="R57" s="6"/>
      <c r="S57" s="65"/>
    </row>
    <row r="58" spans="3:19" x14ac:dyDescent="0.25">
      <c r="C58" s="56"/>
      <c r="D58" s="56"/>
      <c r="E58" s="56"/>
      <c r="F58" s="56"/>
      <c r="G58" s="56"/>
      <c r="H58" s="56"/>
      <c r="I58" s="56"/>
      <c r="J58" s="56"/>
      <c r="K58" s="56"/>
      <c r="L58" s="56"/>
      <c r="M58" s="56"/>
      <c r="N58" s="62"/>
      <c r="O58" s="62"/>
      <c r="P58" s="62"/>
      <c r="R58" s="6"/>
      <c r="S58" s="65"/>
    </row>
    <row r="59" spans="3:19" x14ac:dyDescent="0.25">
      <c r="C59" s="56"/>
      <c r="D59" s="56"/>
      <c r="E59" s="56"/>
      <c r="F59" s="56"/>
      <c r="G59" s="56"/>
      <c r="H59" s="56"/>
      <c r="I59" s="56"/>
      <c r="J59" s="56"/>
      <c r="K59" s="56"/>
      <c r="L59" s="56"/>
      <c r="M59" s="56"/>
      <c r="N59" s="62"/>
      <c r="O59" s="62"/>
      <c r="P59" s="62"/>
      <c r="R59" s="6"/>
      <c r="S59" s="65"/>
    </row>
    <row r="60" spans="3:19" x14ac:dyDescent="0.25">
      <c r="C60" s="56"/>
      <c r="D60" s="56"/>
      <c r="E60" s="56"/>
      <c r="F60" s="56"/>
      <c r="G60" s="56"/>
      <c r="H60" s="56"/>
      <c r="I60" s="56"/>
      <c r="J60" s="56"/>
      <c r="K60" s="56"/>
      <c r="L60" s="56"/>
      <c r="M60" s="56"/>
      <c r="N60" s="62"/>
      <c r="O60" s="62"/>
      <c r="P60" s="62"/>
      <c r="R60" s="6"/>
      <c r="S60" s="65"/>
    </row>
    <row r="61" spans="3:19" x14ac:dyDescent="0.25">
      <c r="C61" s="56"/>
      <c r="D61" s="56"/>
      <c r="E61" s="56"/>
      <c r="F61" s="56"/>
      <c r="G61" s="56"/>
      <c r="H61" s="56"/>
      <c r="I61" s="56"/>
      <c r="J61" s="56"/>
      <c r="K61" s="56"/>
      <c r="L61" s="56"/>
      <c r="M61" s="56"/>
      <c r="N61" s="62"/>
      <c r="O61" s="62"/>
      <c r="P61" s="62"/>
      <c r="R61" s="6"/>
      <c r="S61" s="65"/>
    </row>
    <row r="62" spans="3:19" x14ac:dyDescent="0.25">
      <c r="C62" s="56"/>
      <c r="D62" s="56"/>
      <c r="E62" s="56"/>
      <c r="F62" s="56"/>
      <c r="G62" s="56"/>
      <c r="H62" s="56"/>
      <c r="I62" s="56"/>
      <c r="J62" s="56"/>
      <c r="K62" s="56"/>
      <c r="L62" s="56"/>
      <c r="M62" s="56"/>
      <c r="N62" s="62"/>
      <c r="O62" s="62"/>
      <c r="P62" s="62"/>
      <c r="R62" s="6"/>
      <c r="S62" s="65"/>
    </row>
    <row r="63" spans="3:19" x14ac:dyDescent="0.25">
      <c r="C63" s="56"/>
      <c r="D63" s="56"/>
      <c r="E63" s="56"/>
      <c r="F63" s="56"/>
      <c r="G63" s="56"/>
      <c r="H63" s="56"/>
      <c r="I63" s="56"/>
      <c r="J63" s="56"/>
      <c r="K63" s="56"/>
      <c r="L63" s="56"/>
      <c r="M63" s="56"/>
      <c r="N63" s="62"/>
      <c r="O63" s="62"/>
      <c r="P63" s="62"/>
      <c r="R63" s="6"/>
      <c r="S63" s="65"/>
    </row>
    <row r="64" spans="3:19" x14ac:dyDescent="0.25">
      <c r="C64" s="56"/>
      <c r="D64" s="56"/>
      <c r="E64" s="56"/>
      <c r="F64" s="56"/>
      <c r="G64" s="56"/>
      <c r="H64" s="56"/>
      <c r="I64" s="56"/>
      <c r="J64" s="56"/>
      <c r="K64" s="56"/>
      <c r="L64" s="56"/>
      <c r="M64" s="56"/>
      <c r="N64" s="62"/>
      <c r="O64" s="62"/>
      <c r="P64" s="62"/>
      <c r="R64" s="6"/>
      <c r="S64" s="65"/>
    </row>
    <row r="65" spans="3:19" x14ac:dyDescent="0.25">
      <c r="C65" s="56"/>
      <c r="D65" s="56"/>
      <c r="E65" s="56"/>
      <c r="F65" s="56"/>
      <c r="G65" s="56"/>
      <c r="H65" s="56"/>
      <c r="I65" s="56"/>
      <c r="J65" s="56"/>
      <c r="K65" s="56"/>
      <c r="L65" s="56"/>
      <c r="M65" s="56"/>
      <c r="N65" s="62"/>
      <c r="O65" s="62"/>
      <c r="P65" s="62"/>
      <c r="R65" s="6"/>
      <c r="S65" s="65"/>
    </row>
    <row r="66" spans="3:19" x14ac:dyDescent="0.25">
      <c r="C66" s="56"/>
      <c r="D66" s="56"/>
      <c r="E66" s="56"/>
      <c r="F66" s="56"/>
      <c r="G66" s="56"/>
      <c r="H66" s="56"/>
      <c r="I66" s="56"/>
      <c r="J66" s="56"/>
      <c r="K66" s="56"/>
      <c r="L66" s="56"/>
      <c r="M66" s="56"/>
      <c r="N66" s="62"/>
      <c r="O66" s="62"/>
      <c r="P66" s="62"/>
      <c r="R66" s="6"/>
      <c r="S66" s="65"/>
    </row>
    <row r="67" spans="3:19" x14ac:dyDescent="0.25">
      <c r="C67" s="56"/>
      <c r="D67" s="56"/>
      <c r="E67" s="56"/>
      <c r="F67" s="56"/>
      <c r="G67" s="56"/>
      <c r="H67" s="56"/>
      <c r="I67" s="56"/>
      <c r="J67" s="56"/>
      <c r="K67" s="56"/>
      <c r="L67" s="56"/>
      <c r="M67" s="56"/>
      <c r="N67" s="62"/>
      <c r="O67" s="62"/>
      <c r="P67" s="62"/>
      <c r="R67" s="6"/>
      <c r="S67" s="65"/>
    </row>
    <row r="68" spans="3:19" x14ac:dyDescent="0.25">
      <c r="C68" s="56"/>
      <c r="D68" s="56"/>
      <c r="E68" s="56"/>
      <c r="F68" s="56"/>
      <c r="G68" s="56"/>
      <c r="H68" s="56"/>
      <c r="I68" s="56"/>
      <c r="J68" s="56"/>
      <c r="K68" s="56"/>
      <c r="L68" s="56"/>
      <c r="M68" s="56"/>
      <c r="N68" s="62"/>
      <c r="O68" s="62"/>
      <c r="P68" s="62"/>
      <c r="R68" s="6"/>
      <c r="S68" s="65"/>
    </row>
    <row r="69" spans="3:19" x14ac:dyDescent="0.25">
      <c r="C69" s="56"/>
      <c r="D69" s="56"/>
      <c r="E69" s="56"/>
      <c r="F69" s="56"/>
      <c r="G69" s="56"/>
      <c r="H69" s="56"/>
      <c r="I69" s="56"/>
      <c r="J69" s="56"/>
      <c r="K69" s="56"/>
      <c r="L69" s="56"/>
      <c r="M69" s="56"/>
      <c r="N69" s="62"/>
      <c r="O69" s="62"/>
      <c r="P69" s="62"/>
      <c r="R69" s="6"/>
      <c r="S69" s="65"/>
    </row>
    <row r="70" spans="3:19" x14ac:dyDescent="0.25">
      <c r="C70" s="56"/>
      <c r="D70" s="56"/>
      <c r="E70" s="56"/>
      <c r="F70" s="56"/>
      <c r="G70" s="56"/>
      <c r="H70" s="56"/>
      <c r="I70" s="56"/>
      <c r="J70" s="56"/>
      <c r="K70" s="56"/>
      <c r="L70" s="56"/>
      <c r="M70" s="56"/>
      <c r="N70" s="62"/>
      <c r="O70" s="62"/>
      <c r="P70" s="62"/>
      <c r="R70" s="6"/>
      <c r="S70" s="65"/>
    </row>
    <row r="71" spans="3:19" x14ac:dyDescent="0.25">
      <c r="C71" s="56"/>
      <c r="D71" s="56"/>
      <c r="E71" s="56"/>
      <c r="F71" s="56"/>
      <c r="G71" s="56"/>
      <c r="H71" s="56"/>
      <c r="I71" s="56"/>
      <c r="J71" s="56"/>
      <c r="K71" s="56"/>
      <c r="L71" s="56"/>
      <c r="M71" s="56"/>
      <c r="N71" s="62"/>
      <c r="O71" s="62"/>
      <c r="P71" s="62"/>
      <c r="R71" s="6"/>
      <c r="S71" s="65"/>
    </row>
    <row r="72" spans="3:19" x14ac:dyDescent="0.25">
      <c r="C72" s="56"/>
      <c r="D72" s="56"/>
      <c r="E72" s="56"/>
      <c r="F72" s="56"/>
      <c r="G72" s="56"/>
      <c r="H72" s="56"/>
      <c r="I72" s="56"/>
      <c r="J72" s="56"/>
      <c r="K72" s="56"/>
      <c r="L72" s="56"/>
      <c r="M72" s="56"/>
      <c r="N72" s="62"/>
      <c r="O72" s="62"/>
      <c r="P72" s="62"/>
      <c r="R72" s="6"/>
      <c r="S72" s="65"/>
    </row>
    <row r="73" spans="3:19" x14ac:dyDescent="0.25">
      <c r="C73" s="56"/>
      <c r="D73" s="56"/>
      <c r="E73" s="56"/>
      <c r="F73" s="56"/>
      <c r="G73" s="56"/>
      <c r="H73" s="56"/>
      <c r="I73" s="56"/>
      <c r="J73" s="56"/>
      <c r="K73" s="56"/>
      <c r="L73" s="56"/>
      <c r="M73" s="56"/>
      <c r="N73" s="62"/>
      <c r="O73" s="62"/>
      <c r="P73" s="62"/>
      <c r="R73" s="6"/>
      <c r="S73" s="65"/>
    </row>
    <row r="74" spans="3:19" x14ac:dyDescent="0.25">
      <c r="C74" s="56"/>
      <c r="D74" s="56"/>
      <c r="E74" s="56"/>
      <c r="F74" s="56"/>
      <c r="G74" s="56"/>
      <c r="H74" s="56"/>
      <c r="I74" s="56"/>
      <c r="J74" s="56"/>
      <c r="K74" s="56"/>
      <c r="L74" s="56"/>
      <c r="M74" s="56"/>
      <c r="N74" s="62"/>
      <c r="O74" s="62"/>
      <c r="P74" s="62"/>
      <c r="R74" s="6"/>
      <c r="S74" s="65"/>
    </row>
    <row r="75" spans="3:19" x14ac:dyDescent="0.25">
      <c r="C75" s="56"/>
      <c r="D75" s="56"/>
      <c r="E75" s="56"/>
      <c r="F75" s="56"/>
      <c r="G75" s="56"/>
      <c r="H75" s="56"/>
      <c r="I75" s="56"/>
      <c r="J75" s="56"/>
      <c r="K75" s="56"/>
      <c r="L75" s="56"/>
      <c r="M75" s="56"/>
      <c r="N75" s="62"/>
      <c r="O75" s="62"/>
      <c r="P75" s="62"/>
      <c r="R75" s="6"/>
      <c r="S75" s="65"/>
    </row>
    <row r="76" spans="3:19" x14ac:dyDescent="0.25">
      <c r="C76" s="56"/>
      <c r="D76" s="56"/>
      <c r="E76" s="56"/>
      <c r="F76" s="56"/>
      <c r="G76" s="56"/>
      <c r="H76" s="56"/>
      <c r="I76" s="56"/>
      <c r="J76" s="56"/>
      <c r="K76" s="56"/>
      <c r="L76" s="56"/>
      <c r="M76" s="56"/>
      <c r="N76" s="62"/>
      <c r="O76" s="62"/>
      <c r="P76" s="62"/>
      <c r="R76" s="6"/>
      <c r="S76" s="65"/>
    </row>
    <row r="77" spans="3:19" x14ac:dyDescent="0.25">
      <c r="C77" s="56"/>
      <c r="D77" s="56"/>
      <c r="E77" s="56"/>
      <c r="F77" s="56"/>
      <c r="G77" s="56"/>
      <c r="H77" s="56"/>
      <c r="I77" s="56"/>
      <c r="J77" s="56"/>
      <c r="K77" s="56"/>
      <c r="L77" s="56"/>
      <c r="M77" s="56"/>
      <c r="N77" s="62"/>
      <c r="O77" s="62"/>
      <c r="P77" s="62"/>
      <c r="R77" s="6"/>
      <c r="S77" s="65"/>
    </row>
    <row r="78" spans="3:19" x14ac:dyDescent="0.25">
      <c r="C78" s="56"/>
      <c r="D78" s="56"/>
      <c r="E78" s="56"/>
      <c r="F78" s="56"/>
      <c r="G78" s="56"/>
      <c r="H78" s="56"/>
      <c r="I78" s="56"/>
      <c r="J78" s="56"/>
      <c r="K78" s="56"/>
      <c r="L78" s="56"/>
      <c r="M78" s="56"/>
      <c r="N78" s="62"/>
      <c r="O78" s="62"/>
      <c r="P78" s="62"/>
      <c r="R78" s="6"/>
      <c r="S78" s="65"/>
    </row>
    <row r="79" spans="3:19" x14ac:dyDescent="0.25">
      <c r="C79" s="56"/>
      <c r="D79" s="56"/>
      <c r="E79" s="56"/>
      <c r="F79" s="56"/>
      <c r="G79" s="56"/>
      <c r="H79" s="56"/>
      <c r="I79" s="56"/>
      <c r="J79" s="56"/>
      <c r="K79" s="56"/>
      <c r="L79" s="56"/>
      <c r="M79" s="56"/>
      <c r="N79" s="62"/>
      <c r="O79" s="62"/>
      <c r="P79" s="62"/>
      <c r="R79" s="6"/>
      <c r="S79" s="65"/>
    </row>
    <row r="80" spans="3:19" x14ac:dyDescent="0.25">
      <c r="C80" s="56"/>
      <c r="D80" s="56"/>
      <c r="E80" s="56"/>
      <c r="F80" s="56"/>
      <c r="G80" s="56"/>
      <c r="H80" s="56"/>
      <c r="I80" s="56"/>
      <c r="J80" s="56"/>
      <c r="K80" s="56"/>
      <c r="L80" s="56"/>
      <c r="M80" s="56"/>
      <c r="N80" s="62"/>
      <c r="O80" s="62"/>
      <c r="P80" s="62"/>
      <c r="R80" s="6"/>
      <c r="S80" s="65"/>
    </row>
    <row r="81" spans="3:19" x14ac:dyDescent="0.25">
      <c r="C81" s="56"/>
      <c r="D81" s="56"/>
      <c r="E81" s="56"/>
      <c r="F81" s="56"/>
      <c r="G81" s="56"/>
      <c r="H81" s="56"/>
      <c r="I81" s="56"/>
      <c r="J81" s="56"/>
      <c r="K81" s="56"/>
      <c r="L81" s="56"/>
      <c r="M81" s="56"/>
      <c r="N81" s="62"/>
      <c r="O81" s="62"/>
      <c r="P81" s="62"/>
      <c r="R81" s="6"/>
      <c r="S81" s="65"/>
    </row>
    <row r="82" spans="3:19" x14ac:dyDescent="0.25">
      <c r="C82" s="56"/>
      <c r="D82" s="56"/>
      <c r="E82" s="56"/>
      <c r="F82" s="56"/>
      <c r="G82" s="56"/>
      <c r="H82" s="56"/>
      <c r="I82" s="56"/>
      <c r="J82" s="56"/>
      <c r="K82" s="56"/>
      <c r="L82" s="56"/>
      <c r="M82" s="56"/>
      <c r="N82" s="62"/>
      <c r="O82" s="62"/>
      <c r="P82" s="62"/>
      <c r="R82" s="6"/>
      <c r="S82" s="65"/>
    </row>
    <row r="83" spans="3:19" x14ac:dyDescent="0.25">
      <c r="C83" s="56"/>
      <c r="D83" s="56"/>
      <c r="E83" s="56"/>
      <c r="F83" s="56"/>
      <c r="G83" s="56"/>
      <c r="H83" s="56"/>
      <c r="I83" s="56"/>
      <c r="J83" s="56"/>
      <c r="K83" s="56"/>
      <c r="L83" s="56"/>
      <c r="M83" s="56"/>
      <c r="N83" s="62"/>
      <c r="O83" s="62"/>
      <c r="P83" s="62"/>
      <c r="R83" s="6"/>
      <c r="S83" s="65"/>
    </row>
    <row r="84" spans="3:19" x14ac:dyDescent="0.25">
      <c r="C84" s="56"/>
      <c r="D84" s="56"/>
      <c r="E84" s="56"/>
      <c r="F84" s="56"/>
      <c r="G84" s="56"/>
      <c r="H84" s="56"/>
      <c r="I84" s="56"/>
      <c r="J84" s="56"/>
      <c r="K84" s="56"/>
      <c r="L84" s="56"/>
      <c r="M84" s="56"/>
      <c r="N84" s="62"/>
      <c r="O84" s="62"/>
      <c r="P84" s="62"/>
      <c r="R84" s="6"/>
      <c r="S84" s="65"/>
    </row>
    <row r="85" spans="3:19" x14ac:dyDescent="0.25">
      <c r="C85" s="56"/>
      <c r="D85" s="56"/>
      <c r="E85" s="56"/>
      <c r="F85" s="56"/>
      <c r="G85" s="56"/>
      <c r="H85" s="56"/>
      <c r="I85" s="56"/>
      <c r="J85" s="56"/>
      <c r="K85" s="56"/>
      <c r="L85" s="56"/>
      <c r="M85" s="56"/>
      <c r="N85" s="62"/>
      <c r="O85" s="62"/>
      <c r="P85" s="62"/>
      <c r="R85" s="6"/>
      <c r="S85" s="65"/>
    </row>
    <row r="86" spans="3:19" x14ac:dyDescent="0.25">
      <c r="C86" s="56"/>
      <c r="D86" s="56"/>
      <c r="E86" s="56"/>
      <c r="F86" s="56"/>
      <c r="G86" s="56"/>
      <c r="H86" s="56"/>
      <c r="I86" s="56"/>
      <c r="J86" s="56"/>
      <c r="K86" s="56"/>
      <c r="L86" s="56"/>
      <c r="M86" s="56"/>
      <c r="N86" s="62"/>
      <c r="O86" s="62"/>
      <c r="P86" s="62"/>
      <c r="R86" s="6"/>
      <c r="S86" s="65"/>
    </row>
    <row r="87" spans="3:19" x14ac:dyDescent="0.25">
      <c r="C87" s="56"/>
      <c r="D87" s="56"/>
      <c r="E87" s="56"/>
      <c r="F87" s="56"/>
      <c r="G87" s="56"/>
      <c r="H87" s="56"/>
      <c r="I87" s="56"/>
      <c r="J87" s="56"/>
      <c r="K87" s="56"/>
      <c r="L87" s="56"/>
      <c r="M87" s="56"/>
      <c r="N87" s="62"/>
      <c r="O87" s="62"/>
      <c r="P87" s="62"/>
      <c r="R87" s="6"/>
      <c r="S87" s="65"/>
    </row>
    <row r="88" spans="3:19" x14ac:dyDescent="0.25">
      <c r="C88" s="56"/>
      <c r="D88" s="56"/>
      <c r="E88" s="56"/>
      <c r="F88" s="56"/>
      <c r="G88" s="56"/>
      <c r="H88" s="56"/>
      <c r="I88" s="56"/>
      <c r="J88" s="56"/>
      <c r="K88" s="56"/>
      <c r="L88" s="56"/>
      <c r="M88" s="56"/>
      <c r="N88" s="62"/>
      <c r="O88" s="62"/>
      <c r="P88" s="62"/>
      <c r="R88" s="6"/>
      <c r="S88" s="65"/>
    </row>
    <row r="89" spans="3:19" x14ac:dyDescent="0.25">
      <c r="C89" s="56"/>
      <c r="D89" s="56"/>
      <c r="E89" s="56"/>
      <c r="F89" s="56"/>
      <c r="G89" s="56"/>
      <c r="H89" s="56"/>
      <c r="I89" s="56"/>
      <c r="J89" s="56"/>
      <c r="K89" s="56"/>
      <c r="L89" s="56"/>
      <c r="M89" s="56"/>
      <c r="N89" s="62"/>
      <c r="O89" s="62"/>
      <c r="P89" s="62"/>
      <c r="R89" s="6"/>
      <c r="S89" s="65"/>
    </row>
    <row r="90" spans="3:19" x14ac:dyDescent="0.25">
      <c r="C90" s="56"/>
      <c r="D90" s="56"/>
      <c r="E90" s="56"/>
      <c r="F90" s="56"/>
      <c r="G90" s="56"/>
      <c r="H90" s="56"/>
      <c r="I90" s="56"/>
      <c r="J90" s="56"/>
      <c r="K90" s="56"/>
      <c r="L90" s="56"/>
      <c r="M90" s="56"/>
      <c r="N90" s="62"/>
      <c r="O90" s="62"/>
      <c r="P90" s="62"/>
      <c r="R90" s="6"/>
      <c r="S90" s="65"/>
    </row>
    <row r="91" spans="3:19" x14ac:dyDescent="0.25">
      <c r="C91" s="56"/>
      <c r="D91" s="56"/>
      <c r="E91" s="56"/>
      <c r="F91" s="56"/>
      <c r="G91" s="56"/>
      <c r="H91" s="56"/>
      <c r="I91" s="56"/>
      <c r="J91" s="56"/>
      <c r="K91" s="56"/>
      <c r="L91" s="56"/>
      <c r="M91" s="56"/>
      <c r="N91" s="62"/>
      <c r="O91" s="62"/>
      <c r="P91" s="62"/>
      <c r="R91" s="6"/>
      <c r="S91" s="65"/>
    </row>
    <row r="92" spans="3:19" x14ac:dyDescent="0.25">
      <c r="C92" s="56"/>
      <c r="D92" s="56"/>
      <c r="E92" s="56"/>
      <c r="F92" s="56"/>
      <c r="G92" s="56"/>
      <c r="H92" s="56"/>
      <c r="I92" s="56"/>
      <c r="J92" s="56"/>
      <c r="K92" s="56"/>
      <c r="L92" s="56"/>
      <c r="M92" s="56"/>
      <c r="N92" s="62"/>
      <c r="O92" s="62"/>
      <c r="P92" s="62"/>
      <c r="R92" s="6"/>
      <c r="S92" s="65"/>
    </row>
    <row r="93" spans="3:19" x14ac:dyDescent="0.25">
      <c r="C93" s="56"/>
      <c r="D93" s="56"/>
      <c r="E93" s="56"/>
      <c r="F93" s="56"/>
      <c r="G93" s="56"/>
      <c r="H93" s="56"/>
      <c r="I93" s="56"/>
      <c r="J93" s="56"/>
      <c r="K93" s="56"/>
      <c r="L93" s="56"/>
      <c r="M93" s="56"/>
      <c r="N93" s="62"/>
      <c r="O93" s="62"/>
      <c r="P93" s="62"/>
      <c r="R93" s="6"/>
      <c r="S93" s="65"/>
    </row>
    <row r="94" spans="3:19" x14ac:dyDescent="0.25">
      <c r="C94" s="56"/>
      <c r="D94" s="56"/>
      <c r="E94" s="56"/>
      <c r="F94" s="56"/>
      <c r="G94" s="56"/>
      <c r="H94" s="56"/>
      <c r="I94" s="56"/>
      <c r="J94" s="56"/>
      <c r="K94" s="56"/>
      <c r="L94" s="56"/>
      <c r="M94" s="56"/>
      <c r="N94" s="62"/>
      <c r="O94" s="62"/>
      <c r="P94" s="62"/>
      <c r="R94" s="6"/>
      <c r="S94" s="65"/>
    </row>
    <row r="95" spans="3:19" x14ac:dyDescent="0.25">
      <c r="C95" s="56"/>
      <c r="D95" s="56"/>
      <c r="E95" s="56"/>
      <c r="F95" s="56"/>
      <c r="G95" s="56"/>
      <c r="H95" s="56"/>
      <c r="I95" s="56"/>
      <c r="J95" s="56"/>
      <c r="K95" s="56"/>
      <c r="L95" s="56"/>
      <c r="M95" s="56"/>
      <c r="N95" s="62"/>
      <c r="O95" s="62"/>
      <c r="P95" s="62"/>
      <c r="R95" s="6"/>
      <c r="S95" s="65"/>
    </row>
    <row r="96" spans="3:19" x14ac:dyDescent="0.25">
      <c r="C96" s="56"/>
      <c r="D96" s="56"/>
      <c r="E96" s="56"/>
      <c r="F96" s="56"/>
      <c r="G96" s="56"/>
      <c r="H96" s="56"/>
      <c r="I96" s="56"/>
      <c r="J96" s="56"/>
      <c r="K96" s="56"/>
      <c r="L96" s="56"/>
      <c r="M96" s="56"/>
      <c r="N96" s="62"/>
      <c r="O96" s="62"/>
      <c r="P96" s="62"/>
      <c r="R96" s="6"/>
      <c r="S96" s="65"/>
    </row>
    <row r="97" spans="3:19" x14ac:dyDescent="0.25">
      <c r="C97" s="56"/>
      <c r="D97" s="56"/>
      <c r="E97" s="56"/>
      <c r="F97" s="56"/>
      <c r="G97" s="56"/>
      <c r="H97" s="56"/>
      <c r="I97" s="56"/>
      <c r="J97" s="56"/>
      <c r="K97" s="56"/>
      <c r="L97" s="56"/>
      <c r="M97" s="56"/>
      <c r="N97" s="62"/>
      <c r="O97" s="62"/>
      <c r="P97" s="62"/>
      <c r="R97" s="6"/>
      <c r="S97" s="65"/>
    </row>
    <row r="98" spans="3:19" x14ac:dyDescent="0.25">
      <c r="C98" s="56"/>
      <c r="D98" s="56"/>
      <c r="E98" s="56"/>
      <c r="F98" s="56"/>
      <c r="G98" s="56"/>
      <c r="H98" s="56"/>
      <c r="I98" s="56"/>
      <c r="J98" s="56"/>
      <c r="K98" s="56"/>
      <c r="L98" s="56"/>
      <c r="M98" s="56"/>
      <c r="N98" s="62"/>
      <c r="O98" s="62"/>
      <c r="P98" s="62"/>
      <c r="R98" s="6"/>
      <c r="S98" s="65"/>
    </row>
    <row r="99" spans="3:19" x14ac:dyDescent="0.25">
      <c r="C99" s="56"/>
      <c r="D99" s="56"/>
      <c r="E99" s="56"/>
      <c r="F99" s="56"/>
      <c r="G99" s="56"/>
      <c r="H99" s="56"/>
      <c r="I99" s="56"/>
      <c r="J99" s="56"/>
      <c r="K99" s="56"/>
      <c r="L99" s="56"/>
      <c r="M99" s="56"/>
      <c r="N99" s="62"/>
      <c r="O99" s="62"/>
      <c r="P99" s="62"/>
      <c r="R99" s="6"/>
      <c r="S99" s="65"/>
    </row>
    <row r="100" spans="3:19" x14ac:dyDescent="0.25">
      <c r="C100" s="56"/>
      <c r="D100" s="56"/>
      <c r="E100" s="56"/>
      <c r="F100" s="56"/>
      <c r="G100" s="56"/>
      <c r="H100" s="56"/>
      <c r="I100" s="56"/>
      <c r="J100" s="56"/>
      <c r="K100" s="56"/>
      <c r="L100" s="56"/>
      <c r="M100" s="56"/>
      <c r="N100" s="62"/>
      <c r="O100" s="62"/>
      <c r="P100" s="62"/>
      <c r="R100" s="6"/>
      <c r="S100" s="65"/>
    </row>
  </sheetData>
  <mergeCells count="4">
    <mergeCell ref="AR2:AW2"/>
    <mergeCell ref="U2:AA2"/>
    <mergeCell ref="AD2:AJ2"/>
    <mergeCell ref="AM2:AP2"/>
  </mergeCells>
  <dataValidations count="5">
    <dataValidation type="list" allowBlank="1" showInputMessage="1" showErrorMessage="1" sqref="U21" xr:uid="{F51A4C4C-DFCA-4880-B681-BA3EAA56ABD0}">
      <formula1>"DeathGuard,Space Marines,Drukhari, Daemons, T'Au, Imperial Guard, Sisters of Battle, Thousand Sons"</formula1>
    </dataValidation>
    <dataValidation type="list" allowBlank="1" showInputMessage="1" showErrorMessage="1" sqref="R4:R100" xr:uid="{BE69AAA4-2338-43DA-B07F-EA80583647F4}">
      <formula1>"Ranged,Melee"</formula1>
    </dataValidation>
    <dataValidation type="list" allowBlank="1" showInputMessage="1" showErrorMessage="1" sqref="AN4:AN30 AT4:AT30" xr:uid="{78E16B44-4A7C-4C73-B163-93F5B9B810BC}">
      <formula1>"Attacker,Target"</formula1>
    </dataValidation>
    <dataValidation type="list" allowBlank="1" showInputMessage="1" showErrorMessage="1" sqref="AO4:AO30 AU4:AU30" xr:uid="{F4840473-8340-4248-87B6-F3D983937154}">
      <formula1>"Shooting,Fighting,Both"</formula1>
    </dataValidation>
    <dataValidation type="whole" allowBlank="1" showInputMessage="1" showErrorMessage="1" promptTitle="Qty" prompt="How many of this weapon the unit carries. Blank = 1. Use 0 for alternate profiles (e.g. frag/krak) you don't want counted together." sqref="S4:S100" xr:uid="{2E7DFB0C-EAAC-48FC-9ADA-41C21A3DFD11}">
      <formula1>0</formula1>
      <formula2>100</formula2>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9B610-C331-46F8-ABD2-8141B4EBE544}">
  <sheetPr codeName="Sheet9">
    <tabColor theme="6"/>
  </sheetPr>
  <dimension ref="B2:AW100"/>
  <sheetViews>
    <sheetView workbookViewId="0">
      <selection activeCell="L16" sqref="L16"/>
    </sheetView>
  </sheetViews>
  <sheetFormatPr defaultRowHeight="15" x14ac:dyDescent="0.25"/>
  <cols>
    <col min="2" max="2" width="21.5703125" bestFit="1" customWidth="1"/>
    <col min="3" max="3" width="3" bestFit="1" customWidth="1"/>
    <col min="4" max="4" width="3.28515625" bestFit="1" customWidth="1"/>
    <col min="5" max="5" width="3.140625" bestFit="1" customWidth="1"/>
    <col min="6" max="7" width="4.7109375" bestFit="1" customWidth="1"/>
    <col min="8" max="8" width="9.140625" bestFit="1" customWidth="1"/>
    <col min="9" max="13" width="8.85546875" customWidth="1"/>
    <col min="14" max="15" width="29.7109375" customWidth="1"/>
    <col min="16" max="16" width="48.140625" customWidth="1"/>
    <col min="17" max="17" width="25.28515625" bestFit="1" customWidth="1"/>
    <col min="18" max="18" width="7.5703125" bestFit="1" customWidth="1"/>
    <col min="19" max="19" width="6.7109375" customWidth="1"/>
    <col min="20" max="20" width="1.85546875" customWidth="1"/>
    <col min="21" max="21" width="25.28515625" bestFit="1" customWidth="1"/>
    <col min="22" max="22" width="5.7109375" bestFit="1" customWidth="1"/>
    <col min="23" max="23" width="3.42578125" bestFit="1" customWidth="1"/>
    <col min="24" max="24" width="3.28515625" bestFit="1" customWidth="1"/>
    <col min="25" max="25" width="3.42578125" bestFit="1" customWidth="1"/>
    <col min="26" max="26" width="5.7109375" bestFit="1" customWidth="1"/>
    <col min="27" max="27" width="91" bestFit="1" customWidth="1"/>
    <col min="28" max="29" width="1.85546875" customWidth="1"/>
    <col min="30" max="30" width="8.28515625" bestFit="1" customWidth="1"/>
    <col min="31" max="31" width="2.28515625" bestFit="1" customWidth="1"/>
    <col min="32" max="32" width="3.42578125" bestFit="1" customWidth="1"/>
    <col min="33" max="33" width="2.28515625" bestFit="1" customWidth="1"/>
    <col min="34" max="34" width="3.42578125" bestFit="1" customWidth="1"/>
    <col min="35" max="35" width="2.42578125" bestFit="1" customWidth="1"/>
    <col min="36" max="36" width="8.140625" bestFit="1" customWidth="1"/>
    <col min="39" max="39" width="5" bestFit="1" customWidth="1"/>
    <col min="40" max="40" width="9.85546875" bestFit="1" customWidth="1"/>
    <col min="41" max="41" width="6.42578125" bestFit="1" customWidth="1"/>
    <col min="42" max="42" width="8.140625" bestFit="1" customWidth="1"/>
    <col min="44" max="44" width="10" bestFit="1" customWidth="1"/>
    <col min="45" max="45" width="3.5703125" bestFit="1" customWidth="1"/>
    <col min="46" max="46" width="9.85546875" bestFit="1" customWidth="1"/>
    <col min="47" max="47" width="6.42578125" bestFit="1" customWidth="1"/>
    <col min="48" max="48" width="8.140625" bestFit="1" customWidth="1"/>
    <col min="49" max="49" width="6.28515625" bestFit="1" customWidth="1"/>
  </cols>
  <sheetData>
    <row r="2" spans="2:49" x14ac:dyDescent="0.25">
      <c r="B2" s="131" t="s">
        <v>185</v>
      </c>
      <c r="C2" s="131"/>
      <c r="D2" s="131"/>
      <c r="E2" s="131"/>
      <c r="F2" s="131"/>
      <c r="G2" s="131"/>
      <c r="H2" s="131"/>
      <c r="I2" s="131"/>
      <c r="J2" s="131"/>
      <c r="K2" s="131"/>
      <c r="L2" s="131"/>
      <c r="M2" s="131"/>
      <c r="N2" s="131"/>
      <c r="O2" s="131"/>
      <c r="P2" s="131"/>
      <c r="Q2" s="131"/>
      <c r="R2" s="131"/>
      <c r="S2" s="131"/>
      <c r="U2" s="131" t="s">
        <v>186</v>
      </c>
      <c r="V2" s="131"/>
      <c r="W2" s="131"/>
      <c r="X2" s="131"/>
      <c r="Y2" s="131"/>
      <c r="Z2" s="131"/>
      <c r="AA2" s="131"/>
      <c r="AD2" s="131" t="s">
        <v>242</v>
      </c>
      <c r="AE2" s="131"/>
      <c r="AF2" s="131"/>
      <c r="AG2" s="131"/>
      <c r="AH2" s="131"/>
      <c r="AI2" s="131"/>
      <c r="AJ2" s="131"/>
      <c r="AM2" s="134" t="s">
        <v>188</v>
      </c>
      <c r="AN2" s="134"/>
      <c r="AO2" s="134"/>
      <c r="AP2" s="134"/>
      <c r="AR2" s="132" t="s">
        <v>189</v>
      </c>
      <c r="AS2" s="133"/>
      <c r="AT2" s="133"/>
      <c r="AU2" s="133"/>
      <c r="AV2" s="133"/>
      <c r="AW2" s="133"/>
    </row>
    <row r="3" spans="2:49" x14ac:dyDescent="0.25">
      <c r="B3" t="s">
        <v>190</v>
      </c>
      <c r="C3" t="s">
        <v>129</v>
      </c>
      <c r="D3" t="s">
        <v>130</v>
      </c>
      <c r="E3" t="s">
        <v>131</v>
      </c>
      <c r="F3" t="s">
        <v>132</v>
      </c>
      <c r="G3" t="s">
        <v>133</v>
      </c>
      <c r="H3" t="s">
        <v>134</v>
      </c>
      <c r="I3" t="s">
        <v>496</v>
      </c>
      <c r="J3" t="s">
        <v>497</v>
      </c>
      <c r="K3" t="s">
        <v>498</v>
      </c>
      <c r="L3" t="s">
        <v>499</v>
      </c>
      <c r="M3" t="s">
        <v>500</v>
      </c>
      <c r="N3" t="s">
        <v>9</v>
      </c>
      <c r="O3" t="s">
        <v>501</v>
      </c>
      <c r="P3" t="s">
        <v>502</v>
      </c>
      <c r="Q3" t="s">
        <v>122</v>
      </c>
      <c r="R3" s="2" t="s">
        <v>177</v>
      </c>
      <c r="S3" s="2" t="s">
        <v>493</v>
      </c>
      <c r="U3" s="3" t="s">
        <v>122</v>
      </c>
      <c r="V3" s="3" t="s">
        <v>123</v>
      </c>
      <c r="W3" s="3" t="s">
        <v>124</v>
      </c>
      <c r="X3" s="3" t="s">
        <v>125</v>
      </c>
      <c r="Y3" s="3" t="s">
        <v>126</v>
      </c>
      <c r="Z3" s="3" t="s">
        <v>127</v>
      </c>
      <c r="AA3" s="3" t="s">
        <v>128</v>
      </c>
      <c r="AB3" s="2"/>
      <c r="AD3" s="3" t="s">
        <v>122</v>
      </c>
      <c r="AE3" s="3" t="s">
        <v>123</v>
      </c>
      <c r="AF3" s="3" t="s">
        <v>124</v>
      </c>
      <c r="AG3" s="3" t="s">
        <v>125</v>
      </c>
      <c r="AH3" s="3" t="s">
        <v>126</v>
      </c>
      <c r="AI3" s="3" t="s">
        <v>127</v>
      </c>
      <c r="AJ3" s="3" t="s">
        <v>128</v>
      </c>
      <c r="AM3" s="3" t="s">
        <v>191</v>
      </c>
      <c r="AN3" s="3" t="s">
        <v>192</v>
      </c>
      <c r="AO3" s="3" t="s">
        <v>193</v>
      </c>
      <c r="AP3" s="3" t="s">
        <v>128</v>
      </c>
      <c r="AR3" s="3" t="s">
        <v>194</v>
      </c>
      <c r="AS3" s="3" t="s">
        <v>195</v>
      </c>
      <c r="AT3" s="3" t="s">
        <v>192</v>
      </c>
      <c r="AU3" s="3" t="s">
        <v>193</v>
      </c>
      <c r="AV3" s="3" t="s">
        <v>128</v>
      </c>
      <c r="AW3" s="3" t="s">
        <v>196</v>
      </c>
    </row>
    <row r="4" spans="2:49" x14ac:dyDescent="0.25">
      <c r="B4" t="s">
        <v>246</v>
      </c>
      <c r="C4" s="56">
        <v>3</v>
      </c>
      <c r="D4" s="56">
        <v>1</v>
      </c>
      <c r="E4" s="56">
        <v>5</v>
      </c>
      <c r="F4" s="37" t="s">
        <v>198</v>
      </c>
      <c r="G4" s="37" t="s">
        <v>198</v>
      </c>
      <c r="H4" s="37" t="s">
        <v>198</v>
      </c>
      <c r="I4" s="37"/>
      <c r="J4" s="37"/>
      <c r="K4" s="37"/>
      <c r="L4" s="37"/>
      <c r="M4" s="37"/>
      <c r="N4" s="61"/>
      <c r="O4" s="61"/>
      <c r="P4" s="61"/>
      <c r="R4" s="6"/>
      <c r="S4" s="65"/>
      <c r="AA4" s="2"/>
      <c r="AB4" s="2"/>
      <c r="AD4" s="3"/>
      <c r="AE4" s="2"/>
      <c r="AF4" s="2"/>
      <c r="AG4" s="2"/>
      <c r="AH4" s="2"/>
      <c r="AI4" s="2"/>
      <c r="AJ4" s="2"/>
      <c r="AN4" s="6"/>
      <c r="AO4" s="6"/>
      <c r="AS4" s="6"/>
      <c r="AT4" s="6"/>
      <c r="AU4" s="6"/>
    </row>
    <row r="5" spans="2:49" x14ac:dyDescent="0.25">
      <c r="B5" s="4" t="s">
        <v>247</v>
      </c>
      <c r="C5" s="56">
        <v>3</v>
      </c>
      <c r="D5" s="56">
        <v>1</v>
      </c>
      <c r="E5" s="56">
        <v>4</v>
      </c>
      <c r="F5" s="56" t="s">
        <v>198</v>
      </c>
      <c r="G5" s="56" t="s">
        <v>198</v>
      </c>
      <c r="H5" s="56" t="s">
        <v>198</v>
      </c>
      <c r="I5" s="56"/>
      <c r="J5" s="56"/>
      <c r="K5" s="56"/>
      <c r="L5" s="56"/>
      <c r="M5" s="56"/>
      <c r="N5" s="62"/>
      <c r="O5" s="62"/>
      <c r="P5" s="62"/>
      <c r="Q5" s="3" t="s">
        <v>228</v>
      </c>
      <c r="R5" s="6" t="s">
        <v>200</v>
      </c>
      <c r="S5" s="65"/>
      <c r="U5" s="3" t="s">
        <v>228</v>
      </c>
      <c r="V5">
        <v>1</v>
      </c>
      <c r="W5" s="2">
        <v>3</v>
      </c>
      <c r="X5" s="2">
        <v>8</v>
      </c>
      <c r="Y5" s="2">
        <v>-3</v>
      </c>
      <c r="Z5" s="2">
        <v>2</v>
      </c>
      <c r="AA5" s="52" t="s">
        <v>248</v>
      </c>
      <c r="AB5" s="2"/>
      <c r="AN5" s="6"/>
      <c r="AO5" s="6"/>
      <c r="AS5" s="6"/>
      <c r="AT5" s="6"/>
      <c r="AU5" s="6"/>
    </row>
    <row r="6" spans="2:49" x14ac:dyDescent="0.25">
      <c r="B6" s="4" t="s">
        <v>247</v>
      </c>
      <c r="C6" s="56">
        <v>3</v>
      </c>
      <c r="D6" s="56">
        <v>1</v>
      </c>
      <c r="E6" s="56">
        <v>4</v>
      </c>
      <c r="F6" s="56" t="s">
        <v>198</v>
      </c>
      <c r="G6" s="56" t="s">
        <v>198</v>
      </c>
      <c r="H6" s="56" t="s">
        <v>198</v>
      </c>
      <c r="I6" s="56"/>
      <c r="J6" s="56"/>
      <c r="K6" s="56"/>
      <c r="L6" s="56"/>
      <c r="M6" s="56"/>
      <c r="N6" s="62"/>
      <c r="O6" s="62"/>
      <c r="P6" s="62"/>
      <c r="Q6" s="3" t="s">
        <v>249</v>
      </c>
      <c r="R6" s="6" t="s">
        <v>200</v>
      </c>
      <c r="S6" s="65"/>
      <c r="U6" s="3" t="s">
        <v>249</v>
      </c>
      <c r="V6" s="2">
        <v>1</v>
      </c>
      <c r="W6" s="2">
        <v>3</v>
      </c>
      <c r="X6" s="2">
        <v>9</v>
      </c>
      <c r="Y6" s="2">
        <v>-4</v>
      </c>
      <c r="Z6" s="2" t="s">
        <v>208</v>
      </c>
      <c r="AA6" s="53" t="s">
        <v>250</v>
      </c>
      <c r="AB6" s="2"/>
      <c r="AN6" s="6"/>
      <c r="AO6" s="6"/>
      <c r="AS6" s="6"/>
      <c r="AT6" s="6"/>
      <c r="AU6" s="6"/>
    </row>
    <row r="7" spans="2:49" x14ac:dyDescent="0.25">
      <c r="B7" s="4" t="s">
        <v>247</v>
      </c>
      <c r="C7" s="56">
        <v>3</v>
      </c>
      <c r="D7" s="56">
        <v>1</v>
      </c>
      <c r="E7" s="56">
        <v>4</v>
      </c>
      <c r="F7" s="56" t="s">
        <v>198</v>
      </c>
      <c r="G7" s="56" t="s">
        <v>198</v>
      </c>
      <c r="H7" s="56" t="s">
        <v>198</v>
      </c>
      <c r="I7" s="56"/>
      <c r="J7" s="56"/>
      <c r="K7" s="56"/>
      <c r="L7" s="56"/>
      <c r="M7" s="56"/>
      <c r="N7" s="62"/>
      <c r="O7" s="62"/>
      <c r="P7" s="62"/>
      <c r="Q7" s="3" t="s">
        <v>251</v>
      </c>
      <c r="R7" s="6" t="s">
        <v>200</v>
      </c>
      <c r="S7" s="65"/>
      <c r="U7" s="3" t="s">
        <v>251</v>
      </c>
      <c r="V7" s="2">
        <v>1</v>
      </c>
      <c r="W7" s="2">
        <v>3</v>
      </c>
      <c r="X7" s="2">
        <v>9</v>
      </c>
      <c r="Y7" s="2">
        <v>-2</v>
      </c>
      <c r="Z7" s="2" t="s">
        <v>218</v>
      </c>
      <c r="AA7" s="2" t="s">
        <v>250</v>
      </c>
      <c r="AB7" s="2"/>
      <c r="AN7" s="6"/>
      <c r="AO7" s="6"/>
      <c r="AS7" s="6"/>
      <c r="AT7" s="6"/>
      <c r="AU7" s="6"/>
    </row>
    <row r="8" spans="2:49" x14ac:dyDescent="0.25">
      <c r="B8" s="4" t="s">
        <v>247</v>
      </c>
      <c r="C8" s="56">
        <v>3</v>
      </c>
      <c r="D8" s="56">
        <v>1</v>
      </c>
      <c r="E8" s="56">
        <v>4</v>
      </c>
      <c r="F8" s="56" t="s">
        <v>198</v>
      </c>
      <c r="G8" s="56" t="s">
        <v>198</v>
      </c>
      <c r="H8" s="56" t="s">
        <v>198</v>
      </c>
      <c r="I8" s="56"/>
      <c r="J8" s="56"/>
      <c r="K8" s="56"/>
      <c r="L8" s="56"/>
      <c r="M8" s="56"/>
      <c r="N8" s="62"/>
      <c r="O8" s="62"/>
      <c r="P8" s="62"/>
      <c r="Q8" s="3" t="s">
        <v>252</v>
      </c>
      <c r="R8" s="6" t="s">
        <v>200</v>
      </c>
      <c r="S8" s="65"/>
      <c r="U8" s="3" t="s">
        <v>252</v>
      </c>
      <c r="V8">
        <v>2</v>
      </c>
      <c r="W8" s="2">
        <v>3</v>
      </c>
      <c r="X8" s="2">
        <v>4</v>
      </c>
      <c r="Y8" s="2">
        <v>-1</v>
      </c>
      <c r="Z8" s="2">
        <v>1</v>
      </c>
      <c r="AA8" s="53" t="s">
        <v>253</v>
      </c>
      <c r="AN8" s="6"/>
      <c r="AO8" s="6"/>
      <c r="AS8" s="6"/>
      <c r="AT8" s="6"/>
      <c r="AU8" s="6"/>
    </row>
    <row r="9" spans="2:49" x14ac:dyDescent="0.25">
      <c r="B9" s="4" t="s">
        <v>254</v>
      </c>
      <c r="C9" s="56">
        <v>3</v>
      </c>
      <c r="D9" s="56">
        <v>1</v>
      </c>
      <c r="E9" s="56">
        <v>5</v>
      </c>
      <c r="F9" s="56" t="s">
        <v>198</v>
      </c>
      <c r="G9" s="56" t="s">
        <v>198</v>
      </c>
      <c r="H9" s="56" t="s">
        <v>198</v>
      </c>
      <c r="I9" s="56"/>
      <c r="J9" s="56"/>
      <c r="K9" s="56"/>
      <c r="L9" s="56"/>
      <c r="M9" s="56"/>
      <c r="N9" s="62"/>
      <c r="O9" s="62"/>
      <c r="P9" s="62"/>
      <c r="Q9" s="3" t="s">
        <v>255</v>
      </c>
      <c r="R9" s="6" t="s">
        <v>200</v>
      </c>
      <c r="S9" s="65"/>
      <c r="U9" s="3" t="s">
        <v>256</v>
      </c>
      <c r="V9" s="2">
        <v>1</v>
      </c>
      <c r="W9" s="2">
        <v>5</v>
      </c>
      <c r="X9" s="2">
        <v>12</v>
      </c>
      <c r="Y9" s="2">
        <v>-3</v>
      </c>
      <c r="Z9" s="2" t="s">
        <v>257</v>
      </c>
      <c r="AA9" s="2" t="s">
        <v>258</v>
      </c>
      <c r="AN9" s="6"/>
      <c r="AO9" s="6"/>
      <c r="AS9" s="6"/>
      <c r="AT9" s="6"/>
      <c r="AU9" s="6"/>
    </row>
    <row r="10" spans="2:49" x14ac:dyDescent="0.25">
      <c r="B10" s="4" t="s">
        <v>254</v>
      </c>
      <c r="C10" s="56">
        <v>3</v>
      </c>
      <c r="D10" s="56">
        <v>1</v>
      </c>
      <c r="E10" s="56">
        <v>5</v>
      </c>
      <c r="F10" s="56" t="s">
        <v>198</v>
      </c>
      <c r="G10" s="56" t="s">
        <v>198</v>
      </c>
      <c r="H10" s="56" t="s">
        <v>198</v>
      </c>
      <c r="I10" s="56"/>
      <c r="J10" s="56"/>
      <c r="K10" s="56"/>
      <c r="L10" s="56"/>
      <c r="M10" s="56"/>
      <c r="N10" s="62"/>
      <c r="O10" s="62"/>
      <c r="P10" s="62"/>
      <c r="Q10" s="3" t="s">
        <v>255</v>
      </c>
      <c r="R10" s="6" t="s">
        <v>200</v>
      </c>
      <c r="S10" s="65"/>
      <c r="U10" s="3" t="s">
        <v>255</v>
      </c>
      <c r="V10" t="s">
        <v>208</v>
      </c>
      <c r="W10" s="22">
        <v>4</v>
      </c>
      <c r="X10" s="2">
        <v>5</v>
      </c>
      <c r="Y10" s="2">
        <v>-1</v>
      </c>
      <c r="Z10" s="2">
        <v>2</v>
      </c>
      <c r="AA10" s="2" t="s">
        <v>259</v>
      </c>
      <c r="AN10" s="6"/>
      <c r="AO10" s="6"/>
      <c r="AS10" s="6"/>
      <c r="AT10" s="6"/>
      <c r="AU10" s="6"/>
    </row>
    <row r="11" spans="2:49" x14ac:dyDescent="0.25">
      <c r="B11" s="4" t="s">
        <v>254</v>
      </c>
      <c r="C11" s="56">
        <v>3</v>
      </c>
      <c r="D11" s="56">
        <v>1</v>
      </c>
      <c r="E11" s="56">
        <v>5</v>
      </c>
      <c r="F11" s="56" t="s">
        <v>198</v>
      </c>
      <c r="G11" s="56" t="s">
        <v>198</v>
      </c>
      <c r="H11" s="56" t="s">
        <v>198</v>
      </c>
      <c r="I11" s="56"/>
      <c r="J11" s="56"/>
      <c r="K11" s="56"/>
      <c r="L11" s="56"/>
      <c r="M11" s="56"/>
      <c r="N11" s="62"/>
      <c r="O11" s="62"/>
      <c r="P11" s="62"/>
      <c r="Q11" s="3" t="s">
        <v>256</v>
      </c>
      <c r="R11" s="6" t="s">
        <v>200</v>
      </c>
      <c r="S11" s="65"/>
      <c r="U11" s="3" t="s">
        <v>260</v>
      </c>
      <c r="V11" s="2" t="s">
        <v>261</v>
      </c>
      <c r="W11" s="2">
        <v>5</v>
      </c>
      <c r="X11" s="2">
        <v>8</v>
      </c>
      <c r="Y11" s="2">
        <v>-1</v>
      </c>
      <c r="Z11" s="2">
        <v>2</v>
      </c>
      <c r="AA11" s="2" t="s">
        <v>262</v>
      </c>
      <c r="AN11" s="6"/>
      <c r="AO11" s="6"/>
      <c r="AS11" s="6"/>
      <c r="AT11" s="6"/>
      <c r="AU11" s="6"/>
    </row>
    <row r="12" spans="2:49" x14ac:dyDescent="0.25">
      <c r="B12" s="4" t="s">
        <v>263</v>
      </c>
      <c r="C12" s="56">
        <v>7</v>
      </c>
      <c r="D12" s="56">
        <v>10</v>
      </c>
      <c r="E12" s="56">
        <v>3</v>
      </c>
      <c r="F12" s="56" t="s">
        <v>198</v>
      </c>
      <c r="G12" s="56" t="s">
        <v>198</v>
      </c>
      <c r="H12" s="56" t="s">
        <v>198</v>
      </c>
      <c r="I12" s="56"/>
      <c r="J12" s="56"/>
      <c r="K12" s="56"/>
      <c r="L12" s="56"/>
      <c r="M12" s="56"/>
      <c r="N12" s="62"/>
      <c r="O12" s="62"/>
      <c r="P12" s="62"/>
      <c r="Q12" s="3" t="s">
        <v>260</v>
      </c>
      <c r="R12" s="6" t="s">
        <v>200</v>
      </c>
      <c r="S12" s="65"/>
      <c r="U12" s="3" t="s">
        <v>264</v>
      </c>
      <c r="V12" t="s">
        <v>208</v>
      </c>
      <c r="W12" s="2">
        <v>5</v>
      </c>
      <c r="X12" s="2">
        <v>12</v>
      </c>
      <c r="Y12" s="2">
        <v>-2</v>
      </c>
      <c r="Z12" s="2">
        <v>3</v>
      </c>
      <c r="AA12" s="2" t="s">
        <v>265</v>
      </c>
      <c r="AN12" s="6"/>
      <c r="AO12" s="6"/>
      <c r="AS12" s="6"/>
      <c r="AT12" s="6"/>
      <c r="AU12" s="6"/>
    </row>
    <row r="13" spans="2:49" x14ac:dyDescent="0.25">
      <c r="B13" s="4" t="s">
        <v>263</v>
      </c>
      <c r="C13" s="56">
        <v>7</v>
      </c>
      <c r="D13" s="56">
        <v>10</v>
      </c>
      <c r="E13" s="56">
        <v>3</v>
      </c>
      <c r="F13" s="56" t="s">
        <v>198</v>
      </c>
      <c r="G13" s="56" t="s">
        <v>198</v>
      </c>
      <c r="H13" s="56" t="s">
        <v>198</v>
      </c>
      <c r="I13" s="56"/>
      <c r="J13" s="56"/>
      <c r="K13" s="56"/>
      <c r="L13" s="56"/>
      <c r="M13" s="56"/>
      <c r="N13" s="62"/>
      <c r="O13" s="62"/>
      <c r="P13" s="62"/>
      <c r="Q13" s="3" t="s">
        <v>264</v>
      </c>
      <c r="R13" s="6" t="s">
        <v>200</v>
      </c>
      <c r="S13" s="65"/>
      <c r="U13" s="3" t="s">
        <v>266</v>
      </c>
      <c r="V13" s="2">
        <v>2</v>
      </c>
      <c r="W13" s="2">
        <v>5</v>
      </c>
      <c r="X13" s="2">
        <v>14</v>
      </c>
      <c r="Y13" s="2">
        <v>-3</v>
      </c>
      <c r="Z13" s="2" t="s">
        <v>257</v>
      </c>
      <c r="AA13" s="53" t="s">
        <v>267</v>
      </c>
      <c r="AN13" s="6"/>
      <c r="AO13" s="6"/>
      <c r="AS13" s="6"/>
      <c r="AT13" s="6"/>
      <c r="AU13" s="6"/>
    </row>
    <row r="14" spans="2:49" x14ac:dyDescent="0.25">
      <c r="B14" s="4" t="s">
        <v>268</v>
      </c>
      <c r="C14" s="56">
        <v>5</v>
      </c>
      <c r="D14" s="56">
        <v>6</v>
      </c>
      <c r="E14" s="56">
        <v>4</v>
      </c>
      <c r="F14" s="56" t="s">
        <v>198</v>
      </c>
      <c r="G14" s="56" t="s">
        <v>198</v>
      </c>
      <c r="H14" s="56" t="s">
        <v>198</v>
      </c>
      <c r="I14" s="56"/>
      <c r="J14" s="56"/>
      <c r="K14" s="56"/>
      <c r="L14" s="56"/>
      <c r="M14" s="56"/>
      <c r="N14" s="62"/>
      <c r="O14" s="62"/>
      <c r="P14" s="62"/>
      <c r="Q14" s="3" t="s">
        <v>266</v>
      </c>
      <c r="R14" s="6" t="s">
        <v>200</v>
      </c>
      <c r="S14" s="65"/>
      <c r="U14" s="3"/>
      <c r="W14" s="2"/>
      <c r="X14" s="2"/>
      <c r="Y14" s="2"/>
      <c r="Z14" s="2"/>
      <c r="AN14" s="6"/>
      <c r="AO14" s="6"/>
      <c r="AS14" s="6"/>
      <c r="AT14" s="6"/>
      <c r="AU14" s="6"/>
    </row>
    <row r="15" spans="2:49" x14ac:dyDescent="0.25">
      <c r="B15" s="4" t="s">
        <v>268</v>
      </c>
      <c r="C15" s="56">
        <v>5</v>
      </c>
      <c r="D15" s="56">
        <v>6</v>
      </c>
      <c r="E15" s="56">
        <v>4</v>
      </c>
      <c r="F15" s="56" t="s">
        <v>198</v>
      </c>
      <c r="G15" s="56" t="s">
        <v>198</v>
      </c>
      <c r="H15" s="56" t="s">
        <v>198</v>
      </c>
      <c r="I15" s="56"/>
      <c r="J15" s="56"/>
      <c r="K15" s="56"/>
      <c r="L15" s="56"/>
      <c r="M15" s="56"/>
      <c r="N15" s="62"/>
      <c r="O15" s="62"/>
      <c r="P15" s="62"/>
      <c r="Q15" s="3" t="s">
        <v>266</v>
      </c>
      <c r="R15" s="6" t="s">
        <v>200</v>
      </c>
      <c r="S15" s="65"/>
      <c r="U15" s="3"/>
      <c r="V15" s="2"/>
      <c r="W15" s="2"/>
      <c r="X15" s="2"/>
      <c r="Y15" s="2"/>
      <c r="Z15" s="2"/>
      <c r="AN15" s="6"/>
      <c r="AO15" s="6"/>
      <c r="AS15" s="6"/>
      <c r="AT15" s="6"/>
      <c r="AU15" s="6"/>
    </row>
    <row r="16" spans="2:49" x14ac:dyDescent="0.25">
      <c r="B16" s="4" t="s">
        <v>630</v>
      </c>
      <c r="C16" s="56">
        <v>12</v>
      </c>
      <c r="D16" s="56">
        <v>17</v>
      </c>
      <c r="E16" s="56">
        <v>2</v>
      </c>
      <c r="F16" s="37" t="s">
        <v>198</v>
      </c>
      <c r="G16" s="37" t="s">
        <v>198</v>
      </c>
      <c r="H16" s="56"/>
      <c r="I16" s="56">
        <v>10</v>
      </c>
      <c r="J16" s="56">
        <v>5</v>
      </c>
      <c r="K16" s="56">
        <v>7</v>
      </c>
      <c r="L16" s="56"/>
      <c r="M16" s="56">
        <v>1</v>
      </c>
      <c r="N16" s="62"/>
      <c r="O16" s="62"/>
      <c r="P16" s="62"/>
      <c r="R16" s="6"/>
      <c r="S16" s="65"/>
      <c r="AN16" s="6"/>
      <c r="AO16" s="6"/>
      <c r="AS16" s="6"/>
      <c r="AT16" s="6"/>
      <c r="AU16" s="6"/>
    </row>
    <row r="17" spans="3:47" x14ac:dyDescent="0.25">
      <c r="C17" s="56"/>
      <c r="D17" s="56"/>
      <c r="E17" s="56"/>
      <c r="F17" s="56"/>
      <c r="G17" s="56"/>
      <c r="H17" s="56"/>
      <c r="I17" s="56"/>
      <c r="J17" s="56"/>
      <c r="K17" s="56"/>
      <c r="L17" s="56"/>
      <c r="M17" s="56"/>
      <c r="N17" s="62"/>
      <c r="O17" s="62"/>
      <c r="P17" s="62"/>
      <c r="R17" s="6"/>
      <c r="S17" s="65"/>
      <c r="AN17" s="6"/>
      <c r="AO17" s="6"/>
      <c r="AS17" s="6"/>
      <c r="AT17" s="6"/>
      <c r="AU17" s="6"/>
    </row>
    <row r="18" spans="3:47" x14ac:dyDescent="0.25">
      <c r="C18" s="56"/>
      <c r="D18" s="56"/>
      <c r="E18" s="56"/>
      <c r="F18" s="56"/>
      <c r="G18" s="56"/>
      <c r="H18" s="56"/>
      <c r="I18" s="56"/>
      <c r="J18" s="56"/>
      <c r="K18" s="56"/>
      <c r="L18" s="56"/>
      <c r="M18" s="56"/>
      <c r="N18" s="62"/>
      <c r="O18" s="62"/>
      <c r="P18" s="62"/>
      <c r="R18" s="6"/>
      <c r="S18" s="65"/>
      <c r="AN18" s="6"/>
      <c r="AO18" s="6"/>
      <c r="AS18" s="6"/>
      <c r="AT18" s="6"/>
      <c r="AU18" s="6"/>
    </row>
    <row r="19" spans="3:47" x14ac:dyDescent="0.25">
      <c r="C19" s="56"/>
      <c r="D19" s="56"/>
      <c r="E19" s="56"/>
      <c r="F19" s="56"/>
      <c r="G19" s="56"/>
      <c r="H19" s="56"/>
      <c r="I19" s="56"/>
      <c r="J19" s="56"/>
      <c r="K19" s="56"/>
      <c r="L19" s="56"/>
      <c r="M19" s="56"/>
      <c r="N19" s="62"/>
      <c r="O19" s="62"/>
      <c r="P19" s="62"/>
      <c r="R19" s="6"/>
      <c r="S19" s="65"/>
      <c r="AN19" s="6"/>
      <c r="AO19" s="6"/>
      <c r="AS19" s="6"/>
      <c r="AT19" s="6"/>
      <c r="AU19" s="6"/>
    </row>
    <row r="20" spans="3:47" x14ac:dyDescent="0.25">
      <c r="C20" s="56"/>
      <c r="D20" s="56"/>
      <c r="E20" s="56"/>
      <c r="F20" s="56"/>
      <c r="G20" s="56"/>
      <c r="H20" s="56"/>
      <c r="I20" s="56"/>
      <c r="J20" s="56"/>
      <c r="K20" s="56"/>
      <c r="L20" s="56"/>
      <c r="M20" s="56"/>
      <c r="N20" s="62"/>
      <c r="O20" s="62"/>
      <c r="P20" s="62"/>
      <c r="R20" s="6"/>
      <c r="S20" s="65"/>
      <c r="AN20" s="6"/>
      <c r="AO20" s="6"/>
      <c r="AS20" s="6"/>
      <c r="AT20" s="6"/>
      <c r="AU20" s="6"/>
    </row>
    <row r="21" spans="3:47" x14ac:dyDescent="0.25">
      <c r="C21" s="56"/>
      <c r="D21" s="56"/>
      <c r="E21" s="56"/>
      <c r="F21" s="56"/>
      <c r="G21" s="56"/>
      <c r="H21" s="56"/>
      <c r="I21" s="56"/>
      <c r="J21" s="56"/>
      <c r="K21" s="56"/>
      <c r="L21" s="56"/>
      <c r="M21" s="56"/>
      <c r="N21" s="62"/>
      <c r="O21" s="62"/>
      <c r="P21" s="62"/>
      <c r="R21" s="6"/>
      <c r="S21" s="65"/>
      <c r="AN21" s="6"/>
      <c r="AO21" s="6"/>
      <c r="AS21" s="6"/>
      <c r="AT21" s="6"/>
      <c r="AU21" s="6"/>
    </row>
    <row r="22" spans="3:47" x14ac:dyDescent="0.25">
      <c r="C22" s="56"/>
      <c r="D22" s="56"/>
      <c r="E22" s="56"/>
      <c r="F22" s="56"/>
      <c r="G22" s="56"/>
      <c r="H22" s="56"/>
      <c r="I22" s="56"/>
      <c r="J22" s="56"/>
      <c r="K22" s="56"/>
      <c r="L22" s="56"/>
      <c r="M22" s="56"/>
      <c r="N22" s="62"/>
      <c r="O22" s="62"/>
      <c r="P22" s="62"/>
      <c r="R22" s="6"/>
      <c r="S22" s="65"/>
      <c r="AN22" s="6"/>
      <c r="AO22" s="6"/>
      <c r="AS22" s="6"/>
      <c r="AT22" s="6"/>
      <c r="AU22" s="6"/>
    </row>
    <row r="23" spans="3:47" x14ac:dyDescent="0.25">
      <c r="C23" s="56"/>
      <c r="D23" s="56"/>
      <c r="E23" s="56"/>
      <c r="F23" s="56"/>
      <c r="G23" s="56"/>
      <c r="H23" s="56"/>
      <c r="I23" s="56"/>
      <c r="J23" s="56"/>
      <c r="K23" s="56"/>
      <c r="L23" s="56"/>
      <c r="M23" s="56"/>
      <c r="N23" s="62"/>
      <c r="O23" s="62"/>
      <c r="P23" s="62"/>
      <c r="R23" s="6"/>
      <c r="S23" s="65"/>
      <c r="AN23" s="6"/>
      <c r="AO23" s="6"/>
      <c r="AS23" s="6"/>
      <c r="AT23" s="6"/>
      <c r="AU23" s="6"/>
    </row>
    <row r="24" spans="3:47" x14ac:dyDescent="0.25">
      <c r="C24" s="56"/>
      <c r="D24" s="56"/>
      <c r="E24" s="56"/>
      <c r="F24" s="56"/>
      <c r="G24" s="56"/>
      <c r="H24" s="56"/>
      <c r="I24" s="56"/>
      <c r="J24" s="56"/>
      <c r="K24" s="56"/>
      <c r="L24" s="56"/>
      <c r="M24" s="56"/>
      <c r="N24" s="62"/>
      <c r="O24" s="62"/>
      <c r="P24" s="62"/>
      <c r="R24" s="6"/>
      <c r="S24" s="65"/>
      <c r="AN24" s="6"/>
      <c r="AO24" s="6"/>
      <c r="AS24" s="6"/>
      <c r="AT24" s="6"/>
      <c r="AU24" s="6"/>
    </row>
    <row r="25" spans="3:47" x14ac:dyDescent="0.25">
      <c r="C25" s="56"/>
      <c r="D25" s="56"/>
      <c r="E25" s="56"/>
      <c r="F25" s="56"/>
      <c r="G25" s="56"/>
      <c r="H25" s="56"/>
      <c r="I25" s="56"/>
      <c r="J25" s="56"/>
      <c r="K25" s="56"/>
      <c r="L25" s="56"/>
      <c r="M25" s="56"/>
      <c r="N25" s="62"/>
      <c r="O25" s="62"/>
      <c r="P25" s="62"/>
      <c r="R25" s="6"/>
      <c r="S25" s="65"/>
      <c r="AN25" s="6"/>
      <c r="AO25" s="6"/>
      <c r="AS25" s="6"/>
      <c r="AT25" s="6"/>
      <c r="AU25" s="6"/>
    </row>
    <row r="26" spans="3:47" x14ac:dyDescent="0.25">
      <c r="C26" s="56"/>
      <c r="D26" s="56"/>
      <c r="E26" s="56"/>
      <c r="F26" s="56"/>
      <c r="G26" s="56"/>
      <c r="H26" s="56"/>
      <c r="I26" s="56"/>
      <c r="J26" s="56"/>
      <c r="K26" s="56"/>
      <c r="L26" s="56"/>
      <c r="M26" s="56"/>
      <c r="N26" s="62"/>
      <c r="O26" s="62"/>
      <c r="P26" s="62"/>
      <c r="R26" s="6"/>
      <c r="S26" s="65"/>
      <c r="AN26" s="6"/>
      <c r="AO26" s="6"/>
      <c r="AS26" s="6"/>
      <c r="AT26" s="6"/>
      <c r="AU26" s="6"/>
    </row>
    <row r="27" spans="3:47" x14ac:dyDescent="0.25">
      <c r="C27" s="56"/>
      <c r="D27" s="56"/>
      <c r="E27" s="56"/>
      <c r="F27" s="56"/>
      <c r="G27" s="56"/>
      <c r="H27" s="56"/>
      <c r="I27" s="56"/>
      <c r="J27" s="56"/>
      <c r="K27" s="56"/>
      <c r="L27" s="56"/>
      <c r="M27" s="56"/>
      <c r="N27" s="62"/>
      <c r="O27" s="62"/>
      <c r="P27" s="62"/>
      <c r="R27" s="6"/>
      <c r="S27" s="65"/>
      <c r="AN27" s="6"/>
      <c r="AO27" s="6"/>
      <c r="AS27" s="6"/>
      <c r="AT27" s="6"/>
      <c r="AU27" s="6"/>
    </row>
    <row r="28" spans="3:47" x14ac:dyDescent="0.25">
      <c r="C28" s="56"/>
      <c r="D28" s="56"/>
      <c r="E28" s="56"/>
      <c r="F28" s="56"/>
      <c r="G28" s="56"/>
      <c r="H28" s="56"/>
      <c r="I28" s="56"/>
      <c r="J28" s="56"/>
      <c r="K28" s="56"/>
      <c r="L28" s="56"/>
      <c r="M28" s="56"/>
      <c r="N28" s="62"/>
      <c r="O28" s="62"/>
      <c r="P28" s="62"/>
      <c r="R28" s="6"/>
      <c r="S28" s="65"/>
      <c r="AN28" s="6"/>
      <c r="AO28" s="6"/>
      <c r="AS28" s="6"/>
      <c r="AT28" s="6"/>
      <c r="AU28" s="6"/>
    </row>
    <row r="29" spans="3:47" x14ac:dyDescent="0.25">
      <c r="C29" s="56"/>
      <c r="D29" s="56"/>
      <c r="E29" s="56"/>
      <c r="F29" s="56"/>
      <c r="G29" s="56"/>
      <c r="H29" s="56"/>
      <c r="I29" s="56"/>
      <c r="J29" s="56"/>
      <c r="K29" s="56"/>
      <c r="L29" s="56"/>
      <c r="M29" s="56"/>
      <c r="N29" s="62"/>
      <c r="O29" s="62"/>
      <c r="P29" s="62"/>
      <c r="R29" s="6"/>
      <c r="S29" s="65"/>
      <c r="AN29" s="6"/>
      <c r="AO29" s="6"/>
      <c r="AS29" s="6"/>
      <c r="AT29" s="6"/>
      <c r="AU29" s="6"/>
    </row>
    <row r="30" spans="3:47" x14ac:dyDescent="0.25">
      <c r="C30" s="56"/>
      <c r="D30" s="56"/>
      <c r="E30" s="56"/>
      <c r="F30" s="56"/>
      <c r="G30" s="56"/>
      <c r="H30" s="56"/>
      <c r="I30" s="56"/>
      <c r="J30" s="56"/>
      <c r="K30" s="56"/>
      <c r="L30" s="56"/>
      <c r="M30" s="56"/>
      <c r="N30" s="62"/>
      <c r="O30" s="62"/>
      <c r="P30" s="62"/>
      <c r="R30" s="6"/>
      <c r="S30" s="65"/>
      <c r="AN30" s="6"/>
      <c r="AO30" s="6"/>
      <c r="AS30" s="6"/>
      <c r="AT30" s="6"/>
      <c r="AU30" s="6"/>
    </row>
    <row r="31" spans="3:47" x14ac:dyDescent="0.25">
      <c r="C31" s="56"/>
      <c r="D31" s="56"/>
      <c r="E31" s="56"/>
      <c r="F31" s="56"/>
      <c r="G31" s="56"/>
      <c r="H31" s="56"/>
      <c r="I31" s="56"/>
      <c r="J31" s="56"/>
      <c r="K31" s="56"/>
      <c r="L31" s="56"/>
      <c r="M31" s="56"/>
      <c r="N31" s="62"/>
      <c r="O31" s="62"/>
      <c r="P31" s="62"/>
      <c r="R31" s="6"/>
      <c r="S31" s="65"/>
    </row>
    <row r="32" spans="3:47" x14ac:dyDescent="0.25">
      <c r="C32" s="56"/>
      <c r="D32" s="56"/>
      <c r="E32" s="56"/>
      <c r="F32" s="56"/>
      <c r="G32" s="56"/>
      <c r="H32" s="56"/>
      <c r="I32" s="56"/>
      <c r="J32" s="56"/>
      <c r="K32" s="56"/>
      <c r="L32" s="56"/>
      <c r="M32" s="56"/>
      <c r="N32" s="62"/>
      <c r="O32" s="62"/>
      <c r="P32" s="62"/>
      <c r="R32" s="6"/>
      <c r="S32" s="65"/>
    </row>
    <row r="33" spans="3:19" x14ac:dyDescent="0.25">
      <c r="C33" s="56"/>
      <c r="D33" s="56"/>
      <c r="E33" s="56"/>
      <c r="F33" s="56"/>
      <c r="G33" s="56"/>
      <c r="H33" s="56"/>
      <c r="I33" s="56"/>
      <c r="J33" s="56"/>
      <c r="K33" s="56"/>
      <c r="L33" s="56"/>
      <c r="M33" s="56"/>
      <c r="N33" s="62"/>
      <c r="O33" s="62"/>
      <c r="P33" s="62"/>
      <c r="R33" s="6"/>
      <c r="S33" s="65"/>
    </row>
    <row r="34" spans="3:19" x14ac:dyDescent="0.25">
      <c r="C34" s="56"/>
      <c r="D34" s="56"/>
      <c r="E34" s="56"/>
      <c r="F34" s="56"/>
      <c r="G34" s="56"/>
      <c r="H34" s="56"/>
      <c r="I34" s="56"/>
      <c r="J34" s="56"/>
      <c r="K34" s="56"/>
      <c r="L34" s="56"/>
      <c r="M34" s="56"/>
      <c r="N34" s="62"/>
      <c r="O34" s="62"/>
      <c r="P34" s="62"/>
      <c r="R34" s="6"/>
      <c r="S34" s="65"/>
    </row>
    <row r="35" spans="3:19" x14ac:dyDescent="0.25">
      <c r="C35" s="56"/>
      <c r="D35" s="56"/>
      <c r="E35" s="56"/>
      <c r="F35" s="56"/>
      <c r="G35" s="56"/>
      <c r="H35" s="56"/>
      <c r="I35" s="56"/>
      <c r="J35" s="56"/>
      <c r="K35" s="56"/>
      <c r="L35" s="56"/>
      <c r="M35" s="56"/>
      <c r="N35" s="62"/>
      <c r="O35" s="62"/>
      <c r="P35" s="62"/>
      <c r="R35" s="6"/>
      <c r="S35" s="65"/>
    </row>
    <row r="36" spans="3:19" x14ac:dyDescent="0.25">
      <c r="C36" s="56"/>
      <c r="D36" s="56"/>
      <c r="E36" s="56"/>
      <c r="F36" s="56"/>
      <c r="G36" s="56"/>
      <c r="H36" s="56"/>
      <c r="I36" s="56"/>
      <c r="J36" s="56"/>
      <c r="K36" s="56"/>
      <c r="L36" s="56"/>
      <c r="M36" s="56"/>
      <c r="N36" s="62"/>
      <c r="O36" s="62"/>
      <c r="P36" s="62"/>
      <c r="R36" s="6"/>
      <c r="S36" s="65"/>
    </row>
    <row r="37" spans="3:19" x14ac:dyDescent="0.25">
      <c r="C37" s="56"/>
      <c r="D37" s="56"/>
      <c r="E37" s="56"/>
      <c r="F37" s="56"/>
      <c r="G37" s="56"/>
      <c r="H37" s="56"/>
      <c r="I37" s="56"/>
      <c r="J37" s="56"/>
      <c r="K37" s="56"/>
      <c r="L37" s="56"/>
      <c r="M37" s="56"/>
      <c r="N37" s="62"/>
      <c r="O37" s="62"/>
      <c r="P37" s="62"/>
      <c r="R37" s="6"/>
      <c r="S37" s="65"/>
    </row>
    <row r="38" spans="3:19" x14ac:dyDescent="0.25">
      <c r="C38" s="56"/>
      <c r="D38" s="56"/>
      <c r="E38" s="56"/>
      <c r="F38" s="56"/>
      <c r="G38" s="56"/>
      <c r="H38" s="56"/>
      <c r="I38" s="56"/>
      <c r="J38" s="56"/>
      <c r="K38" s="56"/>
      <c r="L38" s="56"/>
      <c r="M38" s="56"/>
      <c r="N38" s="62"/>
      <c r="O38" s="62"/>
      <c r="P38" s="62"/>
      <c r="R38" s="6"/>
      <c r="S38" s="65"/>
    </row>
    <row r="39" spans="3:19" x14ac:dyDescent="0.25">
      <c r="C39" s="56"/>
      <c r="D39" s="56"/>
      <c r="E39" s="56"/>
      <c r="F39" s="56"/>
      <c r="G39" s="56"/>
      <c r="H39" s="56"/>
      <c r="I39" s="56"/>
      <c r="J39" s="56"/>
      <c r="K39" s="56"/>
      <c r="L39" s="56"/>
      <c r="M39" s="56"/>
      <c r="N39" s="62"/>
      <c r="O39" s="62"/>
      <c r="P39" s="62"/>
      <c r="R39" s="6"/>
      <c r="S39" s="65"/>
    </row>
    <row r="40" spans="3:19" x14ac:dyDescent="0.25">
      <c r="C40" s="56"/>
      <c r="D40" s="56"/>
      <c r="E40" s="56"/>
      <c r="F40" s="56"/>
      <c r="G40" s="56"/>
      <c r="H40" s="56"/>
      <c r="I40" s="56"/>
      <c r="J40" s="56"/>
      <c r="K40" s="56"/>
      <c r="L40" s="56"/>
      <c r="M40" s="56"/>
      <c r="N40" s="62"/>
      <c r="O40" s="62"/>
      <c r="P40" s="62"/>
      <c r="R40" s="6"/>
      <c r="S40" s="65"/>
    </row>
    <row r="41" spans="3:19" x14ac:dyDescent="0.25">
      <c r="C41" s="56"/>
      <c r="D41" s="56"/>
      <c r="E41" s="56"/>
      <c r="F41" s="56"/>
      <c r="G41" s="56"/>
      <c r="H41" s="56"/>
      <c r="I41" s="56"/>
      <c r="J41" s="56"/>
      <c r="K41" s="56"/>
      <c r="L41" s="56"/>
      <c r="M41" s="56"/>
      <c r="N41" s="62"/>
      <c r="O41" s="62"/>
      <c r="P41" s="62"/>
      <c r="R41" s="6"/>
      <c r="S41" s="65"/>
    </row>
    <row r="42" spans="3:19" x14ac:dyDescent="0.25">
      <c r="C42" s="56"/>
      <c r="D42" s="56"/>
      <c r="E42" s="56"/>
      <c r="F42" s="56"/>
      <c r="G42" s="56"/>
      <c r="H42" s="56"/>
      <c r="I42" s="56"/>
      <c r="J42" s="56"/>
      <c r="K42" s="56"/>
      <c r="L42" s="56"/>
      <c r="M42" s="56"/>
      <c r="N42" s="62"/>
      <c r="O42" s="62"/>
      <c r="P42" s="62"/>
      <c r="R42" s="6"/>
      <c r="S42" s="65"/>
    </row>
    <row r="43" spans="3:19" x14ac:dyDescent="0.25">
      <c r="C43" s="56"/>
      <c r="D43" s="56"/>
      <c r="E43" s="56"/>
      <c r="F43" s="56"/>
      <c r="G43" s="56"/>
      <c r="H43" s="56"/>
      <c r="I43" s="56"/>
      <c r="J43" s="56"/>
      <c r="K43" s="56"/>
      <c r="L43" s="56"/>
      <c r="M43" s="56"/>
      <c r="N43" s="62"/>
      <c r="O43" s="62"/>
      <c r="P43" s="62"/>
      <c r="R43" s="6"/>
      <c r="S43" s="65"/>
    </row>
    <row r="44" spans="3:19" x14ac:dyDescent="0.25">
      <c r="C44" s="56"/>
      <c r="D44" s="56"/>
      <c r="E44" s="56"/>
      <c r="F44" s="56"/>
      <c r="G44" s="56"/>
      <c r="H44" s="56"/>
      <c r="I44" s="56"/>
      <c r="J44" s="56"/>
      <c r="K44" s="56"/>
      <c r="L44" s="56"/>
      <c r="M44" s="56"/>
      <c r="N44" s="62"/>
      <c r="O44" s="62"/>
      <c r="P44" s="62"/>
      <c r="R44" s="6"/>
      <c r="S44" s="65"/>
    </row>
    <row r="45" spans="3:19" x14ac:dyDescent="0.25">
      <c r="C45" s="56"/>
      <c r="D45" s="56"/>
      <c r="E45" s="56"/>
      <c r="F45" s="56"/>
      <c r="G45" s="56"/>
      <c r="H45" s="56"/>
      <c r="I45" s="56"/>
      <c r="J45" s="56"/>
      <c r="K45" s="56"/>
      <c r="L45" s="56"/>
      <c r="M45" s="56"/>
      <c r="N45" s="62"/>
      <c r="O45" s="62"/>
      <c r="P45" s="62"/>
      <c r="R45" s="6"/>
      <c r="S45" s="65"/>
    </row>
    <row r="46" spans="3:19" x14ac:dyDescent="0.25">
      <c r="C46" s="56"/>
      <c r="D46" s="56"/>
      <c r="E46" s="56"/>
      <c r="F46" s="56"/>
      <c r="G46" s="56"/>
      <c r="H46" s="56"/>
      <c r="I46" s="56"/>
      <c r="J46" s="56"/>
      <c r="K46" s="56"/>
      <c r="L46" s="56"/>
      <c r="M46" s="56"/>
      <c r="N46" s="62"/>
      <c r="O46" s="62"/>
      <c r="P46" s="62"/>
      <c r="R46" s="6"/>
      <c r="S46" s="65"/>
    </row>
    <row r="47" spans="3:19" x14ac:dyDescent="0.25">
      <c r="C47" s="56"/>
      <c r="D47" s="56"/>
      <c r="E47" s="56"/>
      <c r="F47" s="56"/>
      <c r="G47" s="56"/>
      <c r="H47" s="56"/>
      <c r="I47" s="56"/>
      <c r="J47" s="56"/>
      <c r="K47" s="56"/>
      <c r="L47" s="56"/>
      <c r="M47" s="56"/>
      <c r="N47" s="62"/>
      <c r="O47" s="62"/>
      <c r="P47" s="62"/>
      <c r="R47" s="6"/>
      <c r="S47" s="65"/>
    </row>
    <row r="48" spans="3:19" x14ac:dyDescent="0.25">
      <c r="C48" s="56"/>
      <c r="D48" s="56"/>
      <c r="E48" s="56"/>
      <c r="F48" s="56"/>
      <c r="G48" s="56"/>
      <c r="H48" s="56"/>
      <c r="I48" s="56"/>
      <c r="J48" s="56"/>
      <c r="K48" s="56"/>
      <c r="L48" s="56"/>
      <c r="M48" s="56"/>
      <c r="N48" s="62"/>
      <c r="O48" s="62"/>
      <c r="P48" s="62"/>
      <c r="R48" s="6"/>
      <c r="S48" s="65"/>
    </row>
    <row r="49" spans="3:19" x14ac:dyDescent="0.25">
      <c r="C49" s="56"/>
      <c r="D49" s="56"/>
      <c r="E49" s="56"/>
      <c r="F49" s="56"/>
      <c r="G49" s="56"/>
      <c r="H49" s="56"/>
      <c r="I49" s="56"/>
      <c r="J49" s="56"/>
      <c r="K49" s="56"/>
      <c r="L49" s="56"/>
      <c r="M49" s="56"/>
      <c r="N49" s="62"/>
      <c r="O49" s="62"/>
      <c r="P49" s="62"/>
      <c r="R49" s="6"/>
      <c r="S49" s="65"/>
    </row>
    <row r="50" spans="3:19" x14ac:dyDescent="0.25">
      <c r="C50" s="56"/>
      <c r="D50" s="56"/>
      <c r="E50" s="56"/>
      <c r="F50" s="56"/>
      <c r="G50" s="56"/>
      <c r="H50" s="56"/>
      <c r="I50" s="56"/>
      <c r="J50" s="56"/>
      <c r="K50" s="56"/>
      <c r="L50" s="56"/>
      <c r="M50" s="56"/>
      <c r="N50" s="62"/>
      <c r="O50" s="62"/>
      <c r="P50" s="62"/>
      <c r="R50" s="6"/>
      <c r="S50" s="65"/>
    </row>
    <row r="51" spans="3:19" x14ac:dyDescent="0.25">
      <c r="C51" s="56"/>
      <c r="D51" s="56"/>
      <c r="E51" s="56"/>
      <c r="F51" s="56"/>
      <c r="G51" s="56"/>
      <c r="H51" s="56"/>
      <c r="I51" s="56"/>
      <c r="J51" s="56"/>
      <c r="K51" s="56"/>
      <c r="L51" s="56"/>
      <c r="M51" s="56"/>
      <c r="N51" s="62"/>
      <c r="O51" s="62"/>
      <c r="P51" s="62"/>
      <c r="R51" s="6"/>
      <c r="S51" s="65"/>
    </row>
    <row r="52" spans="3:19" x14ac:dyDescent="0.25">
      <c r="C52" s="56"/>
      <c r="D52" s="56"/>
      <c r="E52" s="56"/>
      <c r="F52" s="56"/>
      <c r="G52" s="56"/>
      <c r="H52" s="56"/>
      <c r="I52" s="56"/>
      <c r="J52" s="56"/>
      <c r="K52" s="56"/>
      <c r="L52" s="56"/>
      <c r="M52" s="56"/>
      <c r="N52" s="62"/>
      <c r="O52" s="62"/>
      <c r="P52" s="62"/>
      <c r="R52" s="6"/>
      <c r="S52" s="65"/>
    </row>
    <row r="53" spans="3:19" x14ac:dyDescent="0.25">
      <c r="C53" s="56"/>
      <c r="D53" s="56"/>
      <c r="E53" s="56"/>
      <c r="F53" s="56"/>
      <c r="G53" s="56"/>
      <c r="H53" s="56"/>
      <c r="I53" s="56"/>
      <c r="J53" s="56"/>
      <c r="K53" s="56"/>
      <c r="L53" s="56"/>
      <c r="M53" s="56"/>
      <c r="N53" s="62"/>
      <c r="O53" s="62"/>
      <c r="P53" s="62"/>
      <c r="R53" s="6"/>
      <c r="S53" s="65"/>
    </row>
    <row r="54" spans="3:19" x14ac:dyDescent="0.25">
      <c r="C54" s="56"/>
      <c r="D54" s="56"/>
      <c r="E54" s="56"/>
      <c r="F54" s="56"/>
      <c r="G54" s="56"/>
      <c r="H54" s="56"/>
      <c r="I54" s="56"/>
      <c r="J54" s="56"/>
      <c r="K54" s="56"/>
      <c r="L54" s="56"/>
      <c r="M54" s="56"/>
      <c r="N54" s="62"/>
      <c r="O54" s="62"/>
      <c r="P54" s="62"/>
      <c r="R54" s="6"/>
      <c r="S54" s="65"/>
    </row>
    <row r="55" spans="3:19" x14ac:dyDescent="0.25">
      <c r="C55" s="56"/>
      <c r="D55" s="56"/>
      <c r="E55" s="56"/>
      <c r="F55" s="56"/>
      <c r="G55" s="56"/>
      <c r="H55" s="56"/>
      <c r="I55" s="56"/>
      <c r="J55" s="56"/>
      <c r="K55" s="56"/>
      <c r="L55" s="56"/>
      <c r="M55" s="56"/>
      <c r="N55" s="62"/>
      <c r="O55" s="62"/>
      <c r="P55" s="62"/>
      <c r="R55" s="6"/>
      <c r="S55" s="65"/>
    </row>
    <row r="56" spans="3:19" x14ac:dyDescent="0.25">
      <c r="C56" s="56"/>
      <c r="D56" s="56"/>
      <c r="E56" s="56"/>
      <c r="F56" s="56"/>
      <c r="G56" s="56"/>
      <c r="H56" s="56"/>
      <c r="I56" s="56"/>
      <c r="J56" s="56"/>
      <c r="K56" s="56"/>
      <c r="L56" s="56"/>
      <c r="M56" s="56"/>
      <c r="N56" s="62"/>
      <c r="O56" s="62"/>
      <c r="P56" s="62"/>
      <c r="R56" s="6"/>
      <c r="S56" s="65"/>
    </row>
    <row r="57" spans="3:19" x14ac:dyDescent="0.25">
      <c r="C57" s="56"/>
      <c r="D57" s="56"/>
      <c r="E57" s="56"/>
      <c r="F57" s="56"/>
      <c r="G57" s="56"/>
      <c r="H57" s="56"/>
      <c r="I57" s="56"/>
      <c r="J57" s="56"/>
      <c r="K57" s="56"/>
      <c r="L57" s="56"/>
      <c r="M57" s="56"/>
      <c r="N57" s="62"/>
      <c r="O57" s="62"/>
      <c r="P57" s="62"/>
      <c r="R57" s="6"/>
      <c r="S57" s="65"/>
    </row>
    <row r="58" spans="3:19" x14ac:dyDescent="0.25">
      <c r="C58" s="56"/>
      <c r="D58" s="56"/>
      <c r="E58" s="56"/>
      <c r="F58" s="56"/>
      <c r="G58" s="56"/>
      <c r="H58" s="56"/>
      <c r="I58" s="56"/>
      <c r="J58" s="56"/>
      <c r="K58" s="56"/>
      <c r="L58" s="56"/>
      <c r="M58" s="56"/>
      <c r="N58" s="62"/>
      <c r="O58" s="62"/>
      <c r="P58" s="62"/>
      <c r="R58" s="6"/>
      <c r="S58" s="65"/>
    </row>
    <row r="59" spans="3:19" x14ac:dyDescent="0.25">
      <c r="C59" s="56"/>
      <c r="D59" s="56"/>
      <c r="E59" s="56"/>
      <c r="F59" s="56"/>
      <c r="G59" s="56"/>
      <c r="H59" s="56"/>
      <c r="I59" s="56"/>
      <c r="J59" s="56"/>
      <c r="K59" s="56"/>
      <c r="L59" s="56"/>
      <c r="M59" s="56"/>
      <c r="N59" s="62"/>
      <c r="O59" s="62"/>
      <c r="P59" s="62"/>
      <c r="R59" s="6"/>
      <c r="S59" s="65"/>
    </row>
    <row r="60" spans="3:19" x14ac:dyDescent="0.25">
      <c r="C60" s="56"/>
      <c r="D60" s="56"/>
      <c r="E60" s="56"/>
      <c r="F60" s="56"/>
      <c r="G60" s="56"/>
      <c r="H60" s="56"/>
      <c r="I60" s="56"/>
      <c r="J60" s="56"/>
      <c r="K60" s="56"/>
      <c r="L60" s="56"/>
      <c r="M60" s="56"/>
      <c r="N60" s="62"/>
      <c r="O60" s="62"/>
      <c r="P60" s="62"/>
      <c r="R60" s="6"/>
      <c r="S60" s="65"/>
    </row>
    <row r="61" spans="3:19" x14ac:dyDescent="0.25">
      <c r="C61" s="56"/>
      <c r="D61" s="56"/>
      <c r="E61" s="56"/>
      <c r="F61" s="56"/>
      <c r="G61" s="56"/>
      <c r="H61" s="56"/>
      <c r="I61" s="56"/>
      <c r="J61" s="56"/>
      <c r="K61" s="56"/>
      <c r="L61" s="56"/>
      <c r="M61" s="56"/>
      <c r="N61" s="62"/>
      <c r="O61" s="62"/>
      <c r="P61" s="62"/>
      <c r="R61" s="6"/>
      <c r="S61" s="65"/>
    </row>
    <row r="62" spans="3:19" x14ac:dyDescent="0.25">
      <c r="C62" s="56"/>
      <c r="D62" s="56"/>
      <c r="E62" s="56"/>
      <c r="F62" s="56"/>
      <c r="G62" s="56"/>
      <c r="H62" s="56"/>
      <c r="I62" s="56"/>
      <c r="J62" s="56"/>
      <c r="K62" s="56"/>
      <c r="L62" s="56"/>
      <c r="M62" s="56"/>
      <c r="N62" s="62"/>
      <c r="O62" s="62"/>
      <c r="P62" s="62"/>
      <c r="R62" s="6"/>
      <c r="S62" s="65"/>
    </row>
    <row r="63" spans="3:19" x14ac:dyDescent="0.25">
      <c r="C63" s="56"/>
      <c r="D63" s="56"/>
      <c r="E63" s="56"/>
      <c r="F63" s="56"/>
      <c r="G63" s="56"/>
      <c r="H63" s="56"/>
      <c r="I63" s="56"/>
      <c r="J63" s="56"/>
      <c r="K63" s="56"/>
      <c r="L63" s="56"/>
      <c r="M63" s="56"/>
      <c r="N63" s="62"/>
      <c r="O63" s="62"/>
      <c r="P63" s="62"/>
      <c r="R63" s="6"/>
      <c r="S63" s="65"/>
    </row>
    <row r="64" spans="3:19" x14ac:dyDescent="0.25">
      <c r="C64" s="56"/>
      <c r="D64" s="56"/>
      <c r="E64" s="56"/>
      <c r="F64" s="56"/>
      <c r="G64" s="56"/>
      <c r="H64" s="56"/>
      <c r="I64" s="56"/>
      <c r="J64" s="56"/>
      <c r="K64" s="56"/>
      <c r="L64" s="56"/>
      <c r="M64" s="56"/>
      <c r="N64" s="62"/>
      <c r="O64" s="62"/>
      <c r="P64" s="62"/>
      <c r="R64" s="6"/>
      <c r="S64" s="65"/>
    </row>
    <row r="65" spans="3:19" x14ac:dyDescent="0.25">
      <c r="C65" s="56"/>
      <c r="D65" s="56"/>
      <c r="E65" s="56"/>
      <c r="F65" s="56"/>
      <c r="G65" s="56"/>
      <c r="H65" s="56"/>
      <c r="I65" s="56"/>
      <c r="J65" s="56"/>
      <c r="K65" s="56"/>
      <c r="L65" s="56"/>
      <c r="M65" s="56"/>
      <c r="N65" s="62"/>
      <c r="O65" s="62"/>
      <c r="P65" s="62"/>
      <c r="R65" s="6"/>
      <c r="S65" s="65"/>
    </row>
    <row r="66" spans="3:19" x14ac:dyDescent="0.25">
      <c r="C66" s="56"/>
      <c r="D66" s="56"/>
      <c r="E66" s="56"/>
      <c r="F66" s="56"/>
      <c r="G66" s="56"/>
      <c r="H66" s="56"/>
      <c r="I66" s="56"/>
      <c r="J66" s="56"/>
      <c r="K66" s="56"/>
      <c r="L66" s="56"/>
      <c r="M66" s="56"/>
      <c r="N66" s="62"/>
      <c r="O66" s="62"/>
      <c r="P66" s="62"/>
      <c r="R66" s="6"/>
      <c r="S66" s="65"/>
    </row>
    <row r="67" spans="3:19" x14ac:dyDescent="0.25">
      <c r="C67" s="56"/>
      <c r="D67" s="56"/>
      <c r="E67" s="56"/>
      <c r="F67" s="56"/>
      <c r="G67" s="56"/>
      <c r="H67" s="56"/>
      <c r="I67" s="56"/>
      <c r="J67" s="56"/>
      <c r="K67" s="56"/>
      <c r="L67" s="56"/>
      <c r="M67" s="56"/>
      <c r="N67" s="62"/>
      <c r="O67" s="62"/>
      <c r="P67" s="62"/>
      <c r="R67" s="6"/>
      <c r="S67" s="65"/>
    </row>
    <row r="68" spans="3:19" x14ac:dyDescent="0.25">
      <c r="C68" s="56"/>
      <c r="D68" s="56"/>
      <c r="E68" s="56"/>
      <c r="F68" s="56"/>
      <c r="G68" s="56"/>
      <c r="H68" s="56"/>
      <c r="I68" s="56"/>
      <c r="J68" s="56"/>
      <c r="K68" s="56"/>
      <c r="L68" s="56"/>
      <c r="M68" s="56"/>
      <c r="N68" s="62"/>
      <c r="O68" s="62"/>
      <c r="P68" s="62"/>
      <c r="R68" s="6"/>
      <c r="S68" s="65"/>
    </row>
    <row r="69" spans="3:19" x14ac:dyDescent="0.25">
      <c r="C69" s="56"/>
      <c r="D69" s="56"/>
      <c r="E69" s="56"/>
      <c r="F69" s="56"/>
      <c r="G69" s="56"/>
      <c r="H69" s="56"/>
      <c r="I69" s="56"/>
      <c r="J69" s="56"/>
      <c r="K69" s="56"/>
      <c r="L69" s="56"/>
      <c r="M69" s="56"/>
      <c r="N69" s="62"/>
      <c r="O69" s="62"/>
      <c r="P69" s="62"/>
      <c r="R69" s="6"/>
      <c r="S69" s="65"/>
    </row>
    <row r="70" spans="3:19" x14ac:dyDescent="0.25">
      <c r="C70" s="56"/>
      <c r="D70" s="56"/>
      <c r="E70" s="56"/>
      <c r="F70" s="56"/>
      <c r="G70" s="56"/>
      <c r="H70" s="56"/>
      <c r="I70" s="56"/>
      <c r="J70" s="56"/>
      <c r="K70" s="56"/>
      <c r="L70" s="56"/>
      <c r="M70" s="56"/>
      <c r="N70" s="62"/>
      <c r="O70" s="62"/>
      <c r="P70" s="62"/>
      <c r="R70" s="6"/>
      <c r="S70" s="65"/>
    </row>
    <row r="71" spans="3:19" x14ac:dyDescent="0.25">
      <c r="C71" s="56"/>
      <c r="D71" s="56"/>
      <c r="E71" s="56"/>
      <c r="F71" s="56"/>
      <c r="G71" s="56"/>
      <c r="H71" s="56"/>
      <c r="I71" s="56"/>
      <c r="J71" s="56"/>
      <c r="K71" s="56"/>
      <c r="L71" s="56"/>
      <c r="M71" s="56"/>
      <c r="N71" s="62"/>
      <c r="O71" s="62"/>
      <c r="P71" s="62"/>
      <c r="R71" s="6"/>
      <c r="S71" s="65"/>
    </row>
    <row r="72" spans="3:19" x14ac:dyDescent="0.25">
      <c r="C72" s="56"/>
      <c r="D72" s="56"/>
      <c r="E72" s="56"/>
      <c r="F72" s="56"/>
      <c r="G72" s="56"/>
      <c r="H72" s="56"/>
      <c r="I72" s="56"/>
      <c r="J72" s="56"/>
      <c r="K72" s="56"/>
      <c r="L72" s="56"/>
      <c r="M72" s="56"/>
      <c r="N72" s="62"/>
      <c r="O72" s="62"/>
      <c r="P72" s="62"/>
      <c r="R72" s="6"/>
      <c r="S72" s="65"/>
    </row>
    <row r="73" spans="3:19" x14ac:dyDescent="0.25">
      <c r="C73" s="56"/>
      <c r="D73" s="56"/>
      <c r="E73" s="56"/>
      <c r="F73" s="56"/>
      <c r="G73" s="56"/>
      <c r="H73" s="56"/>
      <c r="I73" s="56"/>
      <c r="J73" s="56"/>
      <c r="K73" s="56"/>
      <c r="L73" s="56"/>
      <c r="M73" s="56"/>
      <c r="N73" s="62"/>
      <c r="O73" s="62"/>
      <c r="P73" s="62"/>
      <c r="R73" s="6"/>
      <c r="S73" s="65"/>
    </row>
    <row r="74" spans="3:19" x14ac:dyDescent="0.25">
      <c r="C74" s="56"/>
      <c r="D74" s="56"/>
      <c r="E74" s="56"/>
      <c r="F74" s="56"/>
      <c r="G74" s="56"/>
      <c r="H74" s="56"/>
      <c r="I74" s="56"/>
      <c r="J74" s="56"/>
      <c r="K74" s="56"/>
      <c r="L74" s="56"/>
      <c r="M74" s="56"/>
      <c r="N74" s="62"/>
      <c r="O74" s="62"/>
      <c r="P74" s="62"/>
      <c r="R74" s="6"/>
      <c r="S74" s="65"/>
    </row>
    <row r="75" spans="3:19" x14ac:dyDescent="0.25">
      <c r="C75" s="56"/>
      <c r="D75" s="56"/>
      <c r="E75" s="56"/>
      <c r="F75" s="56"/>
      <c r="G75" s="56"/>
      <c r="H75" s="56"/>
      <c r="I75" s="56"/>
      <c r="J75" s="56"/>
      <c r="K75" s="56"/>
      <c r="L75" s="56"/>
      <c r="M75" s="56"/>
      <c r="N75" s="62"/>
      <c r="O75" s="62"/>
      <c r="P75" s="62"/>
      <c r="R75" s="6"/>
      <c r="S75" s="65"/>
    </row>
    <row r="76" spans="3:19" x14ac:dyDescent="0.25">
      <c r="C76" s="56"/>
      <c r="D76" s="56"/>
      <c r="E76" s="56"/>
      <c r="F76" s="56"/>
      <c r="G76" s="56"/>
      <c r="H76" s="56"/>
      <c r="I76" s="56"/>
      <c r="J76" s="56"/>
      <c r="K76" s="56"/>
      <c r="L76" s="56"/>
      <c r="M76" s="56"/>
      <c r="N76" s="62"/>
      <c r="O76" s="62"/>
      <c r="P76" s="62"/>
      <c r="R76" s="6"/>
      <c r="S76" s="65"/>
    </row>
    <row r="77" spans="3:19" x14ac:dyDescent="0.25">
      <c r="C77" s="56"/>
      <c r="D77" s="56"/>
      <c r="E77" s="56"/>
      <c r="F77" s="56"/>
      <c r="G77" s="56"/>
      <c r="H77" s="56"/>
      <c r="I77" s="56"/>
      <c r="J77" s="56"/>
      <c r="K77" s="56"/>
      <c r="L77" s="56"/>
      <c r="M77" s="56"/>
      <c r="N77" s="62"/>
      <c r="O77" s="62"/>
      <c r="P77" s="62"/>
      <c r="R77" s="6"/>
      <c r="S77" s="65"/>
    </row>
    <row r="78" spans="3:19" x14ac:dyDescent="0.25">
      <c r="C78" s="56"/>
      <c r="D78" s="56"/>
      <c r="E78" s="56"/>
      <c r="F78" s="56"/>
      <c r="G78" s="56"/>
      <c r="H78" s="56"/>
      <c r="I78" s="56"/>
      <c r="J78" s="56"/>
      <c r="K78" s="56"/>
      <c r="L78" s="56"/>
      <c r="M78" s="56"/>
      <c r="N78" s="62"/>
      <c r="O78" s="62"/>
      <c r="P78" s="62"/>
      <c r="R78" s="6"/>
      <c r="S78" s="65"/>
    </row>
    <row r="79" spans="3:19" x14ac:dyDescent="0.25">
      <c r="C79" s="56"/>
      <c r="D79" s="56"/>
      <c r="E79" s="56"/>
      <c r="F79" s="56"/>
      <c r="G79" s="56"/>
      <c r="H79" s="56"/>
      <c r="I79" s="56"/>
      <c r="J79" s="56"/>
      <c r="K79" s="56"/>
      <c r="L79" s="56"/>
      <c r="M79" s="56"/>
      <c r="N79" s="62"/>
      <c r="O79" s="62"/>
      <c r="P79" s="62"/>
      <c r="R79" s="6"/>
      <c r="S79" s="65"/>
    </row>
    <row r="80" spans="3:19" x14ac:dyDescent="0.25">
      <c r="C80" s="56"/>
      <c r="D80" s="56"/>
      <c r="E80" s="56"/>
      <c r="F80" s="56"/>
      <c r="G80" s="56"/>
      <c r="H80" s="56"/>
      <c r="I80" s="56"/>
      <c r="J80" s="56"/>
      <c r="K80" s="56"/>
      <c r="L80" s="56"/>
      <c r="M80" s="56"/>
      <c r="N80" s="62"/>
      <c r="O80" s="62"/>
      <c r="P80" s="62"/>
      <c r="R80" s="6"/>
      <c r="S80" s="65"/>
    </row>
    <row r="81" spans="3:19" x14ac:dyDescent="0.25">
      <c r="C81" s="56"/>
      <c r="D81" s="56"/>
      <c r="E81" s="56"/>
      <c r="F81" s="56"/>
      <c r="G81" s="56"/>
      <c r="H81" s="56"/>
      <c r="I81" s="56"/>
      <c r="J81" s="56"/>
      <c r="K81" s="56"/>
      <c r="L81" s="56"/>
      <c r="M81" s="56"/>
      <c r="N81" s="62"/>
      <c r="O81" s="62"/>
      <c r="P81" s="62"/>
      <c r="R81" s="6"/>
      <c r="S81" s="65"/>
    </row>
    <row r="82" spans="3:19" x14ac:dyDescent="0.25">
      <c r="C82" s="56"/>
      <c r="D82" s="56"/>
      <c r="E82" s="56"/>
      <c r="F82" s="56"/>
      <c r="G82" s="56"/>
      <c r="H82" s="56"/>
      <c r="I82" s="56"/>
      <c r="J82" s="56"/>
      <c r="K82" s="56"/>
      <c r="L82" s="56"/>
      <c r="M82" s="56"/>
      <c r="N82" s="62"/>
      <c r="O82" s="62"/>
      <c r="P82" s="62"/>
      <c r="R82" s="6"/>
      <c r="S82" s="65"/>
    </row>
    <row r="83" spans="3:19" x14ac:dyDescent="0.25">
      <c r="C83" s="56"/>
      <c r="D83" s="56"/>
      <c r="E83" s="56"/>
      <c r="F83" s="56"/>
      <c r="G83" s="56"/>
      <c r="H83" s="56"/>
      <c r="I83" s="56"/>
      <c r="J83" s="56"/>
      <c r="K83" s="56"/>
      <c r="L83" s="56"/>
      <c r="M83" s="56"/>
      <c r="N83" s="62"/>
      <c r="O83" s="62"/>
      <c r="P83" s="62"/>
      <c r="R83" s="6"/>
      <c r="S83" s="65"/>
    </row>
    <row r="84" spans="3:19" x14ac:dyDescent="0.25">
      <c r="C84" s="56"/>
      <c r="D84" s="56"/>
      <c r="E84" s="56"/>
      <c r="F84" s="56"/>
      <c r="G84" s="56"/>
      <c r="H84" s="56"/>
      <c r="I84" s="56"/>
      <c r="J84" s="56"/>
      <c r="K84" s="56"/>
      <c r="L84" s="56"/>
      <c r="M84" s="56"/>
      <c r="N84" s="62"/>
      <c r="O84" s="62"/>
      <c r="P84" s="62"/>
      <c r="R84" s="6"/>
      <c r="S84" s="65"/>
    </row>
    <row r="85" spans="3:19" x14ac:dyDescent="0.25">
      <c r="C85" s="56"/>
      <c r="D85" s="56"/>
      <c r="E85" s="56"/>
      <c r="F85" s="56"/>
      <c r="G85" s="56"/>
      <c r="H85" s="56"/>
      <c r="I85" s="56"/>
      <c r="J85" s="56"/>
      <c r="K85" s="56"/>
      <c r="L85" s="56"/>
      <c r="M85" s="56"/>
      <c r="N85" s="62"/>
      <c r="O85" s="62"/>
      <c r="P85" s="62"/>
      <c r="R85" s="6"/>
      <c r="S85" s="65"/>
    </row>
    <row r="86" spans="3:19" x14ac:dyDescent="0.25">
      <c r="C86" s="56"/>
      <c r="D86" s="56"/>
      <c r="E86" s="56"/>
      <c r="F86" s="56"/>
      <c r="G86" s="56"/>
      <c r="H86" s="56"/>
      <c r="I86" s="56"/>
      <c r="J86" s="56"/>
      <c r="K86" s="56"/>
      <c r="L86" s="56"/>
      <c r="M86" s="56"/>
      <c r="N86" s="62"/>
      <c r="O86" s="62"/>
      <c r="P86" s="62"/>
      <c r="R86" s="6"/>
      <c r="S86" s="65"/>
    </row>
    <row r="87" spans="3:19" x14ac:dyDescent="0.25">
      <c r="C87" s="56"/>
      <c r="D87" s="56"/>
      <c r="E87" s="56"/>
      <c r="F87" s="56"/>
      <c r="G87" s="56"/>
      <c r="H87" s="56"/>
      <c r="I87" s="56"/>
      <c r="J87" s="56"/>
      <c r="K87" s="56"/>
      <c r="L87" s="56"/>
      <c r="M87" s="56"/>
      <c r="N87" s="62"/>
      <c r="O87" s="62"/>
      <c r="P87" s="62"/>
      <c r="R87" s="6"/>
      <c r="S87" s="65"/>
    </row>
    <row r="88" spans="3:19" x14ac:dyDescent="0.25">
      <c r="C88" s="56"/>
      <c r="D88" s="56"/>
      <c r="E88" s="56"/>
      <c r="F88" s="56"/>
      <c r="G88" s="56"/>
      <c r="H88" s="56"/>
      <c r="I88" s="56"/>
      <c r="J88" s="56"/>
      <c r="K88" s="56"/>
      <c r="L88" s="56"/>
      <c r="M88" s="56"/>
      <c r="N88" s="62"/>
      <c r="O88" s="62"/>
      <c r="P88" s="62"/>
      <c r="R88" s="6"/>
      <c r="S88" s="65"/>
    </row>
    <row r="89" spans="3:19" x14ac:dyDescent="0.25">
      <c r="C89" s="56"/>
      <c r="D89" s="56"/>
      <c r="E89" s="56"/>
      <c r="F89" s="56"/>
      <c r="G89" s="56"/>
      <c r="H89" s="56"/>
      <c r="I89" s="56"/>
      <c r="J89" s="56"/>
      <c r="K89" s="56"/>
      <c r="L89" s="56"/>
      <c r="M89" s="56"/>
      <c r="N89" s="62"/>
      <c r="O89" s="62"/>
      <c r="P89" s="62"/>
      <c r="R89" s="6"/>
      <c r="S89" s="65"/>
    </row>
    <row r="90" spans="3:19" x14ac:dyDescent="0.25">
      <c r="C90" s="56"/>
      <c r="D90" s="56"/>
      <c r="E90" s="56"/>
      <c r="F90" s="56"/>
      <c r="G90" s="56"/>
      <c r="H90" s="56"/>
      <c r="I90" s="56"/>
      <c r="J90" s="56"/>
      <c r="K90" s="56"/>
      <c r="L90" s="56"/>
      <c r="M90" s="56"/>
      <c r="N90" s="62"/>
      <c r="O90" s="62"/>
      <c r="P90" s="62"/>
      <c r="R90" s="6"/>
      <c r="S90" s="65"/>
    </row>
    <row r="91" spans="3:19" x14ac:dyDescent="0.25">
      <c r="C91" s="56"/>
      <c r="D91" s="56"/>
      <c r="E91" s="56"/>
      <c r="F91" s="56"/>
      <c r="G91" s="56"/>
      <c r="H91" s="56"/>
      <c r="I91" s="56"/>
      <c r="J91" s="56"/>
      <c r="K91" s="56"/>
      <c r="L91" s="56"/>
      <c r="M91" s="56"/>
      <c r="N91" s="62"/>
      <c r="O91" s="62"/>
      <c r="P91" s="62"/>
      <c r="R91" s="6"/>
      <c r="S91" s="65"/>
    </row>
    <row r="92" spans="3:19" x14ac:dyDescent="0.25">
      <c r="C92" s="56"/>
      <c r="D92" s="56"/>
      <c r="E92" s="56"/>
      <c r="F92" s="56"/>
      <c r="G92" s="56"/>
      <c r="H92" s="56"/>
      <c r="I92" s="56"/>
      <c r="J92" s="56"/>
      <c r="K92" s="56"/>
      <c r="L92" s="56"/>
      <c r="M92" s="56"/>
      <c r="N92" s="62"/>
      <c r="O92" s="62"/>
      <c r="P92" s="62"/>
      <c r="R92" s="6"/>
      <c r="S92" s="65"/>
    </row>
    <row r="93" spans="3:19" x14ac:dyDescent="0.25">
      <c r="C93" s="56"/>
      <c r="D93" s="56"/>
      <c r="E93" s="56"/>
      <c r="F93" s="56"/>
      <c r="G93" s="56"/>
      <c r="H93" s="56"/>
      <c r="I93" s="56"/>
      <c r="J93" s="56"/>
      <c r="K93" s="56"/>
      <c r="L93" s="56"/>
      <c r="M93" s="56"/>
      <c r="N93" s="62"/>
      <c r="O93" s="62"/>
      <c r="P93" s="62"/>
      <c r="R93" s="6"/>
      <c r="S93" s="65"/>
    </row>
    <row r="94" spans="3:19" x14ac:dyDescent="0.25">
      <c r="C94" s="56"/>
      <c r="D94" s="56"/>
      <c r="E94" s="56"/>
      <c r="F94" s="56"/>
      <c r="G94" s="56"/>
      <c r="H94" s="56"/>
      <c r="I94" s="56"/>
      <c r="J94" s="56"/>
      <c r="K94" s="56"/>
      <c r="L94" s="56"/>
      <c r="M94" s="56"/>
      <c r="N94" s="62"/>
      <c r="O94" s="62"/>
      <c r="P94" s="62"/>
      <c r="R94" s="6"/>
      <c r="S94" s="65"/>
    </row>
    <row r="95" spans="3:19" x14ac:dyDescent="0.25">
      <c r="C95" s="56"/>
      <c r="D95" s="56"/>
      <c r="E95" s="56"/>
      <c r="F95" s="56"/>
      <c r="G95" s="56"/>
      <c r="H95" s="56"/>
      <c r="I95" s="56"/>
      <c r="J95" s="56"/>
      <c r="K95" s="56"/>
      <c r="L95" s="56"/>
      <c r="M95" s="56"/>
      <c r="N95" s="62"/>
      <c r="O95" s="62"/>
      <c r="P95" s="62"/>
      <c r="R95" s="6"/>
      <c r="S95" s="65"/>
    </row>
    <row r="96" spans="3:19" x14ac:dyDescent="0.25">
      <c r="C96" s="56"/>
      <c r="D96" s="56"/>
      <c r="E96" s="56"/>
      <c r="F96" s="56"/>
      <c r="G96" s="56"/>
      <c r="H96" s="56"/>
      <c r="I96" s="56"/>
      <c r="J96" s="56"/>
      <c r="K96" s="56"/>
      <c r="L96" s="56"/>
      <c r="M96" s="56"/>
      <c r="N96" s="62"/>
      <c r="O96" s="62"/>
      <c r="P96" s="62"/>
      <c r="R96" s="6"/>
      <c r="S96" s="65"/>
    </row>
    <row r="97" spans="3:19" x14ac:dyDescent="0.25">
      <c r="C97" s="56"/>
      <c r="D97" s="56"/>
      <c r="E97" s="56"/>
      <c r="F97" s="56"/>
      <c r="G97" s="56"/>
      <c r="H97" s="56"/>
      <c r="I97" s="56"/>
      <c r="J97" s="56"/>
      <c r="K97" s="56"/>
      <c r="L97" s="56"/>
      <c r="M97" s="56"/>
      <c r="N97" s="62"/>
      <c r="O97" s="62"/>
      <c r="P97" s="62"/>
      <c r="R97" s="6"/>
      <c r="S97" s="65"/>
    </row>
    <row r="98" spans="3:19" x14ac:dyDescent="0.25">
      <c r="C98" s="56"/>
      <c r="D98" s="56"/>
      <c r="E98" s="56"/>
      <c r="F98" s="56"/>
      <c r="G98" s="56"/>
      <c r="H98" s="56"/>
      <c r="I98" s="56"/>
      <c r="J98" s="56"/>
      <c r="K98" s="56"/>
      <c r="L98" s="56"/>
      <c r="M98" s="56"/>
      <c r="N98" s="62"/>
      <c r="O98" s="62"/>
      <c r="P98" s="62"/>
      <c r="R98" s="6"/>
      <c r="S98" s="65"/>
    </row>
    <row r="99" spans="3:19" x14ac:dyDescent="0.25">
      <c r="C99" s="56"/>
      <c r="D99" s="56"/>
      <c r="E99" s="56"/>
      <c r="F99" s="56"/>
      <c r="G99" s="56"/>
      <c r="H99" s="56"/>
      <c r="I99" s="56"/>
      <c r="J99" s="56"/>
      <c r="K99" s="56"/>
      <c r="L99" s="56"/>
      <c r="M99" s="56"/>
      <c r="N99" s="62"/>
      <c r="O99" s="62"/>
      <c r="P99" s="62"/>
      <c r="R99" s="6"/>
      <c r="S99" s="65"/>
    </row>
    <row r="100" spans="3:19" x14ac:dyDescent="0.25">
      <c r="C100" s="56"/>
      <c r="D100" s="56"/>
      <c r="E100" s="56"/>
      <c r="F100" s="56"/>
      <c r="G100" s="56"/>
      <c r="H100" s="56"/>
      <c r="I100" s="56"/>
      <c r="J100" s="56"/>
      <c r="K100" s="56"/>
      <c r="L100" s="56"/>
      <c r="M100" s="56"/>
      <c r="N100" s="62"/>
      <c r="O100" s="62"/>
      <c r="P100" s="62"/>
      <c r="R100" s="6"/>
      <c r="S100" s="65"/>
    </row>
  </sheetData>
  <mergeCells count="5">
    <mergeCell ref="AR2:AW2"/>
    <mergeCell ref="U2:AA2"/>
    <mergeCell ref="AD2:AJ2"/>
    <mergeCell ref="AM2:AP2"/>
    <mergeCell ref="B2:S2"/>
  </mergeCells>
  <dataValidations count="5">
    <dataValidation type="list" allowBlank="1" showInputMessage="1" showErrorMessage="1" sqref="U21" xr:uid="{FF22E486-131A-44D1-98E3-A1196FFA3C4A}">
      <formula1>"DeathGuard,Space Marines,Drukhari, Daemons, T'Au, Imperial Guard, Sisters of Battle, Thousand Sons"</formula1>
    </dataValidation>
    <dataValidation type="list" allowBlank="1" showInputMessage="1" showErrorMessage="1" sqref="R4:R100" xr:uid="{2E23F0CE-DB26-4ABD-A597-ED64215E23CF}">
      <formula1>"Ranged,Melee"</formula1>
    </dataValidation>
    <dataValidation type="list" allowBlank="1" showInputMessage="1" showErrorMessage="1" sqref="AN4:AN30 AT4:AT30" xr:uid="{DD5FD0B4-A3B0-4755-895C-D739C5EEC7AF}">
      <formula1>"Attacker,Target"</formula1>
    </dataValidation>
    <dataValidation type="list" allowBlank="1" showInputMessage="1" showErrorMessage="1" sqref="AO4:AO30 AU4:AU30" xr:uid="{E0A6444B-36BD-467A-AD67-C49A13F77683}">
      <formula1>"Shooting,Fighting,Both"</formula1>
    </dataValidation>
    <dataValidation type="whole" allowBlank="1" showInputMessage="1" showErrorMessage="1" promptTitle="Qty" prompt="How many of this weapon the unit carries. Blank = 1. Use 0 for alternate profiles (e.g. frag/krak) you don't want counted together." sqref="S4:S100" xr:uid="{1F8242D2-780A-453F-8666-264B4689B305}">
      <formula1>0</formula1>
      <formula2>100</formula2>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FB97C-93D2-4B56-9B0A-A62157D23BFC}">
  <sheetPr codeName="Sheet10">
    <tabColor theme="6"/>
  </sheetPr>
  <dimension ref="B2:AW100"/>
  <sheetViews>
    <sheetView workbookViewId="0">
      <selection activeCell="I52" sqref="I52"/>
    </sheetView>
  </sheetViews>
  <sheetFormatPr defaultRowHeight="15" x14ac:dyDescent="0.25"/>
  <cols>
    <col min="2" max="2" width="21.7109375" bestFit="1" customWidth="1"/>
    <col min="3" max="7" width="7.42578125" customWidth="1"/>
    <col min="8" max="8" width="13" customWidth="1"/>
    <col min="9" max="13" width="8.85546875" customWidth="1"/>
    <col min="14" max="15" width="29.7109375" customWidth="1"/>
    <col min="16" max="16" width="48.140625" customWidth="1"/>
    <col min="17" max="17" width="26" bestFit="1" customWidth="1"/>
    <col min="18" max="18" width="4.7109375" customWidth="1"/>
    <col min="19" max="19" width="6.7109375" customWidth="1"/>
    <col min="20" max="20" width="1.85546875" customWidth="1"/>
    <col min="21" max="21" width="26.28515625" bestFit="1" customWidth="1"/>
    <col min="22" max="22" width="4.42578125" bestFit="1" customWidth="1"/>
    <col min="23" max="23" width="5.42578125" bestFit="1" customWidth="1"/>
    <col min="24" max="24" width="4.28515625" bestFit="1" customWidth="1"/>
    <col min="25" max="25" width="5.5703125" bestFit="1" customWidth="1"/>
    <col min="26" max="26" width="4.5703125" bestFit="1" customWidth="1"/>
    <col min="27" max="27" width="20.42578125" bestFit="1" customWidth="1"/>
    <col min="28" max="29" width="1.85546875" customWidth="1"/>
    <col min="30" max="30" width="11.85546875" bestFit="1" customWidth="1"/>
    <col min="39" max="39" width="27.7109375" customWidth="1"/>
    <col min="40" max="41" width="12" customWidth="1"/>
    <col min="42" max="42" width="37" customWidth="1"/>
    <col min="44" max="44" width="27.7109375" customWidth="1"/>
    <col min="45" max="45" width="6.42578125" customWidth="1"/>
    <col min="46" max="47" width="13" customWidth="1"/>
    <col min="48" max="48" width="31.42578125" customWidth="1"/>
    <col min="49" max="49" width="40.7109375" customWidth="1"/>
  </cols>
  <sheetData>
    <row r="2" spans="2:49" x14ac:dyDescent="0.25">
      <c r="B2" s="57" t="s">
        <v>185</v>
      </c>
      <c r="C2" s="57"/>
      <c r="D2" s="57"/>
      <c r="E2" s="57"/>
      <c r="F2" s="57"/>
      <c r="G2" s="57"/>
      <c r="H2" s="57"/>
      <c r="I2" s="57"/>
      <c r="J2" s="57"/>
      <c r="K2" s="57"/>
      <c r="L2" s="57"/>
      <c r="M2" s="57"/>
      <c r="N2" s="57"/>
      <c r="O2" s="57"/>
      <c r="P2" s="57"/>
      <c r="Q2" s="57"/>
      <c r="R2" s="57"/>
      <c r="U2" s="131" t="s">
        <v>186</v>
      </c>
      <c r="V2" s="131"/>
      <c r="W2" s="131"/>
      <c r="X2" s="131"/>
      <c r="Y2" s="131"/>
      <c r="Z2" s="131"/>
      <c r="AA2" s="131"/>
      <c r="AD2" s="131" t="s">
        <v>242</v>
      </c>
      <c r="AE2" s="131"/>
      <c r="AF2" s="131"/>
      <c r="AG2" s="131"/>
      <c r="AH2" s="131"/>
      <c r="AI2" s="131"/>
      <c r="AJ2" s="131"/>
      <c r="AM2" s="134" t="s">
        <v>188</v>
      </c>
      <c r="AN2" s="134"/>
      <c r="AO2" s="134"/>
      <c r="AP2" s="134"/>
      <c r="AR2" s="132" t="s">
        <v>189</v>
      </c>
      <c r="AS2" s="133"/>
      <c r="AT2" s="133"/>
      <c r="AU2" s="133"/>
      <c r="AV2" s="133"/>
      <c r="AW2" s="133"/>
    </row>
    <row r="3" spans="2:49" x14ac:dyDescent="0.25">
      <c r="B3" t="s">
        <v>190</v>
      </c>
      <c r="C3" t="s">
        <v>129</v>
      </c>
      <c r="D3" t="s">
        <v>130</v>
      </c>
      <c r="E3" t="s">
        <v>131</v>
      </c>
      <c r="F3" t="s">
        <v>132</v>
      </c>
      <c r="G3" t="s">
        <v>133</v>
      </c>
      <c r="H3" t="s">
        <v>134</v>
      </c>
      <c r="I3" t="s">
        <v>496</v>
      </c>
      <c r="J3" t="s">
        <v>497</v>
      </c>
      <c r="K3" t="s">
        <v>498</v>
      </c>
      <c r="L3" t="s">
        <v>499</v>
      </c>
      <c r="M3" t="s">
        <v>500</v>
      </c>
      <c r="N3" t="s">
        <v>9</v>
      </c>
      <c r="O3" t="s">
        <v>501</v>
      </c>
      <c r="P3" t="s">
        <v>502</v>
      </c>
      <c r="Q3" t="s">
        <v>122</v>
      </c>
      <c r="R3" s="2" t="s">
        <v>177</v>
      </c>
      <c r="S3" s="2" t="s">
        <v>493</v>
      </c>
      <c r="U3" s="3" t="s">
        <v>122</v>
      </c>
      <c r="V3" s="3" t="s">
        <v>123</v>
      </c>
      <c r="W3" s="3" t="s">
        <v>124</v>
      </c>
      <c r="X3" s="3" t="s">
        <v>125</v>
      </c>
      <c r="Y3" s="3" t="s">
        <v>126</v>
      </c>
      <c r="Z3" s="3" t="s">
        <v>127</v>
      </c>
      <c r="AA3" s="3" t="s">
        <v>128</v>
      </c>
      <c r="AB3" s="2"/>
      <c r="AD3" s="3" t="s">
        <v>122</v>
      </c>
      <c r="AE3" s="3" t="s">
        <v>123</v>
      </c>
      <c r="AF3" s="3" t="s">
        <v>124</v>
      </c>
      <c r="AG3" s="3" t="s">
        <v>125</v>
      </c>
      <c r="AH3" s="3" t="s">
        <v>126</v>
      </c>
      <c r="AI3" s="3" t="s">
        <v>127</v>
      </c>
      <c r="AJ3" s="3" t="s">
        <v>128</v>
      </c>
      <c r="AM3" s="3" t="s">
        <v>191</v>
      </c>
      <c r="AN3" s="3" t="s">
        <v>192</v>
      </c>
      <c r="AO3" s="3" t="s">
        <v>193</v>
      </c>
      <c r="AP3" s="3" t="s">
        <v>128</v>
      </c>
      <c r="AR3" s="3" t="s">
        <v>194</v>
      </c>
      <c r="AS3" s="3" t="s">
        <v>195</v>
      </c>
      <c r="AT3" s="3" t="s">
        <v>192</v>
      </c>
      <c r="AU3" s="3" t="s">
        <v>193</v>
      </c>
      <c r="AV3" s="3" t="s">
        <v>128</v>
      </c>
      <c r="AW3" s="3" t="s">
        <v>196</v>
      </c>
    </row>
    <row r="4" spans="2:49" x14ac:dyDescent="0.25">
      <c r="C4" s="56"/>
      <c r="D4" s="56"/>
      <c r="E4" s="56"/>
      <c r="F4" s="56"/>
      <c r="G4" s="56"/>
      <c r="H4" s="56"/>
      <c r="I4" s="56"/>
      <c r="J4" s="56"/>
      <c r="K4" s="56"/>
      <c r="L4" s="56"/>
      <c r="M4" s="56"/>
      <c r="N4" s="62"/>
      <c r="O4" s="62"/>
      <c r="P4" s="62"/>
      <c r="R4" s="6"/>
      <c r="S4" s="65"/>
      <c r="AA4" s="2"/>
      <c r="AB4" s="2"/>
      <c r="AD4" s="3"/>
      <c r="AE4" s="2"/>
      <c r="AF4" s="2"/>
      <c r="AG4" s="2"/>
      <c r="AH4" s="2"/>
      <c r="AI4" s="2"/>
      <c r="AJ4" s="2"/>
      <c r="AN4" s="6"/>
      <c r="AO4" s="6"/>
      <c r="AS4" s="6"/>
      <c r="AT4" s="6"/>
      <c r="AU4" s="6"/>
    </row>
    <row r="5" spans="2:49" x14ac:dyDescent="0.25">
      <c r="B5" s="4"/>
      <c r="C5" s="56"/>
      <c r="D5" s="56"/>
      <c r="E5" s="56"/>
      <c r="F5" s="56"/>
      <c r="G5" s="56"/>
      <c r="H5" s="56"/>
      <c r="I5" s="56"/>
      <c r="J5" s="56"/>
      <c r="K5" s="56"/>
      <c r="L5" s="56"/>
      <c r="M5" s="56"/>
      <c r="N5" s="62"/>
      <c r="O5" s="62"/>
      <c r="P5" s="62"/>
      <c r="Q5" s="3"/>
      <c r="R5" s="6"/>
      <c r="S5" s="65"/>
      <c r="U5" s="3"/>
      <c r="V5" s="2"/>
      <c r="W5" s="2"/>
      <c r="X5" s="2"/>
      <c r="Y5" s="2"/>
      <c r="Z5" s="2"/>
      <c r="AA5" s="2"/>
      <c r="AB5" s="2"/>
      <c r="AN5" s="6"/>
      <c r="AO5" s="6"/>
      <c r="AS5" s="6"/>
      <c r="AT5" s="6"/>
      <c r="AU5" s="6"/>
    </row>
    <row r="6" spans="2:49" x14ac:dyDescent="0.25">
      <c r="B6" s="4"/>
      <c r="C6" s="56"/>
      <c r="D6" s="56"/>
      <c r="E6" s="56"/>
      <c r="F6" s="56"/>
      <c r="G6" s="56"/>
      <c r="H6" s="56"/>
      <c r="I6" s="56"/>
      <c r="J6" s="56"/>
      <c r="K6" s="56"/>
      <c r="L6" s="56"/>
      <c r="M6" s="56"/>
      <c r="N6" s="62"/>
      <c r="O6" s="62"/>
      <c r="P6" s="62"/>
      <c r="Q6" s="3"/>
      <c r="R6" s="6"/>
      <c r="S6" s="65"/>
      <c r="U6" s="3"/>
      <c r="V6" s="2"/>
      <c r="W6" s="2"/>
      <c r="X6" s="2"/>
      <c r="Y6" s="2"/>
      <c r="Z6" s="2"/>
      <c r="AA6" s="2"/>
      <c r="AB6" s="2"/>
      <c r="AN6" s="6"/>
      <c r="AO6" s="6"/>
      <c r="AS6" s="6"/>
      <c r="AT6" s="6"/>
      <c r="AU6" s="6"/>
    </row>
    <row r="7" spans="2:49" x14ac:dyDescent="0.25">
      <c r="B7" s="4"/>
      <c r="C7" s="56"/>
      <c r="D7" s="56"/>
      <c r="E7" s="56"/>
      <c r="F7" s="56"/>
      <c r="G7" s="56"/>
      <c r="H7" s="56"/>
      <c r="I7" s="56"/>
      <c r="J7" s="56"/>
      <c r="K7" s="56"/>
      <c r="L7" s="56"/>
      <c r="M7" s="56"/>
      <c r="N7" s="62"/>
      <c r="O7" s="62"/>
      <c r="P7" s="62"/>
      <c r="Q7" s="3"/>
      <c r="R7" s="6"/>
      <c r="S7" s="65"/>
      <c r="U7" s="3"/>
      <c r="V7" s="2"/>
      <c r="W7" s="2"/>
      <c r="X7" s="2"/>
      <c r="Y7" s="2"/>
      <c r="Z7" s="2"/>
      <c r="AA7" s="2"/>
      <c r="AB7" s="2"/>
      <c r="AN7" s="6"/>
      <c r="AO7" s="6"/>
      <c r="AS7" s="6"/>
      <c r="AT7" s="6"/>
      <c r="AU7" s="6"/>
    </row>
    <row r="8" spans="2:49" x14ac:dyDescent="0.25">
      <c r="B8" s="4"/>
      <c r="C8" s="56"/>
      <c r="D8" s="56"/>
      <c r="E8" s="56"/>
      <c r="F8" s="56"/>
      <c r="G8" s="56"/>
      <c r="H8" s="56"/>
      <c r="I8" s="56"/>
      <c r="J8" s="56"/>
      <c r="K8" s="56"/>
      <c r="L8" s="56"/>
      <c r="M8" s="56"/>
      <c r="N8" s="62"/>
      <c r="O8" s="62"/>
      <c r="P8" s="62"/>
      <c r="Q8" s="3"/>
      <c r="R8" s="6"/>
      <c r="S8" s="65"/>
      <c r="U8" s="3"/>
      <c r="W8" s="2"/>
      <c r="X8" s="2"/>
      <c r="Y8" s="2"/>
      <c r="Z8" s="2"/>
      <c r="AA8" s="2"/>
      <c r="AN8" s="6"/>
      <c r="AO8" s="6"/>
      <c r="AS8" s="6"/>
      <c r="AT8" s="6"/>
      <c r="AU8" s="6"/>
    </row>
    <row r="9" spans="2:49" x14ac:dyDescent="0.25">
      <c r="B9" s="4"/>
      <c r="C9" s="56"/>
      <c r="D9" s="56"/>
      <c r="E9" s="56"/>
      <c r="F9" s="56"/>
      <c r="G9" s="56"/>
      <c r="H9" s="56"/>
      <c r="I9" s="56"/>
      <c r="J9" s="56"/>
      <c r="K9" s="56"/>
      <c r="L9" s="56"/>
      <c r="M9" s="56"/>
      <c r="N9" s="62"/>
      <c r="O9" s="62"/>
      <c r="P9" s="62"/>
      <c r="Q9" s="3"/>
      <c r="R9" s="6"/>
      <c r="S9" s="65"/>
      <c r="U9" s="3"/>
      <c r="V9" s="2"/>
      <c r="W9" s="2"/>
      <c r="X9" s="2"/>
      <c r="Y9" s="2"/>
      <c r="Z9" s="2"/>
      <c r="AA9" s="2"/>
      <c r="AN9" s="6"/>
      <c r="AO9" s="6"/>
      <c r="AS9" s="6"/>
      <c r="AT9" s="6"/>
      <c r="AU9" s="6"/>
    </row>
    <row r="10" spans="2:49" x14ac:dyDescent="0.25">
      <c r="B10" s="4"/>
      <c r="C10" s="56"/>
      <c r="D10" s="56"/>
      <c r="E10" s="56"/>
      <c r="F10" s="56"/>
      <c r="G10" s="56"/>
      <c r="H10" s="56"/>
      <c r="I10" s="56"/>
      <c r="J10" s="56"/>
      <c r="K10" s="56"/>
      <c r="L10" s="56"/>
      <c r="M10" s="56"/>
      <c r="N10" s="62"/>
      <c r="O10" s="62"/>
      <c r="P10" s="62"/>
      <c r="Q10" s="3"/>
      <c r="R10" s="6"/>
      <c r="S10" s="65"/>
      <c r="U10" s="3"/>
      <c r="W10" s="22"/>
      <c r="X10" s="2"/>
      <c r="Y10" s="2"/>
      <c r="Z10" s="2"/>
      <c r="AA10" s="2"/>
      <c r="AN10" s="6"/>
      <c r="AO10" s="6"/>
      <c r="AS10" s="6"/>
      <c r="AT10" s="6"/>
      <c r="AU10" s="6"/>
    </row>
    <row r="11" spans="2:49" x14ac:dyDescent="0.25">
      <c r="B11" s="4"/>
      <c r="C11" s="56"/>
      <c r="D11" s="56"/>
      <c r="E11" s="56"/>
      <c r="F11" s="56"/>
      <c r="G11" s="56"/>
      <c r="H11" s="56"/>
      <c r="I11" s="56"/>
      <c r="J11" s="56"/>
      <c r="K11" s="56"/>
      <c r="L11" s="56"/>
      <c r="M11" s="56"/>
      <c r="N11" s="62"/>
      <c r="O11" s="62"/>
      <c r="P11" s="62"/>
      <c r="Q11" s="3"/>
      <c r="R11" s="6"/>
      <c r="S11" s="65"/>
      <c r="U11" s="3"/>
      <c r="V11" s="2"/>
      <c r="W11" s="2"/>
      <c r="X11" s="2"/>
      <c r="Y11" s="2"/>
      <c r="Z11" s="2"/>
      <c r="AA11" s="2"/>
      <c r="AN11" s="6"/>
      <c r="AO11" s="6"/>
      <c r="AS11" s="6"/>
      <c r="AT11" s="6"/>
      <c r="AU11" s="6"/>
    </row>
    <row r="12" spans="2:49" x14ac:dyDescent="0.25">
      <c r="B12" s="4"/>
      <c r="C12" s="56"/>
      <c r="D12" s="56"/>
      <c r="E12" s="56"/>
      <c r="F12" s="56"/>
      <c r="G12" s="56"/>
      <c r="H12" s="56"/>
      <c r="I12" s="56"/>
      <c r="J12" s="56"/>
      <c r="K12" s="56"/>
      <c r="L12" s="56"/>
      <c r="M12" s="56"/>
      <c r="N12" s="62"/>
      <c r="O12" s="62"/>
      <c r="P12" s="62"/>
      <c r="Q12" s="3"/>
      <c r="R12" s="6"/>
      <c r="S12" s="65"/>
      <c r="U12" s="3"/>
      <c r="W12" s="2"/>
      <c r="X12" s="2"/>
      <c r="Y12" s="2"/>
      <c r="Z12" s="2"/>
      <c r="AA12" s="2"/>
      <c r="AN12" s="6"/>
      <c r="AO12" s="6"/>
      <c r="AS12" s="6"/>
      <c r="AT12" s="6"/>
      <c r="AU12" s="6"/>
    </row>
    <row r="13" spans="2:49" x14ac:dyDescent="0.25">
      <c r="B13" s="4"/>
      <c r="C13" s="56"/>
      <c r="D13" s="56"/>
      <c r="E13" s="56"/>
      <c r="F13" s="56"/>
      <c r="G13" s="56"/>
      <c r="H13" s="56"/>
      <c r="I13" s="56"/>
      <c r="J13" s="56"/>
      <c r="K13" s="56"/>
      <c r="L13" s="56"/>
      <c r="M13" s="56"/>
      <c r="N13" s="62"/>
      <c r="O13" s="62"/>
      <c r="P13" s="62"/>
      <c r="Q13" s="3"/>
      <c r="R13" s="6"/>
      <c r="S13" s="65"/>
      <c r="U13" s="3"/>
      <c r="V13" s="2"/>
      <c r="W13" s="2"/>
      <c r="X13" s="2"/>
      <c r="Y13" s="2"/>
      <c r="Z13" s="2"/>
      <c r="AN13" s="6"/>
      <c r="AO13" s="6"/>
      <c r="AS13" s="6"/>
      <c r="AT13" s="6"/>
      <c r="AU13" s="6"/>
    </row>
    <row r="14" spans="2:49" x14ac:dyDescent="0.25">
      <c r="B14" s="4"/>
      <c r="C14" s="56"/>
      <c r="D14" s="56"/>
      <c r="E14" s="56"/>
      <c r="F14" s="56"/>
      <c r="G14" s="56"/>
      <c r="H14" s="56"/>
      <c r="I14" s="56"/>
      <c r="J14" s="56"/>
      <c r="K14" s="56"/>
      <c r="L14" s="56"/>
      <c r="M14" s="56"/>
      <c r="N14" s="62"/>
      <c r="O14" s="62"/>
      <c r="P14" s="62"/>
      <c r="Q14" s="3"/>
      <c r="R14" s="6"/>
      <c r="S14" s="65"/>
      <c r="U14" s="3"/>
      <c r="W14" s="2"/>
      <c r="X14" s="2"/>
      <c r="Y14" s="2"/>
      <c r="Z14" s="2"/>
      <c r="AN14" s="6"/>
      <c r="AO14" s="6"/>
      <c r="AS14" s="6"/>
      <c r="AT14" s="6"/>
      <c r="AU14" s="6"/>
    </row>
    <row r="15" spans="2:49" x14ac:dyDescent="0.25">
      <c r="B15" s="4"/>
      <c r="C15" s="56"/>
      <c r="D15" s="56"/>
      <c r="E15" s="56"/>
      <c r="F15" s="56"/>
      <c r="G15" s="56"/>
      <c r="H15" s="56"/>
      <c r="I15" s="56"/>
      <c r="J15" s="56"/>
      <c r="K15" s="56"/>
      <c r="L15" s="56"/>
      <c r="M15" s="56"/>
      <c r="N15" s="62"/>
      <c r="O15" s="62"/>
      <c r="P15" s="62"/>
      <c r="Q15" s="3"/>
      <c r="R15" s="6"/>
      <c r="S15" s="65"/>
      <c r="U15" s="3"/>
      <c r="V15" s="2"/>
      <c r="W15" s="2"/>
      <c r="X15" s="2"/>
      <c r="Y15" s="2"/>
      <c r="Z15" s="2"/>
      <c r="AN15" s="6"/>
      <c r="AO15" s="6"/>
      <c r="AS15" s="6"/>
      <c r="AT15" s="6"/>
      <c r="AU15" s="6"/>
    </row>
    <row r="16" spans="2:49" x14ac:dyDescent="0.25">
      <c r="C16" s="56"/>
      <c r="D16" s="56"/>
      <c r="E16" s="56"/>
      <c r="F16" s="56"/>
      <c r="G16" s="56"/>
      <c r="H16" s="56"/>
      <c r="I16" s="56"/>
      <c r="J16" s="56"/>
      <c r="K16" s="56"/>
      <c r="L16" s="56"/>
      <c r="M16" s="56"/>
      <c r="N16" s="62"/>
      <c r="O16" s="62"/>
      <c r="P16" s="62"/>
      <c r="R16" s="6"/>
      <c r="S16" s="65"/>
      <c r="AN16" s="6"/>
      <c r="AO16" s="6"/>
      <c r="AS16" s="6"/>
      <c r="AT16" s="6"/>
      <c r="AU16" s="6"/>
    </row>
    <row r="17" spans="3:47" x14ac:dyDescent="0.25">
      <c r="C17" s="56"/>
      <c r="D17" s="56"/>
      <c r="E17" s="56"/>
      <c r="F17" s="56"/>
      <c r="G17" s="56"/>
      <c r="H17" s="56"/>
      <c r="I17" s="56"/>
      <c r="J17" s="56"/>
      <c r="K17" s="56"/>
      <c r="L17" s="56"/>
      <c r="M17" s="56"/>
      <c r="N17" s="62"/>
      <c r="O17" s="62"/>
      <c r="P17" s="62"/>
      <c r="R17" s="6"/>
      <c r="S17" s="65"/>
      <c r="AN17" s="6"/>
      <c r="AO17" s="6"/>
      <c r="AS17" s="6"/>
      <c r="AT17" s="6"/>
      <c r="AU17" s="6"/>
    </row>
    <row r="18" spans="3:47" x14ac:dyDescent="0.25">
      <c r="C18" s="56"/>
      <c r="D18" s="56"/>
      <c r="E18" s="56"/>
      <c r="F18" s="56"/>
      <c r="G18" s="56"/>
      <c r="H18" s="56"/>
      <c r="I18" s="56"/>
      <c r="J18" s="56"/>
      <c r="K18" s="56"/>
      <c r="L18" s="56"/>
      <c r="M18" s="56"/>
      <c r="N18" s="62"/>
      <c r="O18" s="62"/>
      <c r="P18" s="62"/>
      <c r="R18" s="6"/>
      <c r="S18" s="65"/>
      <c r="AN18" s="6"/>
      <c r="AO18" s="6"/>
      <c r="AS18" s="6"/>
      <c r="AT18" s="6"/>
      <c r="AU18" s="6"/>
    </row>
    <row r="19" spans="3:47" x14ac:dyDescent="0.25">
      <c r="C19" s="56"/>
      <c r="D19" s="56"/>
      <c r="E19" s="56"/>
      <c r="F19" s="56"/>
      <c r="G19" s="56"/>
      <c r="H19" s="56"/>
      <c r="I19" s="56"/>
      <c r="J19" s="56"/>
      <c r="K19" s="56"/>
      <c r="L19" s="56"/>
      <c r="M19" s="56"/>
      <c r="N19" s="62"/>
      <c r="O19" s="62"/>
      <c r="P19" s="62"/>
      <c r="R19" s="6"/>
      <c r="S19" s="65"/>
      <c r="AN19" s="6"/>
      <c r="AO19" s="6"/>
      <c r="AS19" s="6"/>
      <c r="AT19" s="6"/>
      <c r="AU19" s="6"/>
    </row>
    <row r="20" spans="3:47" x14ac:dyDescent="0.25">
      <c r="C20" s="56"/>
      <c r="D20" s="56"/>
      <c r="E20" s="56"/>
      <c r="F20" s="56"/>
      <c r="G20" s="56"/>
      <c r="H20" s="56"/>
      <c r="I20" s="56"/>
      <c r="J20" s="56"/>
      <c r="K20" s="56"/>
      <c r="L20" s="56"/>
      <c r="M20" s="56"/>
      <c r="N20" s="62"/>
      <c r="O20" s="62"/>
      <c r="P20" s="62"/>
      <c r="R20" s="6"/>
      <c r="S20" s="65"/>
      <c r="AN20" s="6"/>
      <c r="AO20" s="6"/>
      <c r="AS20" s="6"/>
      <c r="AT20" s="6"/>
      <c r="AU20" s="6"/>
    </row>
    <row r="21" spans="3:47" x14ac:dyDescent="0.25">
      <c r="C21" s="56"/>
      <c r="D21" s="56"/>
      <c r="E21" s="56"/>
      <c r="F21" s="56"/>
      <c r="G21" s="56"/>
      <c r="H21" s="56"/>
      <c r="I21" s="56"/>
      <c r="J21" s="56"/>
      <c r="K21" s="56"/>
      <c r="L21" s="56"/>
      <c r="M21" s="56"/>
      <c r="N21" s="62"/>
      <c r="O21" s="62"/>
      <c r="P21" s="62"/>
      <c r="R21" s="6"/>
      <c r="S21" s="65"/>
      <c r="AN21" s="6"/>
      <c r="AO21" s="6"/>
      <c r="AS21" s="6"/>
      <c r="AT21" s="6"/>
      <c r="AU21" s="6"/>
    </row>
    <row r="22" spans="3:47" x14ac:dyDescent="0.25">
      <c r="C22" s="56"/>
      <c r="D22" s="56"/>
      <c r="E22" s="56"/>
      <c r="F22" s="56"/>
      <c r="G22" s="56"/>
      <c r="H22" s="56"/>
      <c r="I22" s="56"/>
      <c r="J22" s="56"/>
      <c r="K22" s="56"/>
      <c r="L22" s="56"/>
      <c r="M22" s="56"/>
      <c r="N22" s="62"/>
      <c r="O22" s="62"/>
      <c r="P22" s="62"/>
      <c r="R22" s="6"/>
      <c r="S22" s="65"/>
      <c r="AN22" s="6"/>
      <c r="AO22" s="6"/>
      <c r="AS22" s="6"/>
      <c r="AT22" s="6"/>
      <c r="AU22" s="6"/>
    </row>
    <row r="23" spans="3:47" x14ac:dyDescent="0.25">
      <c r="C23" s="56"/>
      <c r="D23" s="56"/>
      <c r="E23" s="56"/>
      <c r="F23" s="56"/>
      <c r="G23" s="56"/>
      <c r="H23" s="56"/>
      <c r="I23" s="56"/>
      <c r="J23" s="56"/>
      <c r="K23" s="56"/>
      <c r="L23" s="56"/>
      <c r="M23" s="56"/>
      <c r="N23" s="62"/>
      <c r="O23" s="62"/>
      <c r="P23" s="62"/>
      <c r="R23" s="6"/>
      <c r="S23" s="65"/>
      <c r="AN23" s="6"/>
      <c r="AO23" s="6"/>
      <c r="AS23" s="6"/>
      <c r="AT23" s="6"/>
      <c r="AU23" s="6"/>
    </row>
    <row r="24" spans="3:47" x14ac:dyDescent="0.25">
      <c r="C24" s="56"/>
      <c r="D24" s="56"/>
      <c r="E24" s="56"/>
      <c r="F24" s="56"/>
      <c r="G24" s="56"/>
      <c r="H24" s="56"/>
      <c r="I24" s="56"/>
      <c r="J24" s="56"/>
      <c r="K24" s="56"/>
      <c r="L24" s="56"/>
      <c r="M24" s="56"/>
      <c r="N24" s="62"/>
      <c r="O24" s="62"/>
      <c r="P24" s="62"/>
      <c r="R24" s="6"/>
      <c r="S24" s="65"/>
      <c r="AN24" s="6"/>
      <c r="AO24" s="6"/>
      <c r="AS24" s="6"/>
      <c r="AT24" s="6"/>
      <c r="AU24" s="6"/>
    </row>
    <row r="25" spans="3:47" x14ac:dyDescent="0.25">
      <c r="C25" s="56"/>
      <c r="D25" s="56"/>
      <c r="E25" s="56"/>
      <c r="F25" s="56"/>
      <c r="G25" s="56"/>
      <c r="H25" s="56"/>
      <c r="I25" s="56"/>
      <c r="J25" s="56"/>
      <c r="K25" s="56"/>
      <c r="L25" s="56"/>
      <c r="M25" s="56"/>
      <c r="N25" s="62"/>
      <c r="O25" s="62"/>
      <c r="P25" s="62"/>
      <c r="R25" s="6"/>
      <c r="S25" s="65"/>
      <c r="AN25" s="6"/>
      <c r="AO25" s="6"/>
      <c r="AS25" s="6"/>
      <c r="AT25" s="6"/>
      <c r="AU25" s="6"/>
    </row>
    <row r="26" spans="3:47" x14ac:dyDescent="0.25">
      <c r="C26" s="56"/>
      <c r="D26" s="56"/>
      <c r="E26" s="56"/>
      <c r="F26" s="56"/>
      <c r="G26" s="56"/>
      <c r="H26" s="56"/>
      <c r="I26" s="56"/>
      <c r="J26" s="56"/>
      <c r="K26" s="56"/>
      <c r="L26" s="56"/>
      <c r="M26" s="56"/>
      <c r="N26" s="62"/>
      <c r="O26" s="62"/>
      <c r="P26" s="62"/>
      <c r="R26" s="6"/>
      <c r="S26" s="65"/>
      <c r="AN26" s="6"/>
      <c r="AO26" s="6"/>
      <c r="AS26" s="6"/>
      <c r="AT26" s="6"/>
      <c r="AU26" s="6"/>
    </row>
    <row r="27" spans="3:47" x14ac:dyDescent="0.25">
      <c r="C27" s="56"/>
      <c r="D27" s="56"/>
      <c r="E27" s="56"/>
      <c r="F27" s="56"/>
      <c r="G27" s="56"/>
      <c r="H27" s="56"/>
      <c r="I27" s="56"/>
      <c r="J27" s="56"/>
      <c r="K27" s="56"/>
      <c r="L27" s="56"/>
      <c r="M27" s="56"/>
      <c r="N27" s="62"/>
      <c r="O27" s="62"/>
      <c r="P27" s="62"/>
      <c r="R27" s="6"/>
      <c r="S27" s="65"/>
      <c r="AN27" s="6"/>
      <c r="AO27" s="6"/>
      <c r="AS27" s="6"/>
      <c r="AT27" s="6"/>
      <c r="AU27" s="6"/>
    </row>
    <row r="28" spans="3:47" x14ac:dyDescent="0.25">
      <c r="C28" s="56"/>
      <c r="D28" s="56"/>
      <c r="E28" s="56"/>
      <c r="F28" s="56"/>
      <c r="G28" s="56"/>
      <c r="H28" s="56"/>
      <c r="I28" s="56"/>
      <c r="J28" s="56"/>
      <c r="K28" s="56"/>
      <c r="L28" s="56"/>
      <c r="M28" s="56"/>
      <c r="N28" s="62"/>
      <c r="O28" s="62"/>
      <c r="P28" s="62"/>
      <c r="R28" s="6"/>
      <c r="S28" s="65"/>
      <c r="AN28" s="6"/>
      <c r="AO28" s="6"/>
      <c r="AS28" s="6"/>
      <c r="AT28" s="6"/>
      <c r="AU28" s="6"/>
    </row>
    <row r="29" spans="3:47" x14ac:dyDescent="0.25">
      <c r="C29" s="56"/>
      <c r="D29" s="56"/>
      <c r="E29" s="56"/>
      <c r="F29" s="56"/>
      <c r="G29" s="56"/>
      <c r="H29" s="56"/>
      <c r="I29" s="56"/>
      <c r="J29" s="56"/>
      <c r="K29" s="56"/>
      <c r="L29" s="56"/>
      <c r="M29" s="56"/>
      <c r="N29" s="62"/>
      <c r="O29" s="62"/>
      <c r="P29" s="62"/>
      <c r="R29" s="6"/>
      <c r="S29" s="65"/>
      <c r="AN29" s="6"/>
      <c r="AO29" s="6"/>
      <c r="AS29" s="6"/>
      <c r="AT29" s="6"/>
      <c r="AU29" s="6"/>
    </row>
    <row r="30" spans="3:47" x14ac:dyDescent="0.25">
      <c r="C30" s="56"/>
      <c r="D30" s="56"/>
      <c r="E30" s="56"/>
      <c r="F30" s="56"/>
      <c r="G30" s="56"/>
      <c r="H30" s="56"/>
      <c r="I30" s="56"/>
      <c r="J30" s="56"/>
      <c r="K30" s="56"/>
      <c r="L30" s="56"/>
      <c r="M30" s="56"/>
      <c r="N30" s="62"/>
      <c r="O30" s="62"/>
      <c r="P30" s="62"/>
      <c r="R30" s="6"/>
      <c r="S30" s="65"/>
      <c r="AN30" s="6"/>
      <c r="AO30" s="6"/>
      <c r="AS30" s="6"/>
      <c r="AT30" s="6"/>
      <c r="AU30" s="6"/>
    </row>
    <row r="31" spans="3:47" x14ac:dyDescent="0.25">
      <c r="C31" s="56"/>
      <c r="D31" s="56"/>
      <c r="E31" s="56"/>
      <c r="F31" s="56"/>
      <c r="G31" s="56"/>
      <c r="H31" s="56"/>
      <c r="I31" s="56"/>
      <c r="J31" s="56"/>
      <c r="K31" s="56"/>
      <c r="L31" s="56"/>
      <c r="M31" s="56"/>
      <c r="N31" s="62"/>
      <c r="O31" s="62"/>
      <c r="P31" s="62"/>
      <c r="R31" s="6"/>
      <c r="S31" s="65"/>
    </row>
    <row r="32" spans="3:47" x14ac:dyDescent="0.25">
      <c r="C32" s="56"/>
      <c r="D32" s="56"/>
      <c r="E32" s="56"/>
      <c r="F32" s="56"/>
      <c r="G32" s="56"/>
      <c r="H32" s="56"/>
      <c r="I32" s="56"/>
      <c r="J32" s="56"/>
      <c r="K32" s="56"/>
      <c r="L32" s="56"/>
      <c r="M32" s="56"/>
      <c r="N32" s="62"/>
      <c r="O32" s="62"/>
      <c r="P32" s="62"/>
      <c r="R32" s="6"/>
      <c r="S32" s="65"/>
    </row>
    <row r="33" spans="3:19" x14ac:dyDescent="0.25">
      <c r="C33" s="56"/>
      <c r="D33" s="56"/>
      <c r="E33" s="56"/>
      <c r="F33" s="56"/>
      <c r="G33" s="56"/>
      <c r="H33" s="56"/>
      <c r="I33" s="56"/>
      <c r="J33" s="56"/>
      <c r="K33" s="56"/>
      <c r="L33" s="56"/>
      <c r="M33" s="56"/>
      <c r="N33" s="62"/>
      <c r="O33" s="62"/>
      <c r="P33" s="62"/>
      <c r="R33" s="6"/>
      <c r="S33" s="65"/>
    </row>
    <row r="34" spans="3:19" x14ac:dyDescent="0.25">
      <c r="C34" s="56"/>
      <c r="D34" s="56"/>
      <c r="E34" s="56"/>
      <c r="F34" s="56"/>
      <c r="G34" s="56"/>
      <c r="H34" s="56"/>
      <c r="I34" s="56"/>
      <c r="J34" s="56"/>
      <c r="K34" s="56"/>
      <c r="L34" s="56"/>
      <c r="M34" s="56"/>
      <c r="N34" s="62"/>
      <c r="O34" s="62"/>
      <c r="P34" s="62"/>
      <c r="R34" s="6"/>
      <c r="S34" s="65"/>
    </row>
    <row r="35" spans="3:19" x14ac:dyDescent="0.25">
      <c r="C35" s="56"/>
      <c r="D35" s="56"/>
      <c r="E35" s="56"/>
      <c r="F35" s="56"/>
      <c r="G35" s="56"/>
      <c r="H35" s="56"/>
      <c r="I35" s="56"/>
      <c r="J35" s="56"/>
      <c r="K35" s="56"/>
      <c r="L35" s="56"/>
      <c r="M35" s="56"/>
      <c r="N35" s="62"/>
      <c r="O35" s="62"/>
      <c r="P35" s="62"/>
      <c r="R35" s="6"/>
      <c r="S35" s="65"/>
    </row>
    <row r="36" spans="3:19" x14ac:dyDescent="0.25">
      <c r="C36" s="56"/>
      <c r="D36" s="56"/>
      <c r="E36" s="56"/>
      <c r="F36" s="56"/>
      <c r="G36" s="56"/>
      <c r="H36" s="56"/>
      <c r="I36" s="56"/>
      <c r="J36" s="56"/>
      <c r="K36" s="56"/>
      <c r="L36" s="56"/>
      <c r="M36" s="56"/>
      <c r="N36" s="62"/>
      <c r="O36" s="62"/>
      <c r="P36" s="62"/>
      <c r="R36" s="6"/>
      <c r="S36" s="65"/>
    </row>
    <row r="37" spans="3:19" x14ac:dyDescent="0.25">
      <c r="C37" s="56"/>
      <c r="D37" s="56"/>
      <c r="E37" s="56"/>
      <c r="F37" s="56"/>
      <c r="G37" s="56"/>
      <c r="H37" s="56"/>
      <c r="I37" s="56"/>
      <c r="J37" s="56"/>
      <c r="K37" s="56"/>
      <c r="L37" s="56"/>
      <c r="M37" s="56"/>
      <c r="N37" s="62"/>
      <c r="O37" s="62"/>
      <c r="P37" s="62"/>
      <c r="R37" s="6"/>
      <c r="S37" s="65"/>
    </row>
    <row r="38" spans="3:19" x14ac:dyDescent="0.25">
      <c r="C38" s="56"/>
      <c r="D38" s="56"/>
      <c r="E38" s="56"/>
      <c r="F38" s="56"/>
      <c r="G38" s="56"/>
      <c r="H38" s="56"/>
      <c r="I38" s="56"/>
      <c r="J38" s="56"/>
      <c r="K38" s="56"/>
      <c r="L38" s="56"/>
      <c r="M38" s="56"/>
      <c r="N38" s="62"/>
      <c r="O38" s="62"/>
      <c r="P38" s="62"/>
      <c r="R38" s="6"/>
      <c r="S38" s="65"/>
    </row>
    <row r="39" spans="3:19" x14ac:dyDescent="0.25">
      <c r="C39" s="56"/>
      <c r="D39" s="56"/>
      <c r="E39" s="56"/>
      <c r="F39" s="56"/>
      <c r="G39" s="56"/>
      <c r="H39" s="56"/>
      <c r="I39" s="56"/>
      <c r="J39" s="56"/>
      <c r="K39" s="56"/>
      <c r="L39" s="56"/>
      <c r="M39" s="56"/>
      <c r="N39" s="62"/>
      <c r="O39" s="62"/>
      <c r="P39" s="62"/>
      <c r="R39" s="6"/>
      <c r="S39" s="65"/>
    </row>
    <row r="40" spans="3:19" x14ac:dyDescent="0.25">
      <c r="C40" s="56"/>
      <c r="D40" s="56"/>
      <c r="E40" s="56"/>
      <c r="F40" s="56"/>
      <c r="G40" s="56"/>
      <c r="H40" s="56"/>
      <c r="I40" s="56"/>
      <c r="J40" s="56"/>
      <c r="K40" s="56"/>
      <c r="L40" s="56"/>
      <c r="M40" s="56"/>
      <c r="N40" s="62"/>
      <c r="O40" s="62"/>
      <c r="P40" s="62"/>
      <c r="R40" s="6"/>
      <c r="S40" s="65"/>
    </row>
    <row r="41" spans="3:19" x14ac:dyDescent="0.25">
      <c r="C41" s="56"/>
      <c r="D41" s="56"/>
      <c r="E41" s="56"/>
      <c r="F41" s="56"/>
      <c r="G41" s="56"/>
      <c r="H41" s="56"/>
      <c r="I41" s="56"/>
      <c r="J41" s="56"/>
      <c r="K41" s="56"/>
      <c r="L41" s="56"/>
      <c r="M41" s="56"/>
      <c r="N41" s="62"/>
      <c r="O41" s="62"/>
      <c r="P41" s="62"/>
      <c r="R41" s="6"/>
      <c r="S41" s="65"/>
    </row>
    <row r="42" spans="3:19" x14ac:dyDescent="0.25">
      <c r="C42" s="56"/>
      <c r="D42" s="56"/>
      <c r="E42" s="56"/>
      <c r="F42" s="56"/>
      <c r="G42" s="56"/>
      <c r="H42" s="56"/>
      <c r="I42" s="56"/>
      <c r="J42" s="56"/>
      <c r="K42" s="56"/>
      <c r="L42" s="56"/>
      <c r="M42" s="56"/>
      <c r="N42" s="62"/>
      <c r="O42" s="62"/>
      <c r="P42" s="62"/>
      <c r="R42" s="6"/>
      <c r="S42" s="65"/>
    </row>
    <row r="43" spans="3:19" x14ac:dyDescent="0.25">
      <c r="C43" s="56"/>
      <c r="D43" s="56"/>
      <c r="E43" s="56"/>
      <c r="F43" s="56"/>
      <c r="G43" s="56"/>
      <c r="H43" s="56"/>
      <c r="I43" s="56"/>
      <c r="J43" s="56"/>
      <c r="K43" s="56"/>
      <c r="L43" s="56"/>
      <c r="M43" s="56"/>
      <c r="N43" s="62"/>
      <c r="O43" s="62"/>
      <c r="P43" s="62"/>
      <c r="R43" s="6"/>
      <c r="S43" s="65"/>
    </row>
    <row r="44" spans="3:19" x14ac:dyDescent="0.25">
      <c r="C44" s="56"/>
      <c r="D44" s="56"/>
      <c r="E44" s="56"/>
      <c r="F44" s="56"/>
      <c r="G44" s="56"/>
      <c r="H44" s="56"/>
      <c r="I44" s="56"/>
      <c r="J44" s="56"/>
      <c r="K44" s="56"/>
      <c r="L44" s="56"/>
      <c r="M44" s="56"/>
      <c r="N44" s="62"/>
      <c r="O44" s="62"/>
      <c r="P44" s="62"/>
      <c r="R44" s="6"/>
      <c r="S44" s="65"/>
    </row>
    <row r="45" spans="3:19" x14ac:dyDescent="0.25">
      <c r="C45" s="56"/>
      <c r="D45" s="56"/>
      <c r="E45" s="56"/>
      <c r="F45" s="56"/>
      <c r="G45" s="56"/>
      <c r="H45" s="56"/>
      <c r="I45" s="56"/>
      <c r="J45" s="56"/>
      <c r="K45" s="56"/>
      <c r="L45" s="56"/>
      <c r="M45" s="56"/>
      <c r="N45" s="62"/>
      <c r="O45" s="62"/>
      <c r="P45" s="62"/>
      <c r="R45" s="6"/>
      <c r="S45" s="65"/>
    </row>
    <row r="46" spans="3:19" x14ac:dyDescent="0.25">
      <c r="C46" s="56"/>
      <c r="D46" s="56"/>
      <c r="E46" s="56"/>
      <c r="F46" s="56"/>
      <c r="G46" s="56"/>
      <c r="H46" s="56"/>
      <c r="I46" s="56"/>
      <c r="J46" s="56"/>
      <c r="K46" s="56"/>
      <c r="L46" s="56"/>
      <c r="M46" s="56"/>
      <c r="N46" s="62"/>
      <c r="O46" s="62"/>
      <c r="P46" s="62"/>
      <c r="R46" s="6"/>
      <c r="S46" s="65"/>
    </row>
    <row r="47" spans="3:19" x14ac:dyDescent="0.25">
      <c r="C47" s="56"/>
      <c r="D47" s="56"/>
      <c r="E47" s="56"/>
      <c r="F47" s="56"/>
      <c r="G47" s="56"/>
      <c r="H47" s="56"/>
      <c r="I47" s="56"/>
      <c r="J47" s="56"/>
      <c r="K47" s="56"/>
      <c r="L47" s="56"/>
      <c r="M47" s="56"/>
      <c r="N47" s="62"/>
      <c r="O47" s="62"/>
      <c r="P47" s="62"/>
      <c r="R47" s="6"/>
      <c r="S47" s="65"/>
    </row>
    <row r="48" spans="3:19" x14ac:dyDescent="0.25">
      <c r="C48" s="56"/>
      <c r="D48" s="56"/>
      <c r="E48" s="56"/>
      <c r="F48" s="56"/>
      <c r="G48" s="56"/>
      <c r="H48" s="56"/>
      <c r="I48" s="56"/>
      <c r="J48" s="56"/>
      <c r="K48" s="56"/>
      <c r="L48" s="56"/>
      <c r="M48" s="56"/>
      <c r="N48" s="62"/>
      <c r="O48" s="62"/>
      <c r="P48" s="62"/>
      <c r="R48" s="6"/>
      <c r="S48" s="65"/>
    </row>
    <row r="49" spans="3:19" x14ac:dyDescent="0.25">
      <c r="C49" s="56"/>
      <c r="D49" s="56"/>
      <c r="E49" s="56"/>
      <c r="F49" s="56"/>
      <c r="G49" s="56"/>
      <c r="H49" s="56"/>
      <c r="I49" s="56"/>
      <c r="J49" s="56"/>
      <c r="K49" s="56"/>
      <c r="L49" s="56"/>
      <c r="M49" s="56"/>
      <c r="N49" s="62"/>
      <c r="O49" s="62"/>
      <c r="P49" s="62"/>
      <c r="R49" s="6"/>
      <c r="S49" s="65"/>
    </row>
    <row r="50" spans="3:19" x14ac:dyDescent="0.25">
      <c r="C50" s="56"/>
      <c r="D50" s="56"/>
      <c r="E50" s="56"/>
      <c r="F50" s="56"/>
      <c r="G50" s="56"/>
      <c r="H50" s="56"/>
      <c r="I50" s="56"/>
      <c r="J50" s="56"/>
      <c r="K50" s="56"/>
      <c r="L50" s="56"/>
      <c r="M50" s="56"/>
      <c r="N50" s="62"/>
      <c r="O50" s="62"/>
      <c r="P50" s="62"/>
      <c r="R50" s="6"/>
      <c r="S50" s="65"/>
    </row>
    <row r="51" spans="3:19" x14ac:dyDescent="0.25">
      <c r="C51" s="56"/>
      <c r="D51" s="56"/>
      <c r="E51" s="56"/>
      <c r="F51" s="56"/>
      <c r="G51" s="56"/>
      <c r="H51" s="56"/>
      <c r="I51" s="56"/>
      <c r="J51" s="56"/>
      <c r="K51" s="56"/>
      <c r="L51" s="56"/>
      <c r="M51" s="56"/>
      <c r="N51" s="62"/>
      <c r="O51" s="62"/>
      <c r="P51" s="62"/>
      <c r="R51" s="6"/>
      <c r="S51" s="65"/>
    </row>
    <row r="52" spans="3:19" x14ac:dyDescent="0.25">
      <c r="C52" s="56"/>
      <c r="D52" s="56"/>
      <c r="E52" s="56"/>
      <c r="F52" s="56"/>
      <c r="G52" s="56"/>
      <c r="H52" s="56"/>
      <c r="I52" s="56"/>
      <c r="J52" s="56"/>
      <c r="K52" s="56"/>
      <c r="L52" s="56"/>
      <c r="M52" s="56"/>
      <c r="N52" s="62"/>
      <c r="O52" s="62"/>
      <c r="P52" s="62"/>
      <c r="R52" s="6"/>
      <c r="S52" s="65"/>
    </row>
    <row r="53" spans="3:19" x14ac:dyDescent="0.25">
      <c r="C53" s="56"/>
      <c r="D53" s="56"/>
      <c r="E53" s="56"/>
      <c r="F53" s="56"/>
      <c r="G53" s="56"/>
      <c r="H53" s="56"/>
      <c r="I53" s="56"/>
      <c r="J53" s="56"/>
      <c r="K53" s="56"/>
      <c r="L53" s="56"/>
      <c r="M53" s="56"/>
      <c r="N53" s="62"/>
      <c r="O53" s="62"/>
      <c r="P53" s="62"/>
      <c r="R53" s="6"/>
      <c r="S53" s="65"/>
    </row>
    <row r="54" spans="3:19" x14ac:dyDescent="0.25">
      <c r="C54" s="56"/>
      <c r="D54" s="56"/>
      <c r="E54" s="56"/>
      <c r="F54" s="56"/>
      <c r="G54" s="56"/>
      <c r="H54" s="56"/>
      <c r="I54" s="56"/>
      <c r="J54" s="56"/>
      <c r="K54" s="56"/>
      <c r="L54" s="56"/>
      <c r="M54" s="56"/>
      <c r="N54" s="62"/>
      <c r="O54" s="62"/>
      <c r="P54" s="62"/>
      <c r="R54" s="6"/>
      <c r="S54" s="65"/>
    </row>
    <row r="55" spans="3:19" x14ac:dyDescent="0.25">
      <c r="C55" s="56"/>
      <c r="D55" s="56"/>
      <c r="E55" s="56"/>
      <c r="F55" s="56"/>
      <c r="G55" s="56"/>
      <c r="H55" s="56"/>
      <c r="I55" s="56"/>
      <c r="J55" s="56"/>
      <c r="K55" s="56"/>
      <c r="L55" s="56"/>
      <c r="M55" s="56"/>
      <c r="N55" s="62"/>
      <c r="O55" s="62"/>
      <c r="P55" s="62"/>
      <c r="R55" s="6"/>
      <c r="S55" s="65"/>
    </row>
    <row r="56" spans="3:19" x14ac:dyDescent="0.25">
      <c r="C56" s="56"/>
      <c r="D56" s="56"/>
      <c r="E56" s="56"/>
      <c r="F56" s="56"/>
      <c r="G56" s="56"/>
      <c r="H56" s="56"/>
      <c r="I56" s="56"/>
      <c r="J56" s="56"/>
      <c r="K56" s="56"/>
      <c r="L56" s="56"/>
      <c r="M56" s="56"/>
      <c r="N56" s="62"/>
      <c r="O56" s="62"/>
      <c r="P56" s="62"/>
      <c r="R56" s="6"/>
      <c r="S56" s="65"/>
    </row>
    <row r="57" spans="3:19" x14ac:dyDescent="0.25">
      <c r="C57" s="56"/>
      <c r="D57" s="56"/>
      <c r="E57" s="56"/>
      <c r="F57" s="56"/>
      <c r="G57" s="56"/>
      <c r="H57" s="56"/>
      <c r="I57" s="56"/>
      <c r="J57" s="56"/>
      <c r="K57" s="56"/>
      <c r="L57" s="56"/>
      <c r="M57" s="56"/>
      <c r="N57" s="62"/>
      <c r="O57" s="62"/>
      <c r="P57" s="62"/>
      <c r="R57" s="6"/>
      <c r="S57" s="65"/>
    </row>
    <row r="58" spans="3:19" x14ac:dyDescent="0.25">
      <c r="C58" s="56"/>
      <c r="D58" s="56"/>
      <c r="E58" s="56"/>
      <c r="F58" s="56"/>
      <c r="G58" s="56"/>
      <c r="H58" s="56"/>
      <c r="I58" s="56"/>
      <c r="J58" s="56"/>
      <c r="K58" s="56"/>
      <c r="L58" s="56"/>
      <c r="M58" s="56"/>
      <c r="N58" s="62"/>
      <c r="O58" s="62"/>
      <c r="P58" s="62"/>
      <c r="R58" s="6"/>
      <c r="S58" s="65"/>
    </row>
    <row r="59" spans="3:19" x14ac:dyDescent="0.25">
      <c r="C59" s="56"/>
      <c r="D59" s="56"/>
      <c r="E59" s="56"/>
      <c r="F59" s="56"/>
      <c r="G59" s="56"/>
      <c r="H59" s="56"/>
      <c r="I59" s="56"/>
      <c r="J59" s="56"/>
      <c r="K59" s="56"/>
      <c r="L59" s="56"/>
      <c r="M59" s="56"/>
      <c r="N59" s="62"/>
      <c r="O59" s="62"/>
      <c r="P59" s="62"/>
      <c r="R59" s="6"/>
      <c r="S59" s="65"/>
    </row>
    <row r="60" spans="3:19" x14ac:dyDescent="0.25">
      <c r="C60" s="56"/>
      <c r="D60" s="56"/>
      <c r="E60" s="56"/>
      <c r="F60" s="56"/>
      <c r="G60" s="56"/>
      <c r="H60" s="56"/>
      <c r="I60" s="56"/>
      <c r="J60" s="56"/>
      <c r="K60" s="56"/>
      <c r="L60" s="56"/>
      <c r="M60" s="56"/>
      <c r="N60" s="62"/>
      <c r="O60" s="62"/>
      <c r="P60" s="62"/>
      <c r="R60" s="6"/>
      <c r="S60" s="65"/>
    </row>
    <row r="61" spans="3:19" x14ac:dyDescent="0.25">
      <c r="C61" s="56"/>
      <c r="D61" s="56"/>
      <c r="E61" s="56"/>
      <c r="F61" s="56"/>
      <c r="G61" s="56"/>
      <c r="H61" s="56"/>
      <c r="I61" s="56"/>
      <c r="J61" s="56"/>
      <c r="K61" s="56"/>
      <c r="L61" s="56"/>
      <c r="M61" s="56"/>
      <c r="N61" s="62"/>
      <c r="O61" s="62"/>
      <c r="P61" s="62"/>
      <c r="R61" s="6"/>
      <c r="S61" s="65"/>
    </row>
    <row r="62" spans="3:19" x14ac:dyDescent="0.25">
      <c r="C62" s="56"/>
      <c r="D62" s="56"/>
      <c r="E62" s="56"/>
      <c r="F62" s="56"/>
      <c r="G62" s="56"/>
      <c r="H62" s="56"/>
      <c r="I62" s="56"/>
      <c r="J62" s="56"/>
      <c r="K62" s="56"/>
      <c r="L62" s="56"/>
      <c r="M62" s="56"/>
      <c r="N62" s="62"/>
      <c r="O62" s="62"/>
      <c r="P62" s="62"/>
      <c r="R62" s="6"/>
      <c r="S62" s="65"/>
    </row>
    <row r="63" spans="3:19" x14ac:dyDescent="0.25">
      <c r="C63" s="56"/>
      <c r="D63" s="56"/>
      <c r="E63" s="56"/>
      <c r="F63" s="56"/>
      <c r="G63" s="56"/>
      <c r="H63" s="56"/>
      <c r="I63" s="56"/>
      <c r="J63" s="56"/>
      <c r="K63" s="56"/>
      <c r="L63" s="56"/>
      <c r="M63" s="56"/>
      <c r="N63" s="62"/>
      <c r="O63" s="62"/>
      <c r="P63" s="62"/>
      <c r="R63" s="6"/>
      <c r="S63" s="65"/>
    </row>
    <row r="64" spans="3:19" x14ac:dyDescent="0.25">
      <c r="C64" s="56"/>
      <c r="D64" s="56"/>
      <c r="E64" s="56"/>
      <c r="F64" s="56"/>
      <c r="G64" s="56"/>
      <c r="H64" s="56"/>
      <c r="I64" s="56"/>
      <c r="J64" s="56"/>
      <c r="K64" s="56"/>
      <c r="L64" s="56"/>
      <c r="M64" s="56"/>
      <c r="N64" s="62"/>
      <c r="O64" s="62"/>
      <c r="P64" s="62"/>
      <c r="R64" s="6"/>
      <c r="S64" s="65"/>
    </row>
    <row r="65" spans="3:19" x14ac:dyDescent="0.25">
      <c r="C65" s="56"/>
      <c r="D65" s="56"/>
      <c r="E65" s="56"/>
      <c r="F65" s="56"/>
      <c r="G65" s="56"/>
      <c r="H65" s="56"/>
      <c r="I65" s="56"/>
      <c r="J65" s="56"/>
      <c r="K65" s="56"/>
      <c r="L65" s="56"/>
      <c r="M65" s="56"/>
      <c r="N65" s="62"/>
      <c r="O65" s="62"/>
      <c r="P65" s="62"/>
      <c r="R65" s="6"/>
      <c r="S65" s="65"/>
    </row>
    <row r="66" spans="3:19" x14ac:dyDescent="0.25">
      <c r="C66" s="56"/>
      <c r="D66" s="56"/>
      <c r="E66" s="56"/>
      <c r="F66" s="56"/>
      <c r="G66" s="56"/>
      <c r="H66" s="56"/>
      <c r="I66" s="56"/>
      <c r="J66" s="56"/>
      <c r="K66" s="56"/>
      <c r="L66" s="56"/>
      <c r="M66" s="56"/>
      <c r="N66" s="62"/>
      <c r="O66" s="62"/>
      <c r="P66" s="62"/>
      <c r="R66" s="6"/>
      <c r="S66" s="65"/>
    </row>
    <row r="67" spans="3:19" x14ac:dyDescent="0.25">
      <c r="C67" s="56"/>
      <c r="D67" s="56"/>
      <c r="E67" s="56"/>
      <c r="F67" s="56"/>
      <c r="G67" s="56"/>
      <c r="H67" s="56"/>
      <c r="I67" s="56"/>
      <c r="J67" s="56"/>
      <c r="K67" s="56"/>
      <c r="L67" s="56"/>
      <c r="M67" s="56"/>
      <c r="N67" s="62"/>
      <c r="O67" s="62"/>
      <c r="P67" s="62"/>
      <c r="R67" s="6"/>
      <c r="S67" s="65"/>
    </row>
    <row r="68" spans="3:19" x14ac:dyDescent="0.25">
      <c r="C68" s="56"/>
      <c r="D68" s="56"/>
      <c r="E68" s="56"/>
      <c r="F68" s="56"/>
      <c r="G68" s="56"/>
      <c r="H68" s="56"/>
      <c r="I68" s="56"/>
      <c r="J68" s="56"/>
      <c r="K68" s="56"/>
      <c r="L68" s="56"/>
      <c r="M68" s="56"/>
      <c r="N68" s="62"/>
      <c r="O68" s="62"/>
      <c r="P68" s="62"/>
      <c r="R68" s="6"/>
      <c r="S68" s="65"/>
    </row>
    <row r="69" spans="3:19" x14ac:dyDescent="0.25">
      <c r="C69" s="56"/>
      <c r="D69" s="56"/>
      <c r="E69" s="56"/>
      <c r="F69" s="56"/>
      <c r="G69" s="56"/>
      <c r="H69" s="56"/>
      <c r="I69" s="56"/>
      <c r="J69" s="56"/>
      <c r="K69" s="56"/>
      <c r="L69" s="56"/>
      <c r="M69" s="56"/>
      <c r="N69" s="62"/>
      <c r="O69" s="62"/>
      <c r="P69" s="62"/>
      <c r="R69" s="6"/>
      <c r="S69" s="65"/>
    </row>
    <row r="70" spans="3:19" x14ac:dyDescent="0.25">
      <c r="C70" s="56"/>
      <c r="D70" s="56"/>
      <c r="E70" s="56"/>
      <c r="F70" s="56"/>
      <c r="G70" s="56"/>
      <c r="H70" s="56"/>
      <c r="I70" s="56"/>
      <c r="J70" s="56"/>
      <c r="K70" s="56"/>
      <c r="L70" s="56"/>
      <c r="M70" s="56"/>
      <c r="N70" s="62"/>
      <c r="O70" s="62"/>
      <c r="P70" s="62"/>
      <c r="R70" s="6"/>
      <c r="S70" s="65"/>
    </row>
    <row r="71" spans="3:19" x14ac:dyDescent="0.25">
      <c r="C71" s="56"/>
      <c r="D71" s="56"/>
      <c r="E71" s="56"/>
      <c r="F71" s="56"/>
      <c r="G71" s="56"/>
      <c r="H71" s="56"/>
      <c r="I71" s="56"/>
      <c r="J71" s="56"/>
      <c r="K71" s="56"/>
      <c r="L71" s="56"/>
      <c r="M71" s="56"/>
      <c r="N71" s="62"/>
      <c r="O71" s="62"/>
      <c r="P71" s="62"/>
      <c r="R71" s="6"/>
      <c r="S71" s="65"/>
    </row>
    <row r="72" spans="3:19" x14ac:dyDescent="0.25">
      <c r="C72" s="56"/>
      <c r="D72" s="56"/>
      <c r="E72" s="56"/>
      <c r="F72" s="56"/>
      <c r="G72" s="56"/>
      <c r="H72" s="56"/>
      <c r="I72" s="56"/>
      <c r="J72" s="56"/>
      <c r="K72" s="56"/>
      <c r="L72" s="56"/>
      <c r="M72" s="56"/>
      <c r="N72" s="62"/>
      <c r="O72" s="62"/>
      <c r="P72" s="62"/>
      <c r="R72" s="6"/>
      <c r="S72" s="65"/>
    </row>
    <row r="73" spans="3:19" x14ac:dyDescent="0.25">
      <c r="C73" s="56"/>
      <c r="D73" s="56"/>
      <c r="E73" s="56"/>
      <c r="F73" s="56"/>
      <c r="G73" s="56"/>
      <c r="H73" s="56"/>
      <c r="I73" s="56"/>
      <c r="J73" s="56"/>
      <c r="K73" s="56"/>
      <c r="L73" s="56"/>
      <c r="M73" s="56"/>
      <c r="N73" s="62"/>
      <c r="O73" s="62"/>
      <c r="P73" s="62"/>
      <c r="R73" s="6"/>
      <c r="S73" s="65"/>
    </row>
    <row r="74" spans="3:19" x14ac:dyDescent="0.25">
      <c r="C74" s="56"/>
      <c r="D74" s="56"/>
      <c r="E74" s="56"/>
      <c r="F74" s="56"/>
      <c r="G74" s="56"/>
      <c r="H74" s="56"/>
      <c r="I74" s="56"/>
      <c r="J74" s="56"/>
      <c r="K74" s="56"/>
      <c r="L74" s="56"/>
      <c r="M74" s="56"/>
      <c r="N74" s="62"/>
      <c r="O74" s="62"/>
      <c r="P74" s="62"/>
      <c r="R74" s="6"/>
      <c r="S74" s="65"/>
    </row>
    <row r="75" spans="3:19" x14ac:dyDescent="0.25">
      <c r="C75" s="56"/>
      <c r="D75" s="56"/>
      <c r="E75" s="56"/>
      <c r="F75" s="56"/>
      <c r="G75" s="56"/>
      <c r="H75" s="56"/>
      <c r="I75" s="56"/>
      <c r="J75" s="56"/>
      <c r="K75" s="56"/>
      <c r="L75" s="56"/>
      <c r="M75" s="56"/>
      <c r="N75" s="62"/>
      <c r="O75" s="62"/>
      <c r="P75" s="62"/>
      <c r="R75" s="6"/>
      <c r="S75" s="65"/>
    </row>
    <row r="76" spans="3:19" x14ac:dyDescent="0.25">
      <c r="C76" s="56"/>
      <c r="D76" s="56"/>
      <c r="E76" s="56"/>
      <c r="F76" s="56"/>
      <c r="G76" s="56"/>
      <c r="H76" s="56"/>
      <c r="I76" s="56"/>
      <c r="J76" s="56"/>
      <c r="K76" s="56"/>
      <c r="L76" s="56"/>
      <c r="M76" s="56"/>
      <c r="N76" s="62"/>
      <c r="O76" s="62"/>
      <c r="P76" s="62"/>
      <c r="R76" s="6"/>
      <c r="S76" s="65"/>
    </row>
    <row r="77" spans="3:19" x14ac:dyDescent="0.25">
      <c r="C77" s="56"/>
      <c r="D77" s="56"/>
      <c r="E77" s="56"/>
      <c r="F77" s="56"/>
      <c r="G77" s="56"/>
      <c r="H77" s="56"/>
      <c r="I77" s="56"/>
      <c r="J77" s="56"/>
      <c r="K77" s="56"/>
      <c r="L77" s="56"/>
      <c r="M77" s="56"/>
      <c r="N77" s="62"/>
      <c r="O77" s="62"/>
      <c r="P77" s="62"/>
      <c r="R77" s="6"/>
      <c r="S77" s="65"/>
    </row>
    <row r="78" spans="3:19" x14ac:dyDescent="0.25">
      <c r="C78" s="56"/>
      <c r="D78" s="56"/>
      <c r="E78" s="56"/>
      <c r="F78" s="56"/>
      <c r="G78" s="56"/>
      <c r="H78" s="56"/>
      <c r="I78" s="56"/>
      <c r="J78" s="56"/>
      <c r="K78" s="56"/>
      <c r="L78" s="56"/>
      <c r="M78" s="56"/>
      <c r="N78" s="62"/>
      <c r="O78" s="62"/>
      <c r="P78" s="62"/>
      <c r="R78" s="6"/>
      <c r="S78" s="65"/>
    </row>
    <row r="79" spans="3:19" x14ac:dyDescent="0.25">
      <c r="C79" s="56"/>
      <c r="D79" s="56"/>
      <c r="E79" s="56"/>
      <c r="F79" s="56"/>
      <c r="G79" s="56"/>
      <c r="H79" s="56"/>
      <c r="I79" s="56"/>
      <c r="J79" s="56"/>
      <c r="K79" s="56"/>
      <c r="L79" s="56"/>
      <c r="M79" s="56"/>
      <c r="N79" s="62"/>
      <c r="O79" s="62"/>
      <c r="P79" s="62"/>
      <c r="R79" s="6"/>
      <c r="S79" s="65"/>
    </row>
    <row r="80" spans="3:19" x14ac:dyDescent="0.25">
      <c r="C80" s="56"/>
      <c r="D80" s="56"/>
      <c r="E80" s="56"/>
      <c r="F80" s="56"/>
      <c r="G80" s="56"/>
      <c r="H80" s="56"/>
      <c r="I80" s="56"/>
      <c r="J80" s="56"/>
      <c r="K80" s="56"/>
      <c r="L80" s="56"/>
      <c r="M80" s="56"/>
      <c r="N80" s="62"/>
      <c r="O80" s="62"/>
      <c r="P80" s="62"/>
      <c r="R80" s="6"/>
      <c r="S80" s="65"/>
    </row>
    <row r="81" spans="3:19" x14ac:dyDescent="0.25">
      <c r="C81" s="56"/>
      <c r="D81" s="56"/>
      <c r="E81" s="56"/>
      <c r="F81" s="56"/>
      <c r="G81" s="56"/>
      <c r="H81" s="56"/>
      <c r="I81" s="56"/>
      <c r="J81" s="56"/>
      <c r="K81" s="56"/>
      <c r="L81" s="56"/>
      <c r="M81" s="56"/>
      <c r="N81" s="62"/>
      <c r="O81" s="62"/>
      <c r="P81" s="62"/>
      <c r="R81" s="6"/>
      <c r="S81" s="65"/>
    </row>
    <row r="82" spans="3:19" x14ac:dyDescent="0.25">
      <c r="C82" s="56"/>
      <c r="D82" s="56"/>
      <c r="E82" s="56"/>
      <c r="F82" s="56"/>
      <c r="G82" s="56"/>
      <c r="H82" s="56"/>
      <c r="I82" s="56"/>
      <c r="J82" s="56"/>
      <c r="K82" s="56"/>
      <c r="L82" s="56"/>
      <c r="M82" s="56"/>
      <c r="N82" s="62"/>
      <c r="O82" s="62"/>
      <c r="P82" s="62"/>
      <c r="R82" s="6"/>
      <c r="S82" s="65"/>
    </row>
    <row r="83" spans="3:19" x14ac:dyDescent="0.25">
      <c r="C83" s="56"/>
      <c r="D83" s="56"/>
      <c r="E83" s="56"/>
      <c r="F83" s="56"/>
      <c r="G83" s="56"/>
      <c r="H83" s="56"/>
      <c r="I83" s="56"/>
      <c r="J83" s="56"/>
      <c r="K83" s="56"/>
      <c r="L83" s="56"/>
      <c r="M83" s="56"/>
      <c r="N83" s="62"/>
      <c r="O83" s="62"/>
      <c r="P83" s="62"/>
      <c r="R83" s="6"/>
      <c r="S83" s="65"/>
    </row>
    <row r="84" spans="3:19" x14ac:dyDescent="0.25">
      <c r="C84" s="56"/>
      <c r="D84" s="56"/>
      <c r="E84" s="56"/>
      <c r="F84" s="56"/>
      <c r="G84" s="56"/>
      <c r="H84" s="56"/>
      <c r="I84" s="56"/>
      <c r="J84" s="56"/>
      <c r="K84" s="56"/>
      <c r="L84" s="56"/>
      <c r="M84" s="56"/>
      <c r="N84" s="62"/>
      <c r="O84" s="62"/>
      <c r="P84" s="62"/>
      <c r="R84" s="6"/>
      <c r="S84" s="65"/>
    </row>
    <row r="85" spans="3:19" x14ac:dyDescent="0.25">
      <c r="C85" s="56"/>
      <c r="D85" s="56"/>
      <c r="E85" s="56"/>
      <c r="F85" s="56"/>
      <c r="G85" s="56"/>
      <c r="H85" s="56"/>
      <c r="I85" s="56"/>
      <c r="J85" s="56"/>
      <c r="K85" s="56"/>
      <c r="L85" s="56"/>
      <c r="M85" s="56"/>
      <c r="N85" s="62"/>
      <c r="O85" s="62"/>
      <c r="P85" s="62"/>
      <c r="R85" s="6"/>
      <c r="S85" s="65"/>
    </row>
    <row r="86" spans="3:19" x14ac:dyDescent="0.25">
      <c r="C86" s="56"/>
      <c r="D86" s="56"/>
      <c r="E86" s="56"/>
      <c r="F86" s="56"/>
      <c r="G86" s="56"/>
      <c r="H86" s="56"/>
      <c r="I86" s="56"/>
      <c r="J86" s="56"/>
      <c r="K86" s="56"/>
      <c r="L86" s="56"/>
      <c r="M86" s="56"/>
      <c r="N86" s="62"/>
      <c r="O86" s="62"/>
      <c r="P86" s="62"/>
      <c r="R86" s="6"/>
      <c r="S86" s="65"/>
    </row>
    <row r="87" spans="3:19" x14ac:dyDescent="0.25">
      <c r="C87" s="56"/>
      <c r="D87" s="56"/>
      <c r="E87" s="56"/>
      <c r="F87" s="56"/>
      <c r="G87" s="56"/>
      <c r="H87" s="56"/>
      <c r="I87" s="56"/>
      <c r="J87" s="56"/>
      <c r="K87" s="56"/>
      <c r="L87" s="56"/>
      <c r="M87" s="56"/>
      <c r="N87" s="62"/>
      <c r="O87" s="62"/>
      <c r="P87" s="62"/>
      <c r="R87" s="6"/>
      <c r="S87" s="65"/>
    </row>
    <row r="88" spans="3:19" x14ac:dyDescent="0.25">
      <c r="C88" s="56"/>
      <c r="D88" s="56"/>
      <c r="E88" s="56"/>
      <c r="F88" s="56"/>
      <c r="G88" s="56"/>
      <c r="H88" s="56"/>
      <c r="I88" s="56"/>
      <c r="J88" s="56"/>
      <c r="K88" s="56"/>
      <c r="L88" s="56"/>
      <c r="M88" s="56"/>
      <c r="N88" s="62"/>
      <c r="O88" s="62"/>
      <c r="P88" s="62"/>
      <c r="R88" s="6"/>
      <c r="S88" s="65"/>
    </row>
    <row r="89" spans="3:19" x14ac:dyDescent="0.25">
      <c r="C89" s="56"/>
      <c r="D89" s="56"/>
      <c r="E89" s="56"/>
      <c r="F89" s="56"/>
      <c r="G89" s="56"/>
      <c r="H89" s="56"/>
      <c r="I89" s="56"/>
      <c r="J89" s="56"/>
      <c r="K89" s="56"/>
      <c r="L89" s="56"/>
      <c r="M89" s="56"/>
      <c r="N89" s="62"/>
      <c r="O89" s="62"/>
      <c r="P89" s="62"/>
      <c r="R89" s="6"/>
      <c r="S89" s="65"/>
    </row>
    <row r="90" spans="3:19" x14ac:dyDescent="0.25">
      <c r="C90" s="56"/>
      <c r="D90" s="56"/>
      <c r="E90" s="56"/>
      <c r="F90" s="56"/>
      <c r="G90" s="56"/>
      <c r="H90" s="56"/>
      <c r="I90" s="56"/>
      <c r="J90" s="56"/>
      <c r="K90" s="56"/>
      <c r="L90" s="56"/>
      <c r="M90" s="56"/>
      <c r="N90" s="62"/>
      <c r="O90" s="62"/>
      <c r="P90" s="62"/>
      <c r="R90" s="6"/>
      <c r="S90" s="65"/>
    </row>
    <row r="91" spans="3:19" x14ac:dyDescent="0.25">
      <c r="C91" s="56"/>
      <c r="D91" s="56"/>
      <c r="E91" s="56"/>
      <c r="F91" s="56"/>
      <c r="G91" s="56"/>
      <c r="H91" s="56"/>
      <c r="I91" s="56"/>
      <c r="J91" s="56"/>
      <c r="K91" s="56"/>
      <c r="L91" s="56"/>
      <c r="M91" s="56"/>
      <c r="N91" s="62"/>
      <c r="O91" s="62"/>
      <c r="P91" s="62"/>
      <c r="R91" s="6"/>
      <c r="S91" s="65"/>
    </row>
    <row r="92" spans="3:19" x14ac:dyDescent="0.25">
      <c r="C92" s="56"/>
      <c r="D92" s="56"/>
      <c r="E92" s="56"/>
      <c r="F92" s="56"/>
      <c r="G92" s="56"/>
      <c r="H92" s="56"/>
      <c r="I92" s="56"/>
      <c r="J92" s="56"/>
      <c r="K92" s="56"/>
      <c r="L92" s="56"/>
      <c r="M92" s="56"/>
      <c r="N92" s="62"/>
      <c r="O92" s="62"/>
      <c r="P92" s="62"/>
      <c r="R92" s="6"/>
      <c r="S92" s="65"/>
    </row>
    <row r="93" spans="3:19" x14ac:dyDescent="0.25">
      <c r="C93" s="56"/>
      <c r="D93" s="56"/>
      <c r="E93" s="56"/>
      <c r="F93" s="56"/>
      <c r="G93" s="56"/>
      <c r="H93" s="56"/>
      <c r="I93" s="56"/>
      <c r="J93" s="56"/>
      <c r="K93" s="56"/>
      <c r="L93" s="56"/>
      <c r="M93" s="56"/>
      <c r="N93" s="62"/>
      <c r="O93" s="62"/>
      <c r="P93" s="62"/>
      <c r="R93" s="6"/>
      <c r="S93" s="65"/>
    </row>
    <row r="94" spans="3:19" x14ac:dyDescent="0.25">
      <c r="C94" s="56"/>
      <c r="D94" s="56"/>
      <c r="E94" s="56"/>
      <c r="F94" s="56"/>
      <c r="G94" s="56"/>
      <c r="H94" s="56"/>
      <c r="I94" s="56"/>
      <c r="J94" s="56"/>
      <c r="K94" s="56"/>
      <c r="L94" s="56"/>
      <c r="M94" s="56"/>
      <c r="N94" s="62"/>
      <c r="O94" s="62"/>
      <c r="P94" s="62"/>
      <c r="R94" s="6"/>
      <c r="S94" s="65"/>
    </row>
    <row r="95" spans="3:19" x14ac:dyDescent="0.25">
      <c r="C95" s="56"/>
      <c r="D95" s="56"/>
      <c r="E95" s="56"/>
      <c r="F95" s="56"/>
      <c r="G95" s="56"/>
      <c r="H95" s="56"/>
      <c r="I95" s="56"/>
      <c r="J95" s="56"/>
      <c r="K95" s="56"/>
      <c r="L95" s="56"/>
      <c r="M95" s="56"/>
      <c r="N95" s="62"/>
      <c r="O95" s="62"/>
      <c r="P95" s="62"/>
      <c r="R95" s="6"/>
      <c r="S95" s="65"/>
    </row>
    <row r="96" spans="3:19" x14ac:dyDescent="0.25">
      <c r="C96" s="56"/>
      <c r="D96" s="56"/>
      <c r="E96" s="56"/>
      <c r="F96" s="56"/>
      <c r="G96" s="56"/>
      <c r="H96" s="56"/>
      <c r="I96" s="56"/>
      <c r="J96" s="56"/>
      <c r="K96" s="56"/>
      <c r="L96" s="56"/>
      <c r="M96" s="56"/>
      <c r="N96" s="62"/>
      <c r="O96" s="62"/>
      <c r="P96" s="62"/>
      <c r="R96" s="6"/>
      <c r="S96" s="65"/>
    </row>
    <row r="97" spans="3:19" x14ac:dyDescent="0.25">
      <c r="C97" s="56"/>
      <c r="D97" s="56"/>
      <c r="E97" s="56"/>
      <c r="F97" s="56"/>
      <c r="G97" s="56"/>
      <c r="H97" s="56"/>
      <c r="I97" s="56"/>
      <c r="J97" s="56"/>
      <c r="K97" s="56"/>
      <c r="L97" s="56"/>
      <c r="M97" s="56"/>
      <c r="N97" s="62"/>
      <c r="O97" s="62"/>
      <c r="P97" s="62"/>
      <c r="R97" s="6"/>
      <c r="S97" s="65"/>
    </row>
    <row r="98" spans="3:19" x14ac:dyDescent="0.25">
      <c r="C98" s="56"/>
      <c r="D98" s="56"/>
      <c r="E98" s="56"/>
      <c r="F98" s="56"/>
      <c r="G98" s="56"/>
      <c r="H98" s="56"/>
      <c r="I98" s="56"/>
      <c r="J98" s="56"/>
      <c r="K98" s="56"/>
      <c r="L98" s="56"/>
      <c r="M98" s="56"/>
      <c r="N98" s="62"/>
      <c r="O98" s="62"/>
      <c r="P98" s="62"/>
      <c r="R98" s="6"/>
      <c r="S98" s="65"/>
    </row>
    <row r="99" spans="3:19" x14ac:dyDescent="0.25">
      <c r="C99" s="56"/>
      <c r="D99" s="56"/>
      <c r="E99" s="56"/>
      <c r="F99" s="56"/>
      <c r="G99" s="56"/>
      <c r="H99" s="56"/>
      <c r="I99" s="56"/>
      <c r="J99" s="56"/>
      <c r="K99" s="56"/>
      <c r="L99" s="56"/>
      <c r="M99" s="56"/>
      <c r="N99" s="62"/>
      <c r="O99" s="62"/>
      <c r="P99" s="62"/>
      <c r="R99" s="6"/>
      <c r="S99" s="65"/>
    </row>
    <row r="100" spans="3:19" x14ac:dyDescent="0.25">
      <c r="C100" s="56"/>
      <c r="D100" s="56"/>
      <c r="E100" s="56"/>
      <c r="F100" s="56"/>
      <c r="G100" s="56"/>
      <c r="H100" s="56"/>
      <c r="I100" s="56"/>
      <c r="J100" s="56"/>
      <c r="K100" s="56"/>
      <c r="L100" s="56"/>
      <c r="M100" s="56"/>
      <c r="N100" s="62"/>
      <c r="O100" s="62"/>
      <c r="P100" s="62"/>
      <c r="R100" s="6"/>
      <c r="S100" s="65"/>
    </row>
  </sheetData>
  <mergeCells count="4">
    <mergeCell ref="AR2:AW2"/>
    <mergeCell ref="U2:AA2"/>
    <mergeCell ref="AD2:AJ2"/>
    <mergeCell ref="AM2:AP2"/>
  </mergeCells>
  <dataValidations count="5">
    <dataValidation type="list" allowBlank="1" showInputMessage="1" showErrorMessage="1" sqref="U21" xr:uid="{422FA81D-DE30-41A0-BD82-5C1A83403488}">
      <formula1>"DeathGuard,Space Marines,Drukhari, Daemons, T'Au, Imperial Guard, Sisters of Battle, Thousand Sons"</formula1>
    </dataValidation>
    <dataValidation type="list" allowBlank="1" showInputMessage="1" showErrorMessage="1" sqref="R4:R100" xr:uid="{745BE5ED-D12D-4AD8-94C5-209832691B6F}">
      <formula1>"Ranged,Melee"</formula1>
    </dataValidation>
    <dataValidation type="list" allowBlank="1" showInputMessage="1" showErrorMessage="1" sqref="AN4:AN30 AT4:AT30" xr:uid="{4CB09655-89E7-449D-AC6B-79537B3FD780}">
      <formula1>"Attacker,Target"</formula1>
    </dataValidation>
    <dataValidation type="list" allowBlank="1" showInputMessage="1" showErrorMessage="1" sqref="AO4:AO30 AU4:AU30" xr:uid="{BD537882-5E38-4BB8-A6F7-83BBC808DC1D}">
      <formula1>"Shooting,Fighting,Both"</formula1>
    </dataValidation>
    <dataValidation type="whole" allowBlank="1" showInputMessage="1" showErrorMessage="1" promptTitle="Qty" prompt="How many of this weapon the unit carries. Blank = 1. Use 0 for alternate profiles (e.g. frag/krak) you don't want counted together." sqref="S4:S100" xr:uid="{FD20E5E3-54BA-4CF5-8BFF-1DF640B577AC}">
      <formula1>0</formula1>
      <formula2>100</formula2>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9E199-24B2-4C45-AD77-1A668D240891}">
  <sheetPr codeName="Sheet11">
    <tabColor theme="6"/>
  </sheetPr>
  <dimension ref="B2:AW100"/>
  <sheetViews>
    <sheetView zoomScaleNormal="100" workbookViewId="0">
      <selection activeCell="I52" sqref="I52"/>
    </sheetView>
  </sheetViews>
  <sheetFormatPr defaultRowHeight="15" x14ac:dyDescent="0.25"/>
  <cols>
    <col min="2" max="2" width="21.7109375" bestFit="1" customWidth="1"/>
    <col min="3" max="7" width="7.42578125" customWidth="1"/>
    <col min="8" max="8" width="13" customWidth="1"/>
    <col min="9" max="13" width="8.85546875" customWidth="1"/>
    <col min="14" max="15" width="29.7109375" customWidth="1"/>
    <col min="16" max="16" width="48.140625" customWidth="1"/>
    <col min="17" max="17" width="26" bestFit="1" customWidth="1"/>
    <col min="18" max="18" width="4.7109375" customWidth="1"/>
    <col min="19" max="19" width="6.7109375" customWidth="1"/>
    <col min="20" max="20" width="1.85546875" customWidth="1"/>
    <col min="21" max="21" width="26.28515625" bestFit="1" customWidth="1"/>
    <col min="22" max="22" width="4.42578125" bestFit="1" customWidth="1"/>
    <col min="23" max="23" width="5.42578125" bestFit="1" customWidth="1"/>
    <col min="24" max="24" width="4.28515625" bestFit="1" customWidth="1"/>
    <col min="25" max="25" width="5.5703125" bestFit="1" customWidth="1"/>
    <col min="26" max="26" width="4.5703125" bestFit="1" customWidth="1"/>
    <col min="27" max="27" width="20.42578125" bestFit="1" customWidth="1"/>
    <col min="28" max="29" width="1.85546875" customWidth="1"/>
    <col min="30" max="30" width="11.85546875" bestFit="1" customWidth="1"/>
    <col min="39" max="39" width="27.7109375" customWidth="1"/>
    <col min="40" max="41" width="12" customWidth="1"/>
    <col min="42" max="42" width="37" customWidth="1"/>
    <col min="44" max="44" width="27.7109375" customWidth="1"/>
    <col min="45" max="45" width="6.42578125" customWidth="1"/>
    <col min="46" max="47" width="13" customWidth="1"/>
    <col min="48" max="48" width="31.42578125" customWidth="1"/>
    <col min="49" max="49" width="40.7109375" customWidth="1"/>
  </cols>
  <sheetData>
    <row r="2" spans="2:49" x14ac:dyDescent="0.25">
      <c r="B2" s="57" t="s">
        <v>185</v>
      </c>
      <c r="C2" s="57"/>
      <c r="D2" s="57"/>
      <c r="E2" s="57"/>
      <c r="F2" s="57"/>
      <c r="G2" s="57"/>
      <c r="H2" s="57"/>
      <c r="I2" s="57"/>
      <c r="J2" s="57"/>
      <c r="K2" s="57"/>
      <c r="L2" s="57"/>
      <c r="M2" s="57"/>
      <c r="N2" s="57"/>
      <c r="O2" s="57"/>
      <c r="P2" s="57"/>
      <c r="Q2" s="57"/>
      <c r="R2" s="57"/>
      <c r="U2" s="131" t="s">
        <v>186</v>
      </c>
      <c r="V2" s="131"/>
      <c r="W2" s="131"/>
      <c r="X2" s="131"/>
      <c r="Y2" s="131"/>
      <c r="Z2" s="131"/>
      <c r="AA2" s="131"/>
      <c r="AD2" s="131" t="s">
        <v>242</v>
      </c>
      <c r="AE2" s="131"/>
      <c r="AF2" s="131"/>
      <c r="AG2" s="131"/>
      <c r="AH2" s="131"/>
      <c r="AI2" s="131"/>
      <c r="AJ2" s="131"/>
      <c r="AM2" s="134" t="s">
        <v>188</v>
      </c>
      <c r="AN2" s="134"/>
      <c r="AO2" s="134"/>
      <c r="AP2" s="134"/>
      <c r="AR2" s="132" t="s">
        <v>189</v>
      </c>
      <c r="AS2" s="133"/>
      <c r="AT2" s="133"/>
      <c r="AU2" s="133"/>
      <c r="AV2" s="133"/>
      <c r="AW2" s="133"/>
    </row>
    <row r="3" spans="2:49" x14ac:dyDescent="0.25">
      <c r="B3" t="s">
        <v>190</v>
      </c>
      <c r="C3" t="s">
        <v>129</v>
      </c>
      <c r="D3" t="s">
        <v>130</v>
      </c>
      <c r="E3" t="s">
        <v>131</v>
      </c>
      <c r="F3" t="s">
        <v>132</v>
      </c>
      <c r="G3" t="s">
        <v>133</v>
      </c>
      <c r="H3" t="s">
        <v>134</v>
      </c>
      <c r="I3" t="s">
        <v>496</v>
      </c>
      <c r="J3" t="s">
        <v>497</v>
      </c>
      <c r="K3" t="s">
        <v>498</v>
      </c>
      <c r="L3" t="s">
        <v>499</v>
      </c>
      <c r="M3" t="s">
        <v>500</v>
      </c>
      <c r="N3" t="s">
        <v>9</v>
      </c>
      <c r="O3" t="s">
        <v>501</v>
      </c>
      <c r="P3" t="s">
        <v>502</v>
      </c>
      <c r="Q3" t="s">
        <v>122</v>
      </c>
      <c r="R3" s="2" t="s">
        <v>177</v>
      </c>
      <c r="S3" s="2" t="s">
        <v>493</v>
      </c>
      <c r="U3" s="3" t="s">
        <v>122</v>
      </c>
      <c r="V3" s="3" t="s">
        <v>123</v>
      </c>
      <c r="W3" s="3" t="s">
        <v>124</v>
      </c>
      <c r="X3" s="3" t="s">
        <v>125</v>
      </c>
      <c r="Y3" s="3" t="s">
        <v>126</v>
      </c>
      <c r="Z3" s="3" t="s">
        <v>127</v>
      </c>
      <c r="AA3" s="3" t="s">
        <v>128</v>
      </c>
      <c r="AB3" s="2"/>
      <c r="AD3" s="3" t="s">
        <v>122</v>
      </c>
      <c r="AE3" s="3" t="s">
        <v>123</v>
      </c>
      <c r="AF3" s="3" t="s">
        <v>124</v>
      </c>
      <c r="AG3" s="3" t="s">
        <v>125</v>
      </c>
      <c r="AH3" s="3" t="s">
        <v>126</v>
      </c>
      <c r="AI3" s="3" t="s">
        <v>127</v>
      </c>
      <c r="AJ3" s="3" t="s">
        <v>128</v>
      </c>
      <c r="AM3" s="3" t="s">
        <v>191</v>
      </c>
      <c r="AN3" s="3" t="s">
        <v>192</v>
      </c>
      <c r="AO3" s="3" t="s">
        <v>193</v>
      </c>
      <c r="AP3" s="3" t="s">
        <v>128</v>
      </c>
      <c r="AR3" s="3" t="s">
        <v>194</v>
      </c>
      <c r="AS3" s="3" t="s">
        <v>195</v>
      </c>
      <c r="AT3" s="3" t="s">
        <v>192</v>
      </c>
      <c r="AU3" s="3" t="s">
        <v>193</v>
      </c>
      <c r="AV3" s="3" t="s">
        <v>128</v>
      </c>
      <c r="AW3" s="3" t="s">
        <v>196</v>
      </c>
    </row>
    <row r="4" spans="2:49" x14ac:dyDescent="0.25">
      <c r="C4" s="56"/>
      <c r="D4" s="56"/>
      <c r="E4" s="56"/>
      <c r="F4" s="56"/>
      <c r="G4" s="56"/>
      <c r="H4" s="56"/>
      <c r="I4" s="56"/>
      <c r="J4" s="56"/>
      <c r="K4" s="56"/>
      <c r="L4" s="56"/>
      <c r="M4" s="56"/>
      <c r="N4" s="62"/>
      <c r="O4" s="62"/>
      <c r="P4" s="62"/>
      <c r="R4" s="6"/>
      <c r="S4" s="65"/>
      <c r="AA4" s="2"/>
      <c r="AB4" s="2"/>
      <c r="AD4" s="3"/>
      <c r="AE4" s="2"/>
      <c r="AF4" s="2"/>
      <c r="AG4" s="2"/>
      <c r="AH4" s="2"/>
      <c r="AI4" s="2"/>
      <c r="AJ4" s="2"/>
      <c r="AN4" s="6"/>
      <c r="AO4" s="6"/>
      <c r="AS4" s="6"/>
      <c r="AT4" s="6"/>
      <c r="AU4" s="6"/>
    </row>
    <row r="5" spans="2:49" x14ac:dyDescent="0.25">
      <c r="B5" s="4"/>
      <c r="C5" s="56"/>
      <c r="D5" s="56"/>
      <c r="E5" s="56"/>
      <c r="F5" s="56"/>
      <c r="G5" s="56"/>
      <c r="H5" s="56"/>
      <c r="I5" s="56"/>
      <c r="J5" s="56"/>
      <c r="K5" s="56"/>
      <c r="L5" s="56"/>
      <c r="M5" s="56"/>
      <c r="N5" s="62"/>
      <c r="O5" s="62"/>
      <c r="P5" s="62"/>
      <c r="Q5" s="3"/>
      <c r="R5" s="6"/>
      <c r="S5" s="65"/>
      <c r="U5" s="3"/>
      <c r="V5" s="2"/>
      <c r="W5" s="2"/>
      <c r="X5" s="2"/>
      <c r="Y5" s="2"/>
      <c r="Z5" s="2"/>
      <c r="AA5" s="2"/>
      <c r="AB5" s="2"/>
      <c r="AN5" s="6"/>
      <c r="AO5" s="6"/>
      <c r="AS5" s="6"/>
      <c r="AT5" s="6"/>
      <c r="AU5" s="6"/>
    </row>
    <row r="6" spans="2:49" x14ac:dyDescent="0.25">
      <c r="B6" s="4"/>
      <c r="C6" s="56"/>
      <c r="D6" s="56"/>
      <c r="E6" s="56"/>
      <c r="F6" s="56"/>
      <c r="G6" s="56"/>
      <c r="H6" s="56"/>
      <c r="I6" s="56"/>
      <c r="J6" s="56"/>
      <c r="K6" s="56"/>
      <c r="L6" s="56"/>
      <c r="M6" s="56"/>
      <c r="N6" s="62"/>
      <c r="O6" s="62"/>
      <c r="P6" s="62"/>
      <c r="Q6" s="3"/>
      <c r="R6" s="6"/>
      <c r="S6" s="65"/>
      <c r="U6" s="3"/>
      <c r="V6" s="2"/>
      <c r="W6" s="2"/>
      <c r="X6" s="2"/>
      <c r="Y6" s="2"/>
      <c r="Z6" s="2"/>
      <c r="AA6" s="2"/>
      <c r="AB6" s="2"/>
      <c r="AN6" s="6"/>
      <c r="AO6" s="6"/>
      <c r="AS6" s="6"/>
      <c r="AT6" s="6"/>
      <c r="AU6" s="6"/>
    </row>
    <row r="7" spans="2:49" x14ac:dyDescent="0.25">
      <c r="B7" s="4"/>
      <c r="C7" s="56"/>
      <c r="D7" s="56"/>
      <c r="E7" s="56"/>
      <c r="F7" s="56"/>
      <c r="G7" s="56"/>
      <c r="H7" s="56"/>
      <c r="I7" s="56"/>
      <c r="J7" s="56"/>
      <c r="K7" s="56"/>
      <c r="L7" s="56"/>
      <c r="M7" s="56"/>
      <c r="N7" s="62"/>
      <c r="O7" s="62"/>
      <c r="P7" s="62"/>
      <c r="Q7" s="3"/>
      <c r="R7" s="6"/>
      <c r="S7" s="65"/>
      <c r="U7" s="3"/>
      <c r="V7" s="2"/>
      <c r="W7" s="2"/>
      <c r="X7" s="2"/>
      <c r="Y7" s="2"/>
      <c r="Z7" s="2"/>
      <c r="AA7" s="2"/>
      <c r="AB7" s="2"/>
      <c r="AN7" s="6"/>
      <c r="AO7" s="6"/>
      <c r="AS7" s="6"/>
      <c r="AT7" s="6"/>
      <c r="AU7" s="6"/>
    </row>
    <row r="8" spans="2:49" x14ac:dyDescent="0.25">
      <c r="B8" s="4"/>
      <c r="C8" s="56"/>
      <c r="D8" s="56"/>
      <c r="E8" s="56"/>
      <c r="F8" s="56"/>
      <c r="G8" s="56"/>
      <c r="H8" s="56"/>
      <c r="I8" s="56"/>
      <c r="J8" s="56"/>
      <c r="K8" s="56"/>
      <c r="L8" s="56"/>
      <c r="M8" s="56"/>
      <c r="N8" s="62"/>
      <c r="O8" s="62"/>
      <c r="P8" s="62"/>
      <c r="Q8" s="3"/>
      <c r="R8" s="6"/>
      <c r="S8" s="65"/>
      <c r="U8" s="3"/>
      <c r="W8" s="2"/>
      <c r="X8" s="2"/>
      <c r="Y8" s="2"/>
      <c r="Z8" s="2"/>
      <c r="AA8" s="2"/>
      <c r="AN8" s="6"/>
      <c r="AO8" s="6"/>
      <c r="AS8" s="6"/>
      <c r="AT8" s="6"/>
      <c r="AU8" s="6"/>
    </row>
    <row r="9" spans="2:49" x14ac:dyDescent="0.25">
      <c r="B9" s="4"/>
      <c r="C9" s="56"/>
      <c r="D9" s="56"/>
      <c r="E9" s="56"/>
      <c r="F9" s="56"/>
      <c r="G9" s="56"/>
      <c r="H9" s="56"/>
      <c r="I9" s="56"/>
      <c r="J9" s="56"/>
      <c r="K9" s="56"/>
      <c r="L9" s="56"/>
      <c r="M9" s="56"/>
      <c r="N9" s="62"/>
      <c r="O9" s="62"/>
      <c r="P9" s="62"/>
      <c r="Q9" s="3"/>
      <c r="R9" s="6"/>
      <c r="S9" s="65"/>
      <c r="U9" s="3"/>
      <c r="V9" s="2"/>
      <c r="W9" s="2"/>
      <c r="X9" s="2"/>
      <c r="Y9" s="2"/>
      <c r="Z9" s="2"/>
      <c r="AA9" s="2"/>
      <c r="AN9" s="6"/>
      <c r="AO9" s="6"/>
      <c r="AS9" s="6"/>
      <c r="AT9" s="6"/>
      <c r="AU9" s="6"/>
    </row>
    <row r="10" spans="2:49" x14ac:dyDescent="0.25">
      <c r="B10" s="4"/>
      <c r="C10" s="56"/>
      <c r="D10" s="56"/>
      <c r="E10" s="56"/>
      <c r="F10" s="56"/>
      <c r="G10" s="56"/>
      <c r="H10" s="56"/>
      <c r="I10" s="56"/>
      <c r="J10" s="56"/>
      <c r="K10" s="56"/>
      <c r="L10" s="56"/>
      <c r="M10" s="56"/>
      <c r="N10" s="62"/>
      <c r="O10" s="62"/>
      <c r="P10" s="62"/>
      <c r="Q10" s="3"/>
      <c r="R10" s="6"/>
      <c r="S10" s="65"/>
      <c r="U10" s="3"/>
      <c r="W10" s="22"/>
      <c r="X10" s="2"/>
      <c r="Y10" s="2"/>
      <c r="Z10" s="2"/>
      <c r="AA10" s="2"/>
      <c r="AN10" s="6"/>
      <c r="AO10" s="6"/>
      <c r="AS10" s="6"/>
      <c r="AT10" s="6"/>
      <c r="AU10" s="6"/>
    </row>
    <row r="11" spans="2:49" x14ac:dyDescent="0.25">
      <c r="B11" s="4"/>
      <c r="C11" s="56"/>
      <c r="D11" s="56"/>
      <c r="E11" s="56"/>
      <c r="F11" s="56"/>
      <c r="G11" s="56"/>
      <c r="H11" s="56"/>
      <c r="I11" s="56"/>
      <c r="J11" s="56"/>
      <c r="K11" s="56"/>
      <c r="L11" s="56"/>
      <c r="M11" s="56"/>
      <c r="N11" s="62"/>
      <c r="O11" s="62"/>
      <c r="P11" s="62"/>
      <c r="Q11" s="3"/>
      <c r="R11" s="6"/>
      <c r="S11" s="65"/>
      <c r="U11" s="3"/>
      <c r="V11" s="2"/>
      <c r="W11" s="2"/>
      <c r="X11" s="2"/>
      <c r="Y11" s="2"/>
      <c r="Z11" s="2"/>
      <c r="AA11" s="2"/>
      <c r="AN11" s="6"/>
      <c r="AO11" s="6"/>
      <c r="AS11" s="6"/>
      <c r="AT11" s="6"/>
      <c r="AU11" s="6"/>
    </row>
    <row r="12" spans="2:49" x14ac:dyDescent="0.25">
      <c r="B12" s="4"/>
      <c r="C12" s="56"/>
      <c r="D12" s="56"/>
      <c r="E12" s="56"/>
      <c r="F12" s="56"/>
      <c r="G12" s="56"/>
      <c r="H12" s="56"/>
      <c r="I12" s="56"/>
      <c r="J12" s="56"/>
      <c r="K12" s="56"/>
      <c r="L12" s="56"/>
      <c r="M12" s="56"/>
      <c r="N12" s="62"/>
      <c r="O12" s="62"/>
      <c r="P12" s="62"/>
      <c r="Q12" s="3"/>
      <c r="R12" s="6"/>
      <c r="S12" s="65"/>
      <c r="U12" s="3"/>
      <c r="W12" s="2"/>
      <c r="X12" s="2"/>
      <c r="Y12" s="2"/>
      <c r="Z12" s="2"/>
      <c r="AA12" s="2"/>
      <c r="AN12" s="6"/>
      <c r="AO12" s="6"/>
      <c r="AS12" s="6"/>
      <c r="AT12" s="6"/>
      <c r="AU12" s="6"/>
    </row>
    <row r="13" spans="2:49" x14ac:dyDescent="0.25">
      <c r="B13" s="4"/>
      <c r="C13" s="56"/>
      <c r="D13" s="56"/>
      <c r="E13" s="56"/>
      <c r="F13" s="56"/>
      <c r="G13" s="56"/>
      <c r="H13" s="56"/>
      <c r="I13" s="56"/>
      <c r="J13" s="56"/>
      <c r="K13" s="56"/>
      <c r="L13" s="56"/>
      <c r="M13" s="56"/>
      <c r="N13" s="62"/>
      <c r="O13" s="62"/>
      <c r="P13" s="62"/>
      <c r="Q13" s="3"/>
      <c r="R13" s="6"/>
      <c r="S13" s="65"/>
      <c r="U13" s="3"/>
      <c r="V13" s="2"/>
      <c r="W13" s="2"/>
      <c r="X13" s="2"/>
      <c r="Y13" s="2"/>
      <c r="Z13" s="2"/>
      <c r="AN13" s="6"/>
      <c r="AO13" s="6"/>
      <c r="AS13" s="6"/>
      <c r="AT13" s="6"/>
      <c r="AU13" s="6"/>
    </row>
    <row r="14" spans="2:49" x14ac:dyDescent="0.25">
      <c r="B14" s="4"/>
      <c r="C14" s="56"/>
      <c r="D14" s="56"/>
      <c r="E14" s="56"/>
      <c r="F14" s="56"/>
      <c r="G14" s="56"/>
      <c r="H14" s="56"/>
      <c r="I14" s="56"/>
      <c r="J14" s="56"/>
      <c r="K14" s="56"/>
      <c r="L14" s="56"/>
      <c r="M14" s="56"/>
      <c r="N14" s="62"/>
      <c r="O14" s="62"/>
      <c r="P14" s="62"/>
      <c r="Q14" s="3"/>
      <c r="R14" s="6"/>
      <c r="S14" s="65"/>
      <c r="U14" s="3"/>
      <c r="W14" s="2"/>
      <c r="X14" s="2"/>
      <c r="Y14" s="2"/>
      <c r="Z14" s="2"/>
      <c r="AN14" s="6"/>
      <c r="AO14" s="6"/>
      <c r="AS14" s="6"/>
      <c r="AT14" s="6"/>
      <c r="AU14" s="6"/>
    </row>
    <row r="15" spans="2:49" x14ac:dyDescent="0.25">
      <c r="B15" s="4"/>
      <c r="C15" s="56"/>
      <c r="D15" s="56"/>
      <c r="E15" s="56"/>
      <c r="F15" s="56"/>
      <c r="G15" s="56"/>
      <c r="H15" s="56"/>
      <c r="I15" s="56"/>
      <c r="J15" s="56"/>
      <c r="K15" s="56"/>
      <c r="L15" s="56"/>
      <c r="M15" s="56"/>
      <c r="N15" s="62"/>
      <c r="O15" s="62"/>
      <c r="P15" s="62"/>
      <c r="Q15" s="3"/>
      <c r="R15" s="6"/>
      <c r="S15" s="65"/>
      <c r="U15" s="3"/>
      <c r="V15" s="2"/>
      <c r="W15" s="2"/>
      <c r="X15" s="2"/>
      <c r="Y15" s="2"/>
      <c r="Z15" s="2"/>
      <c r="AN15" s="6"/>
      <c r="AO15" s="6"/>
      <c r="AS15" s="6"/>
      <c r="AT15" s="6"/>
      <c r="AU15" s="6"/>
    </row>
    <row r="16" spans="2:49" x14ac:dyDescent="0.25">
      <c r="C16" s="56"/>
      <c r="D16" s="56"/>
      <c r="E16" s="56"/>
      <c r="F16" s="56"/>
      <c r="G16" s="56"/>
      <c r="H16" s="56"/>
      <c r="I16" s="56"/>
      <c r="J16" s="56"/>
      <c r="K16" s="56"/>
      <c r="L16" s="56"/>
      <c r="M16" s="56"/>
      <c r="N16" s="62"/>
      <c r="O16" s="62"/>
      <c r="P16" s="62"/>
      <c r="R16" s="6"/>
      <c r="S16" s="65"/>
      <c r="AN16" s="6"/>
      <c r="AO16" s="6"/>
      <c r="AS16" s="6"/>
      <c r="AT16" s="6"/>
      <c r="AU16" s="6"/>
    </row>
    <row r="17" spans="3:47" x14ac:dyDescent="0.25">
      <c r="C17" s="56"/>
      <c r="D17" s="56"/>
      <c r="E17" s="56"/>
      <c r="F17" s="56"/>
      <c r="G17" s="56"/>
      <c r="H17" s="56"/>
      <c r="I17" s="56"/>
      <c r="J17" s="56"/>
      <c r="K17" s="56"/>
      <c r="L17" s="56"/>
      <c r="M17" s="56"/>
      <c r="N17" s="62"/>
      <c r="O17" s="62"/>
      <c r="P17" s="62"/>
      <c r="R17" s="6"/>
      <c r="S17" s="65"/>
      <c r="AN17" s="6"/>
      <c r="AO17" s="6"/>
      <c r="AS17" s="6"/>
      <c r="AT17" s="6"/>
      <c r="AU17" s="6"/>
    </row>
    <row r="18" spans="3:47" x14ac:dyDescent="0.25">
      <c r="C18" s="56"/>
      <c r="D18" s="56"/>
      <c r="E18" s="56"/>
      <c r="F18" s="56"/>
      <c r="G18" s="56"/>
      <c r="H18" s="56"/>
      <c r="I18" s="56"/>
      <c r="J18" s="56"/>
      <c r="K18" s="56"/>
      <c r="L18" s="56"/>
      <c r="M18" s="56"/>
      <c r="N18" s="62"/>
      <c r="O18" s="62"/>
      <c r="P18" s="62"/>
      <c r="R18" s="6"/>
      <c r="S18" s="65"/>
      <c r="AN18" s="6"/>
      <c r="AO18" s="6"/>
      <c r="AS18" s="6"/>
      <c r="AT18" s="6"/>
      <c r="AU18" s="6"/>
    </row>
    <row r="19" spans="3:47" x14ac:dyDescent="0.25">
      <c r="C19" s="56"/>
      <c r="D19" s="56"/>
      <c r="E19" s="56"/>
      <c r="F19" s="56"/>
      <c r="G19" s="56"/>
      <c r="H19" s="56"/>
      <c r="I19" s="56"/>
      <c r="J19" s="56"/>
      <c r="K19" s="56"/>
      <c r="L19" s="56"/>
      <c r="M19" s="56"/>
      <c r="N19" s="62"/>
      <c r="O19" s="62"/>
      <c r="P19" s="62"/>
      <c r="R19" s="6"/>
      <c r="S19" s="65"/>
      <c r="AN19" s="6"/>
      <c r="AO19" s="6"/>
      <c r="AS19" s="6"/>
      <c r="AT19" s="6"/>
      <c r="AU19" s="6"/>
    </row>
    <row r="20" spans="3:47" x14ac:dyDescent="0.25">
      <c r="C20" s="56"/>
      <c r="D20" s="56"/>
      <c r="E20" s="56"/>
      <c r="F20" s="56"/>
      <c r="G20" s="56"/>
      <c r="H20" s="56"/>
      <c r="I20" s="56"/>
      <c r="J20" s="56"/>
      <c r="K20" s="56"/>
      <c r="L20" s="56"/>
      <c r="M20" s="56"/>
      <c r="N20" s="62"/>
      <c r="O20" s="62"/>
      <c r="P20" s="62"/>
      <c r="R20" s="6"/>
      <c r="S20" s="65"/>
      <c r="AN20" s="6"/>
      <c r="AO20" s="6"/>
      <c r="AS20" s="6"/>
      <c r="AT20" s="6"/>
      <c r="AU20" s="6"/>
    </row>
    <row r="21" spans="3:47" x14ac:dyDescent="0.25">
      <c r="C21" s="56"/>
      <c r="D21" s="56"/>
      <c r="E21" s="56"/>
      <c r="F21" s="56"/>
      <c r="G21" s="56"/>
      <c r="H21" s="56"/>
      <c r="I21" s="56"/>
      <c r="J21" s="56"/>
      <c r="K21" s="56"/>
      <c r="L21" s="56"/>
      <c r="M21" s="56"/>
      <c r="N21" s="62"/>
      <c r="O21" s="62"/>
      <c r="P21" s="62"/>
      <c r="R21" s="6"/>
      <c r="S21" s="65"/>
      <c r="AN21" s="6"/>
      <c r="AO21" s="6"/>
      <c r="AS21" s="6"/>
      <c r="AT21" s="6"/>
      <c r="AU21" s="6"/>
    </row>
    <row r="22" spans="3:47" x14ac:dyDescent="0.25">
      <c r="C22" s="56"/>
      <c r="D22" s="56"/>
      <c r="E22" s="56"/>
      <c r="F22" s="56"/>
      <c r="G22" s="56"/>
      <c r="H22" s="56"/>
      <c r="I22" s="56"/>
      <c r="J22" s="56"/>
      <c r="K22" s="56"/>
      <c r="L22" s="56"/>
      <c r="M22" s="56"/>
      <c r="N22" s="62"/>
      <c r="O22" s="62"/>
      <c r="P22" s="62"/>
      <c r="R22" s="6"/>
      <c r="S22" s="65"/>
      <c r="AN22" s="6"/>
      <c r="AO22" s="6"/>
      <c r="AS22" s="6"/>
      <c r="AT22" s="6"/>
      <c r="AU22" s="6"/>
    </row>
    <row r="23" spans="3:47" x14ac:dyDescent="0.25">
      <c r="C23" s="56"/>
      <c r="D23" s="56"/>
      <c r="E23" s="56"/>
      <c r="F23" s="56"/>
      <c r="G23" s="56"/>
      <c r="H23" s="56"/>
      <c r="I23" s="56"/>
      <c r="J23" s="56"/>
      <c r="K23" s="56"/>
      <c r="L23" s="56"/>
      <c r="M23" s="56"/>
      <c r="N23" s="62"/>
      <c r="O23" s="62"/>
      <c r="P23" s="62"/>
      <c r="R23" s="6"/>
      <c r="S23" s="65"/>
      <c r="AN23" s="6"/>
      <c r="AO23" s="6"/>
      <c r="AS23" s="6"/>
      <c r="AT23" s="6"/>
      <c r="AU23" s="6"/>
    </row>
    <row r="24" spans="3:47" x14ac:dyDescent="0.25">
      <c r="C24" s="56"/>
      <c r="D24" s="56"/>
      <c r="E24" s="56"/>
      <c r="F24" s="56"/>
      <c r="G24" s="56"/>
      <c r="H24" s="56"/>
      <c r="I24" s="56"/>
      <c r="J24" s="56"/>
      <c r="K24" s="56"/>
      <c r="L24" s="56"/>
      <c r="M24" s="56"/>
      <c r="N24" s="62"/>
      <c r="O24" s="62"/>
      <c r="P24" s="62"/>
      <c r="R24" s="6"/>
      <c r="S24" s="65"/>
      <c r="AN24" s="6"/>
      <c r="AO24" s="6"/>
      <c r="AS24" s="6"/>
      <c r="AT24" s="6"/>
      <c r="AU24" s="6"/>
    </row>
    <row r="25" spans="3:47" x14ac:dyDescent="0.25">
      <c r="C25" s="56"/>
      <c r="D25" s="56"/>
      <c r="E25" s="56"/>
      <c r="F25" s="56"/>
      <c r="G25" s="56"/>
      <c r="H25" s="56"/>
      <c r="I25" s="56"/>
      <c r="J25" s="56"/>
      <c r="K25" s="56"/>
      <c r="L25" s="56"/>
      <c r="M25" s="56"/>
      <c r="N25" s="62"/>
      <c r="O25" s="62"/>
      <c r="P25" s="62"/>
      <c r="R25" s="6"/>
      <c r="S25" s="65"/>
      <c r="AN25" s="6"/>
      <c r="AO25" s="6"/>
      <c r="AS25" s="6"/>
      <c r="AT25" s="6"/>
      <c r="AU25" s="6"/>
    </row>
    <row r="26" spans="3:47" x14ac:dyDescent="0.25">
      <c r="C26" s="56"/>
      <c r="D26" s="56"/>
      <c r="E26" s="56"/>
      <c r="F26" s="56"/>
      <c r="G26" s="56"/>
      <c r="H26" s="56"/>
      <c r="I26" s="56"/>
      <c r="J26" s="56"/>
      <c r="K26" s="56"/>
      <c r="L26" s="56"/>
      <c r="M26" s="56"/>
      <c r="N26" s="62"/>
      <c r="O26" s="62"/>
      <c r="P26" s="62"/>
      <c r="R26" s="6"/>
      <c r="S26" s="65"/>
      <c r="AN26" s="6"/>
      <c r="AO26" s="6"/>
      <c r="AS26" s="6"/>
      <c r="AT26" s="6"/>
      <c r="AU26" s="6"/>
    </row>
    <row r="27" spans="3:47" x14ac:dyDescent="0.25">
      <c r="C27" s="56"/>
      <c r="D27" s="56"/>
      <c r="E27" s="56"/>
      <c r="F27" s="56"/>
      <c r="G27" s="56"/>
      <c r="H27" s="56"/>
      <c r="I27" s="56"/>
      <c r="J27" s="56"/>
      <c r="K27" s="56"/>
      <c r="L27" s="56"/>
      <c r="M27" s="56"/>
      <c r="N27" s="62"/>
      <c r="O27" s="62"/>
      <c r="P27" s="62"/>
      <c r="R27" s="6"/>
      <c r="S27" s="65"/>
      <c r="AN27" s="6"/>
      <c r="AO27" s="6"/>
      <c r="AS27" s="6"/>
      <c r="AT27" s="6"/>
      <c r="AU27" s="6"/>
    </row>
    <row r="28" spans="3:47" x14ac:dyDescent="0.25">
      <c r="C28" s="56"/>
      <c r="D28" s="56"/>
      <c r="E28" s="56"/>
      <c r="F28" s="56"/>
      <c r="G28" s="56"/>
      <c r="H28" s="56"/>
      <c r="I28" s="56"/>
      <c r="J28" s="56"/>
      <c r="K28" s="56"/>
      <c r="L28" s="56"/>
      <c r="M28" s="56"/>
      <c r="N28" s="62"/>
      <c r="O28" s="62"/>
      <c r="P28" s="62"/>
      <c r="R28" s="6"/>
      <c r="S28" s="65"/>
      <c r="AN28" s="6"/>
      <c r="AO28" s="6"/>
      <c r="AS28" s="6"/>
      <c r="AT28" s="6"/>
      <c r="AU28" s="6"/>
    </row>
    <row r="29" spans="3:47" x14ac:dyDescent="0.25">
      <c r="C29" s="56"/>
      <c r="D29" s="56"/>
      <c r="E29" s="56"/>
      <c r="F29" s="56"/>
      <c r="G29" s="56"/>
      <c r="H29" s="56"/>
      <c r="I29" s="56"/>
      <c r="J29" s="56"/>
      <c r="K29" s="56"/>
      <c r="L29" s="56"/>
      <c r="M29" s="56"/>
      <c r="N29" s="62"/>
      <c r="O29" s="62"/>
      <c r="P29" s="62"/>
      <c r="R29" s="6"/>
      <c r="S29" s="65"/>
      <c r="AN29" s="6"/>
      <c r="AO29" s="6"/>
      <c r="AS29" s="6"/>
      <c r="AT29" s="6"/>
      <c r="AU29" s="6"/>
    </row>
    <row r="30" spans="3:47" x14ac:dyDescent="0.25">
      <c r="C30" s="56"/>
      <c r="D30" s="56"/>
      <c r="E30" s="56"/>
      <c r="F30" s="56"/>
      <c r="G30" s="56"/>
      <c r="H30" s="56"/>
      <c r="I30" s="56"/>
      <c r="J30" s="56"/>
      <c r="K30" s="56"/>
      <c r="L30" s="56"/>
      <c r="M30" s="56"/>
      <c r="N30" s="62"/>
      <c r="O30" s="62"/>
      <c r="P30" s="62"/>
      <c r="R30" s="6"/>
      <c r="S30" s="65"/>
      <c r="AN30" s="6"/>
      <c r="AO30" s="6"/>
      <c r="AS30" s="6"/>
      <c r="AT30" s="6"/>
      <c r="AU30" s="6"/>
    </row>
    <row r="31" spans="3:47" x14ac:dyDescent="0.25">
      <c r="C31" s="56"/>
      <c r="D31" s="56"/>
      <c r="E31" s="56"/>
      <c r="F31" s="56"/>
      <c r="G31" s="56"/>
      <c r="H31" s="56"/>
      <c r="I31" s="56"/>
      <c r="J31" s="56"/>
      <c r="K31" s="56"/>
      <c r="L31" s="56"/>
      <c r="M31" s="56"/>
      <c r="N31" s="62"/>
      <c r="O31" s="62"/>
      <c r="P31" s="62"/>
      <c r="R31" s="6"/>
      <c r="S31" s="65"/>
    </row>
    <row r="32" spans="3:47" x14ac:dyDescent="0.25">
      <c r="C32" s="56"/>
      <c r="D32" s="56"/>
      <c r="E32" s="56"/>
      <c r="F32" s="56"/>
      <c r="G32" s="56"/>
      <c r="H32" s="56"/>
      <c r="I32" s="56"/>
      <c r="J32" s="56"/>
      <c r="K32" s="56"/>
      <c r="L32" s="56"/>
      <c r="M32" s="56"/>
      <c r="N32" s="62"/>
      <c r="O32" s="62"/>
      <c r="P32" s="62"/>
      <c r="R32" s="6"/>
      <c r="S32" s="65"/>
    </row>
    <row r="33" spans="3:19" x14ac:dyDescent="0.25">
      <c r="C33" s="56"/>
      <c r="D33" s="56"/>
      <c r="E33" s="56"/>
      <c r="F33" s="56"/>
      <c r="G33" s="56"/>
      <c r="H33" s="56"/>
      <c r="I33" s="56"/>
      <c r="J33" s="56"/>
      <c r="K33" s="56"/>
      <c r="L33" s="56"/>
      <c r="M33" s="56"/>
      <c r="N33" s="62"/>
      <c r="O33" s="62"/>
      <c r="P33" s="62"/>
      <c r="R33" s="6"/>
      <c r="S33" s="65"/>
    </row>
    <row r="34" spans="3:19" x14ac:dyDescent="0.25">
      <c r="C34" s="56"/>
      <c r="D34" s="56"/>
      <c r="E34" s="56"/>
      <c r="F34" s="56"/>
      <c r="G34" s="56"/>
      <c r="H34" s="56"/>
      <c r="I34" s="56"/>
      <c r="J34" s="56"/>
      <c r="K34" s="56"/>
      <c r="L34" s="56"/>
      <c r="M34" s="56"/>
      <c r="N34" s="62"/>
      <c r="O34" s="62"/>
      <c r="P34" s="62"/>
      <c r="R34" s="6"/>
      <c r="S34" s="65"/>
    </row>
    <row r="35" spans="3:19" x14ac:dyDescent="0.25">
      <c r="C35" s="56"/>
      <c r="D35" s="56"/>
      <c r="E35" s="56"/>
      <c r="F35" s="56"/>
      <c r="G35" s="56"/>
      <c r="H35" s="56"/>
      <c r="I35" s="56"/>
      <c r="J35" s="56"/>
      <c r="K35" s="56"/>
      <c r="L35" s="56"/>
      <c r="M35" s="56"/>
      <c r="N35" s="62"/>
      <c r="O35" s="62"/>
      <c r="P35" s="62"/>
      <c r="R35" s="6"/>
      <c r="S35" s="65"/>
    </row>
    <row r="36" spans="3:19" x14ac:dyDescent="0.25">
      <c r="C36" s="56"/>
      <c r="D36" s="56"/>
      <c r="E36" s="56"/>
      <c r="F36" s="56"/>
      <c r="G36" s="56"/>
      <c r="H36" s="56"/>
      <c r="I36" s="56"/>
      <c r="J36" s="56"/>
      <c r="K36" s="56"/>
      <c r="L36" s="56"/>
      <c r="M36" s="56"/>
      <c r="N36" s="62"/>
      <c r="O36" s="62"/>
      <c r="P36" s="62"/>
      <c r="R36" s="6"/>
      <c r="S36" s="65"/>
    </row>
    <row r="37" spans="3:19" x14ac:dyDescent="0.25">
      <c r="C37" s="56"/>
      <c r="D37" s="56"/>
      <c r="E37" s="56"/>
      <c r="F37" s="56"/>
      <c r="G37" s="56"/>
      <c r="H37" s="56"/>
      <c r="I37" s="56"/>
      <c r="J37" s="56"/>
      <c r="K37" s="56"/>
      <c r="L37" s="56"/>
      <c r="M37" s="56"/>
      <c r="N37" s="62"/>
      <c r="O37" s="62"/>
      <c r="P37" s="62"/>
      <c r="R37" s="6"/>
      <c r="S37" s="65"/>
    </row>
    <row r="38" spans="3:19" x14ac:dyDescent="0.25">
      <c r="C38" s="56"/>
      <c r="D38" s="56"/>
      <c r="E38" s="56"/>
      <c r="F38" s="56"/>
      <c r="G38" s="56"/>
      <c r="H38" s="56"/>
      <c r="I38" s="56"/>
      <c r="J38" s="56"/>
      <c r="K38" s="56"/>
      <c r="L38" s="56"/>
      <c r="M38" s="56"/>
      <c r="N38" s="62"/>
      <c r="O38" s="62"/>
      <c r="P38" s="62"/>
      <c r="R38" s="6"/>
      <c r="S38" s="65"/>
    </row>
    <row r="39" spans="3:19" x14ac:dyDescent="0.25">
      <c r="C39" s="56"/>
      <c r="D39" s="56"/>
      <c r="E39" s="56"/>
      <c r="F39" s="56"/>
      <c r="G39" s="56"/>
      <c r="H39" s="56"/>
      <c r="I39" s="56"/>
      <c r="J39" s="56"/>
      <c r="K39" s="56"/>
      <c r="L39" s="56"/>
      <c r="M39" s="56"/>
      <c r="N39" s="62"/>
      <c r="O39" s="62"/>
      <c r="P39" s="62"/>
      <c r="R39" s="6"/>
      <c r="S39" s="65"/>
    </row>
    <row r="40" spans="3:19" x14ac:dyDescent="0.25">
      <c r="C40" s="56"/>
      <c r="D40" s="56"/>
      <c r="E40" s="56"/>
      <c r="F40" s="56"/>
      <c r="G40" s="56"/>
      <c r="H40" s="56"/>
      <c r="I40" s="56"/>
      <c r="J40" s="56"/>
      <c r="K40" s="56"/>
      <c r="L40" s="56"/>
      <c r="M40" s="56"/>
      <c r="N40" s="62"/>
      <c r="O40" s="62"/>
      <c r="P40" s="62"/>
      <c r="R40" s="6"/>
      <c r="S40" s="65"/>
    </row>
    <row r="41" spans="3:19" x14ac:dyDescent="0.25">
      <c r="C41" s="56"/>
      <c r="D41" s="56"/>
      <c r="E41" s="56"/>
      <c r="F41" s="56"/>
      <c r="G41" s="56"/>
      <c r="H41" s="56"/>
      <c r="I41" s="56"/>
      <c r="J41" s="56"/>
      <c r="K41" s="56"/>
      <c r="L41" s="56"/>
      <c r="M41" s="56"/>
      <c r="N41" s="62"/>
      <c r="O41" s="62"/>
      <c r="P41" s="62"/>
      <c r="R41" s="6"/>
      <c r="S41" s="65"/>
    </row>
    <row r="42" spans="3:19" x14ac:dyDescent="0.25">
      <c r="C42" s="56"/>
      <c r="D42" s="56"/>
      <c r="E42" s="56"/>
      <c r="F42" s="56"/>
      <c r="G42" s="56"/>
      <c r="H42" s="56"/>
      <c r="I42" s="56"/>
      <c r="J42" s="56"/>
      <c r="K42" s="56"/>
      <c r="L42" s="56"/>
      <c r="M42" s="56"/>
      <c r="N42" s="62"/>
      <c r="O42" s="62"/>
      <c r="P42" s="62"/>
      <c r="R42" s="6"/>
      <c r="S42" s="65"/>
    </row>
    <row r="43" spans="3:19" x14ac:dyDescent="0.25">
      <c r="C43" s="56"/>
      <c r="D43" s="56"/>
      <c r="E43" s="56"/>
      <c r="F43" s="56"/>
      <c r="G43" s="56"/>
      <c r="H43" s="56"/>
      <c r="I43" s="56"/>
      <c r="J43" s="56"/>
      <c r="K43" s="56"/>
      <c r="L43" s="56"/>
      <c r="M43" s="56"/>
      <c r="N43" s="62"/>
      <c r="O43" s="62"/>
      <c r="P43" s="62"/>
      <c r="R43" s="6"/>
      <c r="S43" s="65"/>
    </row>
    <row r="44" spans="3:19" x14ac:dyDescent="0.25">
      <c r="C44" s="56"/>
      <c r="D44" s="56"/>
      <c r="E44" s="56"/>
      <c r="F44" s="56"/>
      <c r="G44" s="56"/>
      <c r="H44" s="56"/>
      <c r="I44" s="56"/>
      <c r="J44" s="56"/>
      <c r="K44" s="56"/>
      <c r="L44" s="56"/>
      <c r="M44" s="56"/>
      <c r="N44" s="62"/>
      <c r="O44" s="62"/>
      <c r="P44" s="62"/>
      <c r="R44" s="6"/>
      <c r="S44" s="65"/>
    </row>
    <row r="45" spans="3:19" x14ac:dyDescent="0.25">
      <c r="C45" s="56"/>
      <c r="D45" s="56"/>
      <c r="E45" s="56"/>
      <c r="F45" s="56"/>
      <c r="G45" s="56"/>
      <c r="H45" s="56"/>
      <c r="I45" s="56"/>
      <c r="J45" s="56"/>
      <c r="K45" s="56"/>
      <c r="L45" s="56"/>
      <c r="M45" s="56"/>
      <c r="N45" s="62"/>
      <c r="O45" s="62"/>
      <c r="P45" s="62"/>
      <c r="R45" s="6"/>
      <c r="S45" s="65"/>
    </row>
    <row r="46" spans="3:19" x14ac:dyDescent="0.25">
      <c r="C46" s="56"/>
      <c r="D46" s="56"/>
      <c r="E46" s="56"/>
      <c r="F46" s="56"/>
      <c r="G46" s="56"/>
      <c r="H46" s="56"/>
      <c r="I46" s="56"/>
      <c r="J46" s="56"/>
      <c r="K46" s="56"/>
      <c r="L46" s="56"/>
      <c r="M46" s="56"/>
      <c r="N46" s="62"/>
      <c r="O46" s="62"/>
      <c r="P46" s="62"/>
      <c r="R46" s="6"/>
      <c r="S46" s="65"/>
    </row>
    <row r="47" spans="3:19" x14ac:dyDescent="0.25">
      <c r="C47" s="56"/>
      <c r="D47" s="56"/>
      <c r="E47" s="56"/>
      <c r="F47" s="56"/>
      <c r="G47" s="56"/>
      <c r="H47" s="56"/>
      <c r="I47" s="56"/>
      <c r="J47" s="56"/>
      <c r="K47" s="56"/>
      <c r="L47" s="56"/>
      <c r="M47" s="56"/>
      <c r="N47" s="62"/>
      <c r="O47" s="62"/>
      <c r="P47" s="62"/>
      <c r="R47" s="6"/>
      <c r="S47" s="65"/>
    </row>
    <row r="48" spans="3:19" x14ac:dyDescent="0.25">
      <c r="C48" s="56"/>
      <c r="D48" s="56"/>
      <c r="E48" s="56"/>
      <c r="F48" s="56"/>
      <c r="G48" s="56"/>
      <c r="H48" s="56"/>
      <c r="I48" s="56"/>
      <c r="J48" s="56"/>
      <c r="K48" s="56"/>
      <c r="L48" s="56"/>
      <c r="M48" s="56"/>
      <c r="N48" s="62"/>
      <c r="O48" s="62"/>
      <c r="P48" s="62"/>
      <c r="R48" s="6"/>
      <c r="S48" s="65"/>
    </row>
    <row r="49" spans="3:19" x14ac:dyDescent="0.25">
      <c r="C49" s="56"/>
      <c r="D49" s="56"/>
      <c r="E49" s="56"/>
      <c r="F49" s="56"/>
      <c r="G49" s="56"/>
      <c r="H49" s="56"/>
      <c r="I49" s="56"/>
      <c r="J49" s="56"/>
      <c r="K49" s="56"/>
      <c r="L49" s="56"/>
      <c r="M49" s="56"/>
      <c r="N49" s="62"/>
      <c r="O49" s="62"/>
      <c r="P49" s="62"/>
      <c r="R49" s="6"/>
      <c r="S49" s="65"/>
    </row>
    <row r="50" spans="3:19" x14ac:dyDescent="0.25">
      <c r="C50" s="56"/>
      <c r="D50" s="56"/>
      <c r="E50" s="56"/>
      <c r="F50" s="56"/>
      <c r="G50" s="56"/>
      <c r="H50" s="56"/>
      <c r="I50" s="56"/>
      <c r="J50" s="56"/>
      <c r="K50" s="56"/>
      <c r="L50" s="56"/>
      <c r="M50" s="56"/>
      <c r="N50" s="62"/>
      <c r="O50" s="62"/>
      <c r="P50" s="62"/>
      <c r="R50" s="6"/>
      <c r="S50" s="65"/>
    </row>
    <row r="51" spans="3:19" x14ac:dyDescent="0.25">
      <c r="C51" s="56"/>
      <c r="D51" s="56"/>
      <c r="E51" s="56"/>
      <c r="F51" s="56"/>
      <c r="G51" s="56"/>
      <c r="H51" s="56"/>
      <c r="I51" s="56"/>
      <c r="J51" s="56"/>
      <c r="K51" s="56"/>
      <c r="L51" s="56"/>
      <c r="M51" s="56"/>
      <c r="N51" s="62"/>
      <c r="O51" s="62"/>
      <c r="P51" s="62"/>
      <c r="R51" s="6"/>
      <c r="S51" s="65"/>
    </row>
    <row r="52" spans="3:19" x14ac:dyDescent="0.25">
      <c r="C52" s="56"/>
      <c r="D52" s="56"/>
      <c r="E52" s="56"/>
      <c r="F52" s="56"/>
      <c r="G52" s="56"/>
      <c r="H52" s="56"/>
      <c r="I52" s="56"/>
      <c r="J52" s="56"/>
      <c r="K52" s="56"/>
      <c r="L52" s="56"/>
      <c r="M52" s="56"/>
      <c r="N52" s="62"/>
      <c r="O52" s="62"/>
      <c r="P52" s="62"/>
      <c r="R52" s="6"/>
      <c r="S52" s="65"/>
    </row>
    <row r="53" spans="3:19" x14ac:dyDescent="0.25">
      <c r="C53" s="56"/>
      <c r="D53" s="56"/>
      <c r="E53" s="56"/>
      <c r="F53" s="56"/>
      <c r="G53" s="56"/>
      <c r="H53" s="56"/>
      <c r="I53" s="56"/>
      <c r="J53" s="56"/>
      <c r="K53" s="56"/>
      <c r="L53" s="56"/>
      <c r="M53" s="56"/>
      <c r="N53" s="62"/>
      <c r="O53" s="62"/>
      <c r="P53" s="62"/>
      <c r="R53" s="6"/>
      <c r="S53" s="65"/>
    </row>
    <row r="54" spans="3:19" x14ac:dyDescent="0.25">
      <c r="C54" s="56"/>
      <c r="D54" s="56"/>
      <c r="E54" s="56"/>
      <c r="F54" s="56"/>
      <c r="G54" s="56"/>
      <c r="H54" s="56"/>
      <c r="I54" s="56"/>
      <c r="J54" s="56"/>
      <c r="K54" s="56"/>
      <c r="L54" s="56"/>
      <c r="M54" s="56"/>
      <c r="N54" s="62"/>
      <c r="O54" s="62"/>
      <c r="P54" s="62"/>
      <c r="R54" s="6"/>
      <c r="S54" s="65"/>
    </row>
    <row r="55" spans="3:19" x14ac:dyDescent="0.25">
      <c r="C55" s="56"/>
      <c r="D55" s="56"/>
      <c r="E55" s="56"/>
      <c r="F55" s="56"/>
      <c r="G55" s="56"/>
      <c r="H55" s="56"/>
      <c r="I55" s="56"/>
      <c r="J55" s="56"/>
      <c r="K55" s="56"/>
      <c r="L55" s="56"/>
      <c r="M55" s="56"/>
      <c r="N55" s="62"/>
      <c r="O55" s="62"/>
      <c r="P55" s="62"/>
      <c r="R55" s="6"/>
      <c r="S55" s="65"/>
    </row>
    <row r="56" spans="3:19" x14ac:dyDescent="0.25">
      <c r="C56" s="56"/>
      <c r="D56" s="56"/>
      <c r="E56" s="56"/>
      <c r="F56" s="56"/>
      <c r="G56" s="56"/>
      <c r="H56" s="56"/>
      <c r="I56" s="56"/>
      <c r="J56" s="56"/>
      <c r="K56" s="56"/>
      <c r="L56" s="56"/>
      <c r="M56" s="56"/>
      <c r="N56" s="62"/>
      <c r="O56" s="62"/>
      <c r="P56" s="62"/>
      <c r="R56" s="6"/>
      <c r="S56" s="65"/>
    </row>
    <row r="57" spans="3:19" x14ac:dyDescent="0.25">
      <c r="C57" s="56"/>
      <c r="D57" s="56"/>
      <c r="E57" s="56"/>
      <c r="F57" s="56"/>
      <c r="G57" s="56"/>
      <c r="H57" s="56"/>
      <c r="I57" s="56"/>
      <c r="J57" s="56"/>
      <c r="K57" s="56"/>
      <c r="L57" s="56"/>
      <c r="M57" s="56"/>
      <c r="N57" s="62"/>
      <c r="O57" s="62"/>
      <c r="P57" s="62"/>
      <c r="R57" s="6"/>
      <c r="S57" s="65"/>
    </row>
    <row r="58" spans="3:19" x14ac:dyDescent="0.25">
      <c r="C58" s="56"/>
      <c r="D58" s="56"/>
      <c r="E58" s="56"/>
      <c r="F58" s="56"/>
      <c r="G58" s="56"/>
      <c r="H58" s="56"/>
      <c r="I58" s="56"/>
      <c r="J58" s="56"/>
      <c r="K58" s="56"/>
      <c r="L58" s="56"/>
      <c r="M58" s="56"/>
      <c r="N58" s="62"/>
      <c r="O58" s="62"/>
      <c r="P58" s="62"/>
      <c r="R58" s="6"/>
      <c r="S58" s="65"/>
    </row>
    <row r="59" spans="3:19" x14ac:dyDescent="0.25">
      <c r="C59" s="56"/>
      <c r="D59" s="56"/>
      <c r="E59" s="56"/>
      <c r="F59" s="56"/>
      <c r="G59" s="56"/>
      <c r="H59" s="56"/>
      <c r="I59" s="56"/>
      <c r="J59" s="56"/>
      <c r="K59" s="56"/>
      <c r="L59" s="56"/>
      <c r="M59" s="56"/>
      <c r="N59" s="62"/>
      <c r="O59" s="62"/>
      <c r="P59" s="62"/>
      <c r="R59" s="6"/>
      <c r="S59" s="65"/>
    </row>
    <row r="60" spans="3:19" x14ac:dyDescent="0.25">
      <c r="C60" s="56"/>
      <c r="D60" s="56"/>
      <c r="E60" s="56"/>
      <c r="F60" s="56"/>
      <c r="G60" s="56"/>
      <c r="H60" s="56"/>
      <c r="I60" s="56"/>
      <c r="J60" s="56"/>
      <c r="K60" s="56"/>
      <c r="L60" s="56"/>
      <c r="M60" s="56"/>
      <c r="N60" s="62"/>
      <c r="O60" s="62"/>
      <c r="P60" s="62"/>
      <c r="R60" s="6"/>
      <c r="S60" s="65"/>
    </row>
    <row r="61" spans="3:19" x14ac:dyDescent="0.25">
      <c r="C61" s="56"/>
      <c r="D61" s="56"/>
      <c r="E61" s="56"/>
      <c r="F61" s="56"/>
      <c r="G61" s="56"/>
      <c r="H61" s="56"/>
      <c r="I61" s="56"/>
      <c r="J61" s="56"/>
      <c r="K61" s="56"/>
      <c r="L61" s="56"/>
      <c r="M61" s="56"/>
      <c r="N61" s="62"/>
      <c r="O61" s="62"/>
      <c r="P61" s="62"/>
      <c r="R61" s="6"/>
      <c r="S61" s="65"/>
    </row>
    <row r="62" spans="3:19" x14ac:dyDescent="0.25">
      <c r="C62" s="56"/>
      <c r="D62" s="56"/>
      <c r="E62" s="56"/>
      <c r="F62" s="56"/>
      <c r="G62" s="56"/>
      <c r="H62" s="56"/>
      <c r="I62" s="56"/>
      <c r="J62" s="56"/>
      <c r="K62" s="56"/>
      <c r="L62" s="56"/>
      <c r="M62" s="56"/>
      <c r="N62" s="62"/>
      <c r="O62" s="62"/>
      <c r="P62" s="62"/>
      <c r="R62" s="6"/>
      <c r="S62" s="65"/>
    </row>
    <row r="63" spans="3:19" x14ac:dyDescent="0.25">
      <c r="C63" s="56"/>
      <c r="D63" s="56"/>
      <c r="E63" s="56"/>
      <c r="F63" s="56"/>
      <c r="G63" s="56"/>
      <c r="H63" s="56"/>
      <c r="I63" s="56"/>
      <c r="J63" s="56"/>
      <c r="K63" s="56"/>
      <c r="L63" s="56"/>
      <c r="M63" s="56"/>
      <c r="N63" s="62"/>
      <c r="O63" s="62"/>
      <c r="P63" s="62"/>
      <c r="R63" s="6"/>
      <c r="S63" s="65"/>
    </row>
    <row r="64" spans="3:19" x14ac:dyDescent="0.25">
      <c r="C64" s="56"/>
      <c r="D64" s="56"/>
      <c r="E64" s="56"/>
      <c r="F64" s="56"/>
      <c r="G64" s="56"/>
      <c r="H64" s="56"/>
      <c r="I64" s="56"/>
      <c r="J64" s="56"/>
      <c r="K64" s="56"/>
      <c r="L64" s="56"/>
      <c r="M64" s="56"/>
      <c r="N64" s="62"/>
      <c r="O64" s="62"/>
      <c r="P64" s="62"/>
      <c r="R64" s="6"/>
      <c r="S64" s="65"/>
    </row>
    <row r="65" spans="3:19" x14ac:dyDescent="0.25">
      <c r="C65" s="56"/>
      <c r="D65" s="56"/>
      <c r="E65" s="56"/>
      <c r="F65" s="56"/>
      <c r="G65" s="56"/>
      <c r="H65" s="56"/>
      <c r="I65" s="56"/>
      <c r="J65" s="56"/>
      <c r="K65" s="56"/>
      <c r="L65" s="56"/>
      <c r="M65" s="56"/>
      <c r="N65" s="62"/>
      <c r="O65" s="62"/>
      <c r="P65" s="62"/>
      <c r="R65" s="6"/>
      <c r="S65" s="65"/>
    </row>
    <row r="66" spans="3:19" x14ac:dyDescent="0.25">
      <c r="C66" s="56"/>
      <c r="D66" s="56"/>
      <c r="E66" s="56"/>
      <c r="F66" s="56"/>
      <c r="G66" s="56"/>
      <c r="H66" s="56"/>
      <c r="I66" s="56"/>
      <c r="J66" s="56"/>
      <c r="K66" s="56"/>
      <c r="L66" s="56"/>
      <c r="M66" s="56"/>
      <c r="N66" s="62"/>
      <c r="O66" s="62"/>
      <c r="P66" s="62"/>
      <c r="R66" s="6"/>
      <c r="S66" s="65"/>
    </row>
    <row r="67" spans="3:19" x14ac:dyDescent="0.25">
      <c r="C67" s="56"/>
      <c r="D67" s="56"/>
      <c r="E67" s="56"/>
      <c r="F67" s="56"/>
      <c r="G67" s="56"/>
      <c r="H67" s="56"/>
      <c r="I67" s="56"/>
      <c r="J67" s="56"/>
      <c r="K67" s="56"/>
      <c r="L67" s="56"/>
      <c r="M67" s="56"/>
      <c r="N67" s="62"/>
      <c r="O67" s="62"/>
      <c r="P67" s="62"/>
      <c r="R67" s="6"/>
      <c r="S67" s="65"/>
    </row>
    <row r="68" spans="3:19" x14ac:dyDescent="0.25">
      <c r="C68" s="56"/>
      <c r="D68" s="56"/>
      <c r="E68" s="56"/>
      <c r="F68" s="56"/>
      <c r="G68" s="56"/>
      <c r="H68" s="56"/>
      <c r="I68" s="56"/>
      <c r="J68" s="56"/>
      <c r="K68" s="56"/>
      <c r="L68" s="56"/>
      <c r="M68" s="56"/>
      <c r="N68" s="62"/>
      <c r="O68" s="62"/>
      <c r="P68" s="62"/>
      <c r="R68" s="6"/>
      <c r="S68" s="65"/>
    </row>
    <row r="69" spans="3:19" x14ac:dyDescent="0.25">
      <c r="C69" s="56"/>
      <c r="D69" s="56"/>
      <c r="E69" s="56"/>
      <c r="F69" s="56"/>
      <c r="G69" s="56"/>
      <c r="H69" s="56"/>
      <c r="I69" s="56"/>
      <c r="J69" s="56"/>
      <c r="K69" s="56"/>
      <c r="L69" s="56"/>
      <c r="M69" s="56"/>
      <c r="N69" s="62"/>
      <c r="O69" s="62"/>
      <c r="P69" s="62"/>
      <c r="R69" s="6"/>
      <c r="S69" s="65"/>
    </row>
    <row r="70" spans="3:19" x14ac:dyDescent="0.25">
      <c r="C70" s="56"/>
      <c r="D70" s="56"/>
      <c r="E70" s="56"/>
      <c r="F70" s="56"/>
      <c r="G70" s="56"/>
      <c r="H70" s="56"/>
      <c r="I70" s="56"/>
      <c r="J70" s="56"/>
      <c r="K70" s="56"/>
      <c r="L70" s="56"/>
      <c r="M70" s="56"/>
      <c r="N70" s="62"/>
      <c r="O70" s="62"/>
      <c r="P70" s="62"/>
      <c r="R70" s="6"/>
      <c r="S70" s="65"/>
    </row>
    <row r="71" spans="3:19" x14ac:dyDescent="0.25">
      <c r="C71" s="56"/>
      <c r="D71" s="56"/>
      <c r="E71" s="56"/>
      <c r="F71" s="56"/>
      <c r="G71" s="56"/>
      <c r="H71" s="56"/>
      <c r="I71" s="56"/>
      <c r="J71" s="56"/>
      <c r="K71" s="56"/>
      <c r="L71" s="56"/>
      <c r="M71" s="56"/>
      <c r="N71" s="62"/>
      <c r="O71" s="62"/>
      <c r="P71" s="62"/>
      <c r="R71" s="6"/>
      <c r="S71" s="65"/>
    </row>
    <row r="72" spans="3:19" x14ac:dyDescent="0.25">
      <c r="C72" s="56"/>
      <c r="D72" s="56"/>
      <c r="E72" s="56"/>
      <c r="F72" s="56"/>
      <c r="G72" s="56"/>
      <c r="H72" s="56"/>
      <c r="I72" s="56"/>
      <c r="J72" s="56"/>
      <c r="K72" s="56"/>
      <c r="L72" s="56"/>
      <c r="M72" s="56"/>
      <c r="N72" s="62"/>
      <c r="O72" s="62"/>
      <c r="P72" s="62"/>
      <c r="R72" s="6"/>
      <c r="S72" s="65"/>
    </row>
    <row r="73" spans="3:19" x14ac:dyDescent="0.25">
      <c r="C73" s="56"/>
      <c r="D73" s="56"/>
      <c r="E73" s="56"/>
      <c r="F73" s="56"/>
      <c r="G73" s="56"/>
      <c r="H73" s="56"/>
      <c r="I73" s="56"/>
      <c r="J73" s="56"/>
      <c r="K73" s="56"/>
      <c r="L73" s="56"/>
      <c r="M73" s="56"/>
      <c r="N73" s="62"/>
      <c r="O73" s="62"/>
      <c r="P73" s="62"/>
      <c r="R73" s="6"/>
      <c r="S73" s="65"/>
    </row>
    <row r="74" spans="3:19" x14ac:dyDescent="0.25">
      <c r="C74" s="56"/>
      <c r="D74" s="56"/>
      <c r="E74" s="56"/>
      <c r="F74" s="56"/>
      <c r="G74" s="56"/>
      <c r="H74" s="56"/>
      <c r="I74" s="56"/>
      <c r="J74" s="56"/>
      <c r="K74" s="56"/>
      <c r="L74" s="56"/>
      <c r="M74" s="56"/>
      <c r="N74" s="62"/>
      <c r="O74" s="62"/>
      <c r="P74" s="62"/>
      <c r="R74" s="6"/>
      <c r="S74" s="65"/>
    </row>
    <row r="75" spans="3:19" x14ac:dyDescent="0.25">
      <c r="C75" s="56"/>
      <c r="D75" s="56"/>
      <c r="E75" s="56"/>
      <c r="F75" s="56"/>
      <c r="G75" s="56"/>
      <c r="H75" s="56"/>
      <c r="I75" s="56"/>
      <c r="J75" s="56"/>
      <c r="K75" s="56"/>
      <c r="L75" s="56"/>
      <c r="M75" s="56"/>
      <c r="N75" s="62"/>
      <c r="O75" s="62"/>
      <c r="P75" s="62"/>
      <c r="R75" s="6"/>
      <c r="S75" s="65"/>
    </row>
    <row r="76" spans="3:19" x14ac:dyDescent="0.25">
      <c r="C76" s="56"/>
      <c r="D76" s="56"/>
      <c r="E76" s="56"/>
      <c r="F76" s="56"/>
      <c r="G76" s="56"/>
      <c r="H76" s="56"/>
      <c r="I76" s="56"/>
      <c r="J76" s="56"/>
      <c r="K76" s="56"/>
      <c r="L76" s="56"/>
      <c r="M76" s="56"/>
      <c r="N76" s="62"/>
      <c r="O76" s="62"/>
      <c r="P76" s="62"/>
      <c r="R76" s="6"/>
      <c r="S76" s="65"/>
    </row>
    <row r="77" spans="3:19" x14ac:dyDescent="0.25">
      <c r="C77" s="56"/>
      <c r="D77" s="56"/>
      <c r="E77" s="56"/>
      <c r="F77" s="56"/>
      <c r="G77" s="56"/>
      <c r="H77" s="56"/>
      <c r="I77" s="56"/>
      <c r="J77" s="56"/>
      <c r="K77" s="56"/>
      <c r="L77" s="56"/>
      <c r="M77" s="56"/>
      <c r="N77" s="62"/>
      <c r="O77" s="62"/>
      <c r="P77" s="62"/>
      <c r="R77" s="6"/>
      <c r="S77" s="65"/>
    </row>
    <row r="78" spans="3:19" x14ac:dyDescent="0.25">
      <c r="C78" s="56"/>
      <c r="D78" s="56"/>
      <c r="E78" s="56"/>
      <c r="F78" s="56"/>
      <c r="G78" s="56"/>
      <c r="H78" s="56"/>
      <c r="I78" s="56"/>
      <c r="J78" s="56"/>
      <c r="K78" s="56"/>
      <c r="L78" s="56"/>
      <c r="M78" s="56"/>
      <c r="N78" s="62"/>
      <c r="O78" s="62"/>
      <c r="P78" s="62"/>
      <c r="R78" s="6"/>
      <c r="S78" s="65"/>
    </row>
    <row r="79" spans="3:19" x14ac:dyDescent="0.25">
      <c r="C79" s="56"/>
      <c r="D79" s="56"/>
      <c r="E79" s="56"/>
      <c r="F79" s="56"/>
      <c r="G79" s="56"/>
      <c r="H79" s="56"/>
      <c r="I79" s="56"/>
      <c r="J79" s="56"/>
      <c r="K79" s="56"/>
      <c r="L79" s="56"/>
      <c r="M79" s="56"/>
      <c r="N79" s="62"/>
      <c r="O79" s="62"/>
      <c r="P79" s="62"/>
      <c r="R79" s="6"/>
      <c r="S79" s="65"/>
    </row>
    <row r="80" spans="3:19" x14ac:dyDescent="0.25">
      <c r="C80" s="56"/>
      <c r="D80" s="56"/>
      <c r="E80" s="56"/>
      <c r="F80" s="56"/>
      <c r="G80" s="56"/>
      <c r="H80" s="56"/>
      <c r="I80" s="56"/>
      <c r="J80" s="56"/>
      <c r="K80" s="56"/>
      <c r="L80" s="56"/>
      <c r="M80" s="56"/>
      <c r="N80" s="62"/>
      <c r="O80" s="62"/>
      <c r="P80" s="62"/>
      <c r="R80" s="6"/>
      <c r="S80" s="65"/>
    </row>
    <row r="81" spans="3:19" x14ac:dyDescent="0.25">
      <c r="C81" s="56"/>
      <c r="D81" s="56"/>
      <c r="E81" s="56"/>
      <c r="F81" s="56"/>
      <c r="G81" s="56"/>
      <c r="H81" s="56"/>
      <c r="I81" s="56"/>
      <c r="J81" s="56"/>
      <c r="K81" s="56"/>
      <c r="L81" s="56"/>
      <c r="M81" s="56"/>
      <c r="N81" s="62"/>
      <c r="O81" s="62"/>
      <c r="P81" s="62"/>
      <c r="R81" s="6"/>
      <c r="S81" s="65"/>
    </row>
    <row r="82" spans="3:19" x14ac:dyDescent="0.25">
      <c r="C82" s="56"/>
      <c r="D82" s="56"/>
      <c r="E82" s="56"/>
      <c r="F82" s="56"/>
      <c r="G82" s="56"/>
      <c r="H82" s="56"/>
      <c r="I82" s="56"/>
      <c r="J82" s="56"/>
      <c r="K82" s="56"/>
      <c r="L82" s="56"/>
      <c r="M82" s="56"/>
      <c r="N82" s="62"/>
      <c r="O82" s="62"/>
      <c r="P82" s="62"/>
      <c r="R82" s="6"/>
      <c r="S82" s="65"/>
    </row>
    <row r="83" spans="3:19" x14ac:dyDescent="0.25">
      <c r="C83" s="56"/>
      <c r="D83" s="56"/>
      <c r="E83" s="56"/>
      <c r="F83" s="56"/>
      <c r="G83" s="56"/>
      <c r="H83" s="56"/>
      <c r="I83" s="56"/>
      <c r="J83" s="56"/>
      <c r="K83" s="56"/>
      <c r="L83" s="56"/>
      <c r="M83" s="56"/>
      <c r="N83" s="62"/>
      <c r="O83" s="62"/>
      <c r="P83" s="62"/>
      <c r="R83" s="6"/>
      <c r="S83" s="65"/>
    </row>
    <row r="84" spans="3:19" x14ac:dyDescent="0.25">
      <c r="C84" s="56"/>
      <c r="D84" s="56"/>
      <c r="E84" s="56"/>
      <c r="F84" s="56"/>
      <c r="G84" s="56"/>
      <c r="H84" s="56"/>
      <c r="I84" s="56"/>
      <c r="J84" s="56"/>
      <c r="K84" s="56"/>
      <c r="L84" s="56"/>
      <c r="M84" s="56"/>
      <c r="N84" s="62"/>
      <c r="O84" s="62"/>
      <c r="P84" s="62"/>
      <c r="R84" s="6"/>
      <c r="S84" s="65"/>
    </row>
    <row r="85" spans="3:19" x14ac:dyDescent="0.25">
      <c r="C85" s="56"/>
      <c r="D85" s="56"/>
      <c r="E85" s="56"/>
      <c r="F85" s="56"/>
      <c r="G85" s="56"/>
      <c r="H85" s="56"/>
      <c r="I85" s="56"/>
      <c r="J85" s="56"/>
      <c r="K85" s="56"/>
      <c r="L85" s="56"/>
      <c r="M85" s="56"/>
      <c r="N85" s="62"/>
      <c r="O85" s="62"/>
      <c r="P85" s="62"/>
      <c r="R85" s="6"/>
      <c r="S85" s="65"/>
    </row>
    <row r="86" spans="3:19" x14ac:dyDescent="0.25">
      <c r="C86" s="56"/>
      <c r="D86" s="56"/>
      <c r="E86" s="56"/>
      <c r="F86" s="56"/>
      <c r="G86" s="56"/>
      <c r="H86" s="56"/>
      <c r="I86" s="56"/>
      <c r="J86" s="56"/>
      <c r="K86" s="56"/>
      <c r="L86" s="56"/>
      <c r="M86" s="56"/>
      <c r="N86" s="62"/>
      <c r="O86" s="62"/>
      <c r="P86" s="62"/>
      <c r="R86" s="6"/>
      <c r="S86" s="65"/>
    </row>
    <row r="87" spans="3:19" x14ac:dyDescent="0.25">
      <c r="C87" s="56"/>
      <c r="D87" s="56"/>
      <c r="E87" s="56"/>
      <c r="F87" s="56"/>
      <c r="G87" s="56"/>
      <c r="H87" s="56"/>
      <c r="I87" s="56"/>
      <c r="J87" s="56"/>
      <c r="K87" s="56"/>
      <c r="L87" s="56"/>
      <c r="M87" s="56"/>
      <c r="N87" s="62"/>
      <c r="O87" s="62"/>
      <c r="P87" s="62"/>
      <c r="R87" s="6"/>
      <c r="S87" s="65"/>
    </row>
    <row r="88" spans="3:19" x14ac:dyDescent="0.25">
      <c r="C88" s="56"/>
      <c r="D88" s="56"/>
      <c r="E88" s="56"/>
      <c r="F88" s="56"/>
      <c r="G88" s="56"/>
      <c r="H88" s="56"/>
      <c r="I88" s="56"/>
      <c r="J88" s="56"/>
      <c r="K88" s="56"/>
      <c r="L88" s="56"/>
      <c r="M88" s="56"/>
      <c r="N88" s="62"/>
      <c r="O88" s="62"/>
      <c r="P88" s="62"/>
      <c r="R88" s="6"/>
      <c r="S88" s="65"/>
    </row>
    <row r="89" spans="3:19" x14ac:dyDescent="0.25">
      <c r="C89" s="56"/>
      <c r="D89" s="56"/>
      <c r="E89" s="56"/>
      <c r="F89" s="56"/>
      <c r="G89" s="56"/>
      <c r="H89" s="56"/>
      <c r="I89" s="56"/>
      <c r="J89" s="56"/>
      <c r="K89" s="56"/>
      <c r="L89" s="56"/>
      <c r="M89" s="56"/>
      <c r="N89" s="62"/>
      <c r="O89" s="62"/>
      <c r="P89" s="62"/>
      <c r="R89" s="6"/>
      <c r="S89" s="65"/>
    </row>
    <row r="90" spans="3:19" x14ac:dyDescent="0.25">
      <c r="C90" s="56"/>
      <c r="D90" s="56"/>
      <c r="E90" s="56"/>
      <c r="F90" s="56"/>
      <c r="G90" s="56"/>
      <c r="H90" s="56"/>
      <c r="I90" s="56"/>
      <c r="J90" s="56"/>
      <c r="K90" s="56"/>
      <c r="L90" s="56"/>
      <c r="M90" s="56"/>
      <c r="N90" s="62"/>
      <c r="O90" s="62"/>
      <c r="P90" s="62"/>
      <c r="R90" s="6"/>
      <c r="S90" s="65"/>
    </row>
    <row r="91" spans="3:19" x14ac:dyDescent="0.25">
      <c r="C91" s="56"/>
      <c r="D91" s="56"/>
      <c r="E91" s="56"/>
      <c r="F91" s="56"/>
      <c r="G91" s="56"/>
      <c r="H91" s="56"/>
      <c r="I91" s="56"/>
      <c r="J91" s="56"/>
      <c r="K91" s="56"/>
      <c r="L91" s="56"/>
      <c r="M91" s="56"/>
      <c r="N91" s="62"/>
      <c r="O91" s="62"/>
      <c r="P91" s="62"/>
      <c r="R91" s="6"/>
      <c r="S91" s="65"/>
    </row>
    <row r="92" spans="3:19" x14ac:dyDescent="0.25">
      <c r="C92" s="56"/>
      <c r="D92" s="56"/>
      <c r="E92" s="56"/>
      <c r="F92" s="56"/>
      <c r="G92" s="56"/>
      <c r="H92" s="56"/>
      <c r="I92" s="56"/>
      <c r="J92" s="56"/>
      <c r="K92" s="56"/>
      <c r="L92" s="56"/>
      <c r="M92" s="56"/>
      <c r="N92" s="62"/>
      <c r="O92" s="62"/>
      <c r="P92" s="62"/>
      <c r="R92" s="6"/>
      <c r="S92" s="65"/>
    </row>
    <row r="93" spans="3:19" x14ac:dyDescent="0.25">
      <c r="C93" s="56"/>
      <c r="D93" s="56"/>
      <c r="E93" s="56"/>
      <c r="F93" s="56"/>
      <c r="G93" s="56"/>
      <c r="H93" s="56"/>
      <c r="I93" s="56"/>
      <c r="J93" s="56"/>
      <c r="K93" s="56"/>
      <c r="L93" s="56"/>
      <c r="M93" s="56"/>
      <c r="N93" s="62"/>
      <c r="O93" s="62"/>
      <c r="P93" s="62"/>
      <c r="R93" s="6"/>
      <c r="S93" s="65"/>
    </row>
    <row r="94" spans="3:19" x14ac:dyDescent="0.25">
      <c r="C94" s="56"/>
      <c r="D94" s="56"/>
      <c r="E94" s="56"/>
      <c r="F94" s="56"/>
      <c r="G94" s="56"/>
      <c r="H94" s="56"/>
      <c r="I94" s="56"/>
      <c r="J94" s="56"/>
      <c r="K94" s="56"/>
      <c r="L94" s="56"/>
      <c r="M94" s="56"/>
      <c r="N94" s="62"/>
      <c r="O94" s="62"/>
      <c r="P94" s="62"/>
      <c r="R94" s="6"/>
      <c r="S94" s="65"/>
    </row>
    <row r="95" spans="3:19" x14ac:dyDescent="0.25">
      <c r="C95" s="56"/>
      <c r="D95" s="56"/>
      <c r="E95" s="56"/>
      <c r="F95" s="56"/>
      <c r="G95" s="56"/>
      <c r="H95" s="56"/>
      <c r="I95" s="56"/>
      <c r="J95" s="56"/>
      <c r="K95" s="56"/>
      <c r="L95" s="56"/>
      <c r="M95" s="56"/>
      <c r="N95" s="62"/>
      <c r="O95" s="62"/>
      <c r="P95" s="62"/>
      <c r="R95" s="6"/>
      <c r="S95" s="65"/>
    </row>
    <row r="96" spans="3:19" x14ac:dyDescent="0.25">
      <c r="C96" s="56"/>
      <c r="D96" s="56"/>
      <c r="E96" s="56"/>
      <c r="F96" s="56"/>
      <c r="G96" s="56"/>
      <c r="H96" s="56"/>
      <c r="I96" s="56"/>
      <c r="J96" s="56"/>
      <c r="K96" s="56"/>
      <c r="L96" s="56"/>
      <c r="M96" s="56"/>
      <c r="N96" s="62"/>
      <c r="O96" s="62"/>
      <c r="P96" s="62"/>
      <c r="R96" s="6"/>
      <c r="S96" s="65"/>
    </row>
    <row r="97" spans="3:19" x14ac:dyDescent="0.25">
      <c r="C97" s="56"/>
      <c r="D97" s="56"/>
      <c r="E97" s="56"/>
      <c r="F97" s="56"/>
      <c r="G97" s="56"/>
      <c r="H97" s="56"/>
      <c r="I97" s="56"/>
      <c r="J97" s="56"/>
      <c r="K97" s="56"/>
      <c r="L97" s="56"/>
      <c r="M97" s="56"/>
      <c r="N97" s="62"/>
      <c r="O97" s="62"/>
      <c r="P97" s="62"/>
      <c r="R97" s="6"/>
      <c r="S97" s="65"/>
    </row>
    <row r="98" spans="3:19" x14ac:dyDescent="0.25">
      <c r="C98" s="56"/>
      <c r="D98" s="56"/>
      <c r="E98" s="56"/>
      <c r="F98" s="56"/>
      <c r="G98" s="56"/>
      <c r="H98" s="56"/>
      <c r="I98" s="56"/>
      <c r="J98" s="56"/>
      <c r="K98" s="56"/>
      <c r="L98" s="56"/>
      <c r="M98" s="56"/>
      <c r="N98" s="62"/>
      <c r="O98" s="62"/>
      <c r="P98" s="62"/>
      <c r="R98" s="6"/>
      <c r="S98" s="65"/>
    </row>
    <row r="99" spans="3:19" x14ac:dyDescent="0.25">
      <c r="C99" s="56"/>
      <c r="D99" s="56"/>
      <c r="E99" s="56"/>
      <c r="F99" s="56"/>
      <c r="G99" s="56"/>
      <c r="H99" s="56"/>
      <c r="I99" s="56"/>
      <c r="J99" s="56"/>
      <c r="K99" s="56"/>
      <c r="L99" s="56"/>
      <c r="M99" s="56"/>
      <c r="N99" s="62"/>
      <c r="O99" s="62"/>
      <c r="P99" s="62"/>
      <c r="R99" s="6"/>
      <c r="S99" s="65"/>
    </row>
    <row r="100" spans="3:19" x14ac:dyDescent="0.25">
      <c r="C100" s="56"/>
      <c r="D100" s="56"/>
      <c r="E100" s="56"/>
      <c r="F100" s="56"/>
      <c r="G100" s="56"/>
      <c r="H100" s="56"/>
      <c r="I100" s="56"/>
      <c r="J100" s="56"/>
      <c r="K100" s="56"/>
      <c r="L100" s="56"/>
      <c r="M100" s="56"/>
      <c r="N100" s="62"/>
      <c r="O100" s="62"/>
      <c r="P100" s="62"/>
      <c r="R100" s="6"/>
      <c r="S100" s="65"/>
    </row>
  </sheetData>
  <mergeCells count="4">
    <mergeCell ref="AR2:AW2"/>
    <mergeCell ref="U2:AA2"/>
    <mergeCell ref="AD2:AJ2"/>
    <mergeCell ref="AM2:AP2"/>
  </mergeCells>
  <dataValidations count="5">
    <dataValidation type="list" allowBlank="1" showInputMessage="1" showErrorMessage="1" sqref="U21" xr:uid="{F8A54709-A6AF-4BE5-8A83-74AFB10B15EF}">
      <formula1>"DeathGuard,Space Marines,Drukhari, Daemons, T'Au, Imperial Guard, Sisters of Battle, Thousand Sons"</formula1>
    </dataValidation>
    <dataValidation type="list" allowBlank="1" showInputMessage="1" showErrorMessage="1" sqref="R4:R100" xr:uid="{7339B0DA-D506-470F-BE06-2731DDC0EEC9}">
      <formula1>"Ranged,Melee"</formula1>
    </dataValidation>
    <dataValidation type="list" allowBlank="1" showInputMessage="1" showErrorMessage="1" sqref="AN4:AN30 AT4:AT30" xr:uid="{6BFC604B-D0D4-4840-9123-D9C3D17BE3D6}">
      <formula1>"Attacker,Target"</formula1>
    </dataValidation>
    <dataValidation type="list" allowBlank="1" showInputMessage="1" showErrorMessage="1" sqref="AO4:AO30 AU4:AU30" xr:uid="{FDBC4F0D-9B30-47F5-BFE1-346792510976}">
      <formula1>"Shooting,Fighting,Both"</formula1>
    </dataValidation>
    <dataValidation type="whole" allowBlank="1" showInputMessage="1" showErrorMessage="1" promptTitle="Qty" prompt="How many of this weapon the unit carries. Blank = 1. Use 0 for alternate profiles (e.g. frag/krak) you don't want counted together." sqref="S4:S100" xr:uid="{E24E8C0C-5D06-4FE0-A0A8-8282E54E0E6B}">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How To Use</vt:lpstr>
      <vt:lpstr>Keywords</vt:lpstr>
      <vt:lpstr>Sim-Shooting</vt:lpstr>
      <vt:lpstr>Sim-Fighting</vt:lpstr>
      <vt:lpstr>Roster</vt:lpstr>
      <vt:lpstr>Results</vt:lpstr>
      <vt:lpstr>DeathGuard</vt:lpstr>
      <vt:lpstr>Space Marines</vt:lpstr>
      <vt:lpstr>Drukhari</vt:lpstr>
      <vt:lpstr>Daemons</vt:lpstr>
      <vt:lpstr>T'Au</vt:lpstr>
      <vt:lpstr>Imperial Guard</vt:lpstr>
      <vt:lpstr>Sisters of Battle</vt:lpstr>
      <vt:lpstr>Thousand Sons</vt:lpstr>
      <vt:lpstr>FactionList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Leech</dc:creator>
  <cp:keywords/>
  <dc:description/>
  <cp:lastModifiedBy>Michael Leech</cp:lastModifiedBy>
  <cp:revision/>
  <dcterms:created xsi:type="dcterms:W3CDTF">2026-10-05T07:13:18Z</dcterms:created>
  <dcterms:modified xsi:type="dcterms:W3CDTF">2026-10-19T09:05:08Z</dcterms:modified>
  <cp:category/>
  <cp:contentStatus/>
</cp:coreProperties>
</file>